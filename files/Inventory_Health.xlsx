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3b8051543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dashboard" sheetId="1" r:id="Rba8ed916047e4f2b"/>
    <x:sheet xmlns:r="http://schemas.openxmlformats.org/officeDocument/2006/relationships" name="Reorder analysis" sheetId="2" r:id="Rf3824a6f4c1d40a8"/>
    <x:sheet xmlns:r="http://schemas.openxmlformats.org/officeDocument/2006/relationships" name="Item inputs" sheetId="3" r:id="Raaeabe0dd139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£&quot;#,##0"/>
    <x:numFmt numFmtId="201" formatCode="0.0&quot;x&quot;"/>
    <x:numFmt numFmtId="202" formatCode="&quot;£&quot;#,##0.00"/>
    <x:numFmt numFmtId="203" formatCode="0.0"/>
  </x:numFmts>
  <x:fonts count="4">
    <x:font>
      <x:sz val="11"/>
      <x:name val="Carlito"/>
    </x:font>
    <x:font>
      <x:sz val="10"/>
      <x:color rgb="FF183044"/>
      <x:name val="Arial"/>
    </x:font>
    <x:font>
      <x:b/>
      <x:sz val="16"/>
      <x:color rgb="FF18304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044"/>
      </x:patternFill>
    </x:fill>
    <x:fill>
      <x:patternFill patternType="solid">
        <x:fgColor rgb="FFFFF0B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45000"/>
      </x:font>
      <x:fill>
        <x:patternFill patternType="solid">
          <x:bgColor rgb="FFFFF0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206b145c3416e" /><Relationship Type="http://schemas.openxmlformats.org/officeDocument/2006/relationships/theme" Target="/xl/theme/theme1.xml" Id="R406b2897214f4728" /><Relationship Type="http://schemas.openxmlformats.org/officeDocument/2006/relationships/sharedStrings" Target="/xl/sharedStrings.xml" Id="Rcf031430813041f4" /><Relationship Type="http://schemas.openxmlformats.org/officeDocument/2006/relationships/worksheet" Target="/xl/worksheets/sheet1.xml" Id="Rba8ed916047e4f2b" /><Relationship Type="http://schemas.openxmlformats.org/officeDocument/2006/relationships/worksheet" Target="/xl/worksheets/sheet2.xml" Id="Rf3824a6f4c1d40a8" /><Relationship Type="http://schemas.openxmlformats.org/officeDocument/2006/relationships/worksheet" Target="/xl/worksheets/sheet3.xml" Id="Raaeabe0dd13949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89f2fc093d4f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Stock and proposed orders by category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Inventory value</c:v>
          </c:tx>
          <c:spPr>
            <a:solidFill xmlns:a="http://schemas.openxmlformats.org/drawingml/2006/main">
              <a:srgbClr val="325C80"/>
            </a:solidFill>
          </c:spPr>
          <c:cat>
            <c:strRef>
              <c:f>'Inventory dashboard'!$A$13:$A$16</c:f>
              <c:strCache>
                <c:ptCount val="0"/>
              </c:strCache>
            </c:strRef>
          </c:cat>
          <c:val>
            <c:numRef>
              <c:f>'Inventory dashboard'!$B$13:$B$16</c:f>
              <c:numCache>
                <c:formatCode>"£"#,##0</c:formatCode>
                <c:ptCount val="0"/>
              </c:numCache>
            </c:numRef>
          </c:val>
        </c:ser>
        <c:ser>
          <c:idx val="1"/>
          <c:order val="1"/>
          <c:tx>
            <c:v>Order cost</c:v>
          </c:tx>
          <c:spPr>
            <a:solidFill xmlns:a="http://schemas.openxmlformats.org/drawingml/2006/main">
              <a:srgbClr val="D39945"/>
            </a:solidFill>
          </c:spPr>
          <c:cat>
            <c:strRef>
              <c:f>'Inventory dashboard'!$A$13:$A$16</c:f>
              <c:strCache>
                <c:ptCount val="0"/>
              </c:strCache>
            </c:strRef>
          </c:cat>
          <c:val>
            <c:numRef>
              <c:f>'Inventory dashboard'!$C$13:$C$16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89f2fc093d4f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orderTable" displayName="ReorderTable" ref="A5:R85" headerRowCount="1" totalsRowCount="0" totalsRowShown="0">
  <x:tableColumns count="18">
    <x:tableColumn id="1" name="Item"/>
    <x:tableColumn id="2" name="Category"/>
    <x:tableColumn id="3" name="Unit cost GBP"/>
    <x:tableColumn id="4" name="Lead days"/>
    <x:tableColumn id="5" name="On hand"/>
    <x:tableColumn id="6" name="Allocated"/>
    <x:tableColumn id="7" name="On order"/>
    <x:tableColumn id="8" name="Demand 90d"/>
    <x:tableColumn id="9" name="Daily demand"/>
    <x:tableColumn id="10" name="Reorder point"/>
    <x:tableColumn id="11" name="Stock position"/>
    <x:tableColumn id="12" name="Stock value GBP"/>
    <x:tableColumn id="13" name="Target units"/>
    <x:tableColumn id="14" name="Proposed units"/>
    <x:tableColumn id="15" name="Order cost GBP"/>
    <x:tableColumn id="16" name="Demand cost 90d"/>
    <x:tableColumn id="17" name="Avg stock value"/>
    <x:tableColumn id="18" name="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Table" displayName="ItemTable" ref="A4:J84" headerRowCount="1" totalsRowCount="0" totalsRowShown="0">
  <x:tableColumns count="10">
    <x:tableColumn id="1" name="Item"/>
    <x:tableColumn id="2" name="Category"/>
    <x:tableColumn id="3" name="Unit cost GBP"/>
    <x:tableColumn id="4" name="Lead days"/>
    <x:tableColumn id="5" name="On hand"/>
    <x:tableColumn id="6" name="Allocated"/>
    <x:tableColumn id="7" name="On order"/>
    <x:tableColumn id="8" name="Demand 90d"/>
    <x:tableColumn id="9" name="Avg stock 90d"/>
    <x:tableColumn id="10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bd242713944b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86cb49dc0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7505e2dc94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2" t="str">
        <x:v>Inventory health and reorder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1" t="str">
        <x:v>Synthetic kitchen-products distributor. Snapshot: 21 Sep 2026. Currency: GBP.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8" customHeight="1">
      <x:c r="A5" s="5" t="str">
        <x:v>Metric</x:v>
      </x:c>
      <x:c r="B5" s="5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 t="str">
        <x:v>Inventory value</x:v>
      </x:c>
      <x:c r="B6" s="6" t="n">
        <x:f>SUM('Reorder analysis'!L6:L85)</x:f>
        <x:v>2184017.5499999993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 t="str">
        <x:v>Items requiring reorder</x:v>
      </x:c>
      <x:c r="B7" s="1" t="n">
        <x:f>COUNTIFS('Reorder analysis'!N6:N85,"&gt;0")</x:f>
        <x:v>27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" t="str">
        <x:v>Proposed order cost</x:v>
      </x:c>
      <x:c r="B8" s="6" t="n">
        <x:f>SUM('Reorder analysis'!O6:O85)</x:f>
        <x:v>766792.11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" t="str">
        <x:v>Annualised turnover</x:v>
      </x:c>
      <x:c r="B9" s="7" t="n">
        <x:f>SUM('Reorder analysis'!P6:P85)/SUM('Reorder analysis'!Q6:Q85)*365/90</x:f>
        <x:v>12.42980579869724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38" customHeight="1">
      <x:c r="A12" s="5" t="str">
        <x:v>Category</x:v>
      </x:c>
      <x:c r="B12" s="5" t="str">
        <x:v>Inventory value</x:v>
      </x:c>
      <x:c r="C12" s="5" t="str">
        <x:v>Order cost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 t="str">
        <x:v>Sinks</x:v>
      </x:c>
      <x:c r="B13" s="6" t="n">
        <x:f>SUMIFS('Reorder analysis'!$L$6:$L$85,'Reorder analysis'!$B$6:$B$85,A13)</x:f>
        <x:v>637519.65</x:v>
      </x:c>
      <x:c r="C13" s="6" t="n">
        <x:f>SUMIFS('Reorder analysis'!$O$6:$O$85,'Reorder analysis'!$B$6:$B$85,A13)</x:f>
        <x:v>290238.83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 t="str">
        <x:v>Taps</x:v>
      </x:c>
      <x:c r="B14" s="6" t="n">
        <x:f>SUMIFS('Reorder analysis'!$L$6:$L$85,'Reorder analysis'!$B$6:$B$85,A14)</x:f>
        <x:v>482834.9600000001</x:v>
      </x:c>
      <x:c r="C14" s="6" t="n">
        <x:f>SUMIFS('Reorder analysis'!$O$6:$O$85,'Reorder analysis'!$B$6:$B$85,A14)</x:f>
        <x:v>87785.3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 t="str">
        <x:v>Hoods</x:v>
      </x:c>
      <x:c r="B15" s="6" t="n">
        <x:f>SUMIFS('Reorder analysis'!$L$6:$L$85,'Reorder analysis'!$B$6:$B$85,A15)</x:f>
        <x:v>356572.66</x:v>
      </x:c>
      <x:c r="C15" s="6" t="n">
        <x:f>SUMIFS('Reorder analysis'!$O$6:$O$85,'Reorder analysis'!$B$6:$B$85,A15)</x:f>
        <x:v>168553.37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 t="str">
        <x:v>Accessories</x:v>
      </x:c>
      <x:c r="B16" s="6" t="n">
        <x:f>SUMIFS('Reorder analysis'!$L$6:$L$85,'Reorder analysis'!$B$6:$B$85,A16)</x:f>
        <x:v>707090.2799999999</x:v>
      </x:c>
      <x:c r="C16" s="6" t="n">
        <x:f>SUMIFS('Reorder analysis'!$O$6:$O$85,'Reorder analysis'!$B$6:$B$85,A16)</x:f>
        <x:v>220214.61000000002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 t="str">
        <x:v>Action: filter Proposed units in Reorder analysis to values above zero.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 t="str">
        <x:v>Turnover = 90-day demand cost / average stock value × 365 / 90.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1" t="str">
        <x:v>Demand is assumed fulfilled; seasonality is excluded from annualisation.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 t="str">
        <x:v>Review receipts and allocations before placing any proposed order.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</x:sheetData>
  <x:pageMargins left="0.7" right="0.7" top="0.75" bottom="0.75" header="0.3" footer="0.3"/>
  <x:drawing xmlns:r="http://schemas.openxmlformats.org/officeDocument/2006/relationships" r:id="R9cbd242713944b0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2" t="str">
        <x:v>Reorder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1" t="str">
        <x:v>Safety stock days</x:v>
      </x:c>
      <x:c r="B3" s="8" t="n">
        <x:v>7</x:v>
      </x:c>
      <x:c r="C3" s="1" t="str">
        <x:v>Review cycle days</x:v>
      </x:c>
      <x:c r="D3" s="8" t="n">
        <x:v>14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8" customHeight="1">
      <x:c r="A5" s="5" t="str">
        <x:v>Item</x:v>
      </x:c>
      <x:c r="B5" s="5" t="str">
        <x:v>Category</x:v>
      </x:c>
      <x:c r="C5" s="5" t="str">
        <x:v>Unit cost GBP</x:v>
      </x:c>
      <x:c r="D5" s="5" t="str">
        <x:v>Lead days</x:v>
      </x:c>
      <x:c r="E5" s="5" t="str">
        <x:v>On hand</x:v>
      </x:c>
      <x:c r="F5" s="5" t="str">
        <x:v>Allocated</x:v>
      </x:c>
      <x:c r="G5" s="5" t="str">
        <x:v>On order</x:v>
      </x:c>
      <x:c r="H5" s="5" t="str">
        <x:v>Demand 90d</x:v>
      </x:c>
      <x:c r="I5" s="5" t="str">
        <x:v>Daily demand</x:v>
      </x:c>
      <x:c r="J5" s="5" t="str">
        <x:v>Reorder point</x:v>
      </x:c>
      <x:c r="K5" s="5" t="str">
        <x:v>Stock position</x:v>
      </x:c>
      <x:c r="L5" s="5" t="str">
        <x:v>Stock value GBP</x:v>
      </x:c>
      <x:c r="M5" s="5" t="str">
        <x:v>Target units</x:v>
      </x:c>
      <x:c r="N5" s="5" t="str">
        <x:v>Proposed units</x:v>
      </x:c>
      <x:c r="O5" s="5" t="str">
        <x:v>Order cost GBP</x:v>
      </x:c>
      <x:c r="P5" s="5" t="str">
        <x:v>Demand cost 90d</x:v>
      </x:c>
      <x:c r="Q5" s="5" t="str">
        <x:v>Avg stock value</x:v>
      </x:c>
      <x:c r="R5" s="5" t="str">
        <x:v>Decision</x:v>
      </x:c>
    </x:row>
    <x:row r="6" ht="23" customHeight="1">
      <x:c r="A6" s="1" t="str">
        <x:f>'Item inputs'!A5</x:f>
        <x:v>K0001</x:v>
      </x:c>
      <x:c r="B6" s="1" t="str">
        <x:f>VLOOKUP(A6,'Item inputs'!$A$5:$J$84,2,FALSE)</x:f>
        <x:v>Sinks</x:v>
      </x:c>
      <x:c r="C6" s="9" t="n">
        <x:f>VLOOKUP(A6,'Item inputs'!$A$5:$J$84,3,FALSE)</x:f>
        <x:v>157.79</x:v>
      </x:c>
      <x:c r="D6" s="1" t="n">
        <x:f>VLOOKUP(A6,'Item inputs'!$A$5:$J$84,4,FALSE)</x:f>
        <x:v>7</x:v>
      </x:c>
      <x:c r="E6" s="1" t="n">
        <x:f>VLOOKUP(A6,'Item inputs'!$A$5:$J$84,5,FALSE)</x:f>
        <x:v>35</x:v>
      </x:c>
      <x:c r="F6" s="1" t="n">
        <x:f>VLOOKUP(A6,'Item inputs'!$A$5:$J$84,6,FALSE)</x:f>
        <x:v>7</x:v>
      </x:c>
      <x:c r="G6" s="1" t="n">
        <x:f>VLOOKUP(A6,'Item inputs'!$A$5:$J$84,7,FALSE)</x:f>
        <x:v>28</x:v>
      </x:c>
      <x:c r="H6" s="1" t="n">
        <x:f>VLOOKUP(A6,'Item inputs'!$A$5:$J$84,8,FALSE)</x:f>
        <x:v>111</x:v>
      </x:c>
      <x:c r="I6" s="10" t="n">
        <x:f>H6/90</x:f>
        <x:v>1.2333333333333334</x:v>
      </x:c>
      <x:c r="J6" s="1" t="n">
        <x:f>ROUNDUP(I6*(D6+$B$3),0)</x:f>
        <x:v>18</x:v>
      </x:c>
      <x:c r="K6" s="1" t="n">
        <x:f>E6-F6+G6</x:f>
        <x:v>56</x:v>
      </x:c>
      <x:c r="L6" s="9" t="n">
        <x:f>E6*C6</x:f>
        <x:v>5522.65</x:v>
      </x:c>
      <x:c r="M6" s="1" t="n">
        <x:f>ROUNDUP(I6*(D6+$B$3+$D$3),0)</x:f>
        <x:v>35</x:v>
      </x:c>
      <x:c r="N6" s="1" t="n">
        <x:f>IF(K6&lt;=J6,MAX(0,M6-K6),0)</x:f>
        <x:v>0</x:v>
      </x:c>
      <x:c r="O6" s="9" t="n">
        <x:f>N6*C6</x:f>
        <x:v>0</x:v>
      </x:c>
      <x:c r="P6" s="9" t="n">
        <x:f>H6*C6</x:f>
        <x:v>17514.69</x:v>
      </x:c>
      <x:c r="Q6" s="9" t="n">
        <x:f>VLOOKUP(A6,'Item inputs'!$A$5:$J$84,9,FALSE)*C6</x:f>
        <x:v>3597.612</x:v>
      </x:c>
      <x:c r="R6" s="1" t="str">
        <x:f>IF(N6&gt;0,"Review order","Monitor")</x:f>
        <x:v>Monitor</x:v>
      </x:c>
    </x:row>
    <x:row r="7" ht="23" customHeight="1">
      <x:c r="A7" s="1" t="str">
        <x:f>'Item inputs'!A6</x:f>
        <x:v>K0002</x:v>
      </x:c>
      <x:c r="B7" s="1" t="str">
        <x:f>VLOOKUP(A7,'Item inputs'!$A$5:$J$84,2,FALSE)</x:f>
        <x:v>Taps</x:v>
      </x:c>
      <x:c r="C7" s="9" t="n">
        <x:f>VLOOKUP(A7,'Item inputs'!$A$5:$J$84,3,FALSE)</x:f>
        <x:v>35.37</x:v>
      </x:c>
      <x:c r="D7" s="1" t="n">
        <x:f>VLOOKUP(A7,'Item inputs'!$A$5:$J$84,4,FALSE)</x:f>
        <x:v>12</x:v>
      </x:c>
      <x:c r="E7" s="1" t="n">
        <x:f>VLOOKUP(A7,'Item inputs'!$A$5:$J$84,5,FALSE)</x:f>
        <x:v>89</x:v>
      </x:c>
      <x:c r="F7" s="1" t="n">
        <x:f>VLOOKUP(A7,'Item inputs'!$A$5:$J$84,6,FALSE)</x:f>
        <x:v>18</x:v>
      </x:c>
      <x:c r="G7" s="1" t="n">
        <x:f>VLOOKUP(A7,'Item inputs'!$A$5:$J$84,7,FALSE)</x:f>
        <x:v>54</x:v>
      </x:c>
      <x:c r="H7" s="1" t="n">
        <x:f>VLOOKUP(A7,'Item inputs'!$A$5:$J$84,8,FALSE)</x:f>
        <x:v>1176</x:v>
      </x:c>
      <x:c r="I7" s="10" t="n">
        <x:f>H7/90</x:f>
        <x:v>13.066666666666666</x:v>
      </x:c>
      <x:c r="J7" s="1" t="n">
        <x:f>ROUNDUP(I7*(D7+$B$3),0)</x:f>
        <x:v>249</x:v>
      </x:c>
      <x:c r="K7" s="1" t="n">
        <x:f>E7-F7+G7</x:f>
        <x:v>125</x:v>
      </x:c>
      <x:c r="L7" s="9" t="n">
        <x:f>E7*C7</x:f>
        <x:v>3147.93</x:v>
      </x:c>
      <x:c r="M7" s="1" t="n">
        <x:f>ROUNDUP(I7*(D7+$B$3+$D$3),0)</x:f>
        <x:v>432</x:v>
      </x:c>
      <x:c r="N7" s="1" t="n">
        <x:f>IF(K7&lt;=J7,MAX(0,M7-K7),0)</x:f>
        <x:v>307</x:v>
      </x:c>
      <x:c r="O7" s="9" t="n">
        <x:f>N7*C7</x:f>
        <x:v>10858.589999999998</x:v>
      </x:c>
      <x:c r="P7" s="9" t="n">
        <x:f>H7*C7</x:f>
        <x:v>41595.119999999995</x:v>
      </x:c>
      <x:c r="Q7" s="9" t="n">
        <x:f>VLOOKUP(A7,'Item inputs'!$A$5:$J$84,9,FALSE)*C7</x:f>
        <x:v>6769.817999999999</x:v>
      </x:c>
      <x:c r="R7" s="1" t="str">
        <x:f>IF(N7&gt;0,"Review order","Monitor")</x:f>
        <x:v>Review order</x:v>
      </x:c>
    </x:row>
    <x:row r="8" ht="23" customHeight="1">
      <x:c r="A8" s="1" t="str">
        <x:f>'Item inputs'!A7</x:f>
        <x:v>K0003</x:v>
      </x:c>
      <x:c r="B8" s="1" t="str">
        <x:f>VLOOKUP(A8,'Item inputs'!$A$5:$J$84,2,FALSE)</x:f>
        <x:v>Hoods</x:v>
      </x:c>
      <x:c r="C8" s="9" t="n">
        <x:f>VLOOKUP(A8,'Item inputs'!$A$5:$J$84,3,FALSE)</x:f>
        <x:v>33.36</x:v>
      </x:c>
      <x:c r="D8" s="1" t="n">
        <x:f>VLOOKUP(A8,'Item inputs'!$A$5:$J$84,4,FALSE)</x:f>
        <x:v>16</x:v>
      </x:c>
      <x:c r="E8" s="1" t="n">
        <x:f>VLOOKUP(A8,'Item inputs'!$A$5:$J$84,5,FALSE)</x:f>
        <x:v>258</x:v>
      </x:c>
      <x:c r="F8" s="1" t="n">
        <x:f>VLOOKUP(A8,'Item inputs'!$A$5:$J$84,6,FALSE)</x:f>
        <x:v>19</x:v>
      </x:c>
      <x:c r="G8" s="1" t="n">
        <x:f>VLOOKUP(A8,'Item inputs'!$A$5:$J$84,7,FALSE)</x:f>
        <x:v>3</x:v>
      </x:c>
      <x:c r="H8" s="1" t="n">
        <x:f>VLOOKUP(A8,'Item inputs'!$A$5:$J$84,8,FALSE)</x:f>
        <x:v>536</x:v>
      </x:c>
      <x:c r="I8" s="10" t="n">
        <x:f>H8/90</x:f>
        <x:v>5.955555555555556</x:v>
      </x:c>
      <x:c r="J8" s="1" t="n">
        <x:f>ROUNDUP(I8*(D8+$B$3),0)</x:f>
        <x:v>137</x:v>
      </x:c>
      <x:c r="K8" s="1" t="n">
        <x:f>E8-F8+G8</x:f>
        <x:v>242</x:v>
      </x:c>
      <x:c r="L8" s="9" t="n">
        <x:f>E8*C8</x:f>
        <x:v>8606.88</x:v>
      </x:c>
      <x:c r="M8" s="1" t="n">
        <x:f>ROUNDUP(I8*(D8+$B$3+$D$3),0)</x:f>
        <x:v>221</x:v>
      </x:c>
      <x:c r="N8" s="1" t="n">
        <x:f>IF(K8&lt;=J8,MAX(0,M8-K8),0)</x:f>
        <x:v>0</x:v>
      </x:c>
      <x:c r="O8" s="9" t="n">
        <x:f>N8*C8</x:f>
        <x:v>0</x:v>
      </x:c>
      <x:c r="P8" s="9" t="n">
        <x:f>H8*C8</x:f>
        <x:v>17880.96</x:v>
      </x:c>
      <x:c r="Q8" s="9" t="n">
        <x:f>VLOOKUP(A8,'Item inputs'!$A$5:$J$84,9,FALSE)*C8</x:f>
        <x:v>6695.352</x:v>
      </x:c>
      <x:c r="R8" s="1" t="str">
        <x:f>IF(N8&gt;0,"Review order","Monitor")</x:f>
        <x:v>Monitor</x:v>
      </x:c>
    </x:row>
    <x:row r="9" ht="23" customHeight="1">
      <x:c r="A9" s="1" t="str">
        <x:f>'Item inputs'!A8</x:f>
        <x:v>K0004</x:v>
      </x:c>
      <x:c r="B9" s="1" t="str">
        <x:f>VLOOKUP(A9,'Item inputs'!$A$5:$J$84,2,FALSE)</x:f>
        <x:v>Accessories</x:v>
      </x:c>
      <x:c r="C9" s="9" t="n">
        <x:f>VLOOKUP(A9,'Item inputs'!$A$5:$J$84,3,FALSE)</x:f>
        <x:v>175.25</x:v>
      </x:c>
      <x:c r="D9" s="1" t="n">
        <x:f>VLOOKUP(A9,'Item inputs'!$A$5:$J$84,4,FALSE)</x:f>
        <x:v>18</x:v>
      </x:c>
      <x:c r="E9" s="1" t="n">
        <x:f>VLOOKUP(A9,'Item inputs'!$A$5:$J$84,5,FALSE)</x:f>
        <x:v>429</x:v>
      </x:c>
      <x:c r="F9" s="1" t="n">
        <x:f>VLOOKUP(A9,'Item inputs'!$A$5:$J$84,6,FALSE)</x:f>
        <x:v>7</x:v>
      </x:c>
      <x:c r="G9" s="1" t="n">
        <x:f>VLOOKUP(A9,'Item inputs'!$A$5:$J$84,7,FALSE)</x:f>
        <x:v>57</x:v>
      </x:c>
      <x:c r="H9" s="1" t="n">
        <x:f>VLOOKUP(A9,'Item inputs'!$A$5:$J$84,8,FALSE)</x:f>
        <x:v>1176</x:v>
      </x:c>
      <x:c r="I9" s="10" t="n">
        <x:f>H9/90</x:f>
        <x:v>13.066666666666666</x:v>
      </x:c>
      <x:c r="J9" s="1" t="n">
        <x:f>ROUNDUP(I9*(D9+$B$3),0)</x:f>
        <x:v>327</x:v>
      </x:c>
      <x:c r="K9" s="1" t="n">
        <x:f>E9-F9+G9</x:f>
        <x:v>479</x:v>
      </x:c>
      <x:c r="L9" s="9" t="n">
        <x:f>E9*C9</x:f>
        <x:v>75182.25</x:v>
      </x:c>
      <x:c r="M9" s="1" t="n">
        <x:f>ROUNDUP(I9*(D9+$B$3+$D$3),0)</x:f>
        <x:v>510</x:v>
      </x:c>
      <x:c r="N9" s="1" t="n">
        <x:f>IF(K9&lt;=J9,MAX(0,M9-K9),0)</x:f>
        <x:v>0</x:v>
      </x:c>
      <x:c r="O9" s="9" t="n">
        <x:f>N9*C9</x:f>
        <x:v>0</x:v>
      </x:c>
      <x:c r="P9" s="9" t="n">
        <x:f>H9*C9</x:f>
        <x:v>206094</x:v>
      </x:c>
      <x:c r="Q9" s="9" t="n">
        <x:f>VLOOKUP(A9,'Item inputs'!$A$5:$J$84,9,FALSE)*C9</x:f>
        <x:v>79493.40000000001</x:v>
      </x:c>
      <x:c r="R9" s="1" t="str">
        <x:f>IF(N9&gt;0,"Review order","Monitor")</x:f>
        <x:v>Monitor</x:v>
      </x:c>
    </x:row>
    <x:row r="10" ht="23" customHeight="1">
      <x:c r="A10" s="1" t="str">
        <x:f>'Item inputs'!A9</x:f>
        <x:v>K0005</x:v>
      </x:c>
      <x:c r="B10" s="1" t="str">
        <x:f>VLOOKUP(A10,'Item inputs'!$A$5:$J$84,2,FALSE)</x:f>
        <x:v>Sinks</x:v>
      </x:c>
      <x:c r="C10" s="9" t="n">
        <x:f>VLOOKUP(A10,'Item inputs'!$A$5:$J$84,3,FALSE)</x:f>
        <x:v>196.55</x:v>
      </x:c>
      <x:c r="D10" s="1" t="n">
        <x:f>VLOOKUP(A10,'Item inputs'!$A$5:$J$84,4,FALSE)</x:f>
        <x:v>25</x:v>
      </x:c>
      <x:c r="E10" s="1" t="n">
        <x:f>VLOOKUP(A10,'Item inputs'!$A$5:$J$84,5,FALSE)</x:f>
        <x:v>48</x:v>
      </x:c>
      <x:c r="F10" s="1" t="n">
        <x:f>VLOOKUP(A10,'Item inputs'!$A$5:$J$84,6,FALSE)</x:f>
        <x:v>5</x:v>
      </x:c>
      <x:c r="G10" s="1" t="n">
        <x:f>VLOOKUP(A10,'Item inputs'!$A$5:$J$84,7,FALSE)</x:f>
        <x:v>54</x:v>
      </x:c>
      <x:c r="H10" s="1" t="n">
        <x:f>VLOOKUP(A10,'Item inputs'!$A$5:$J$84,8,FALSE)</x:f>
        <x:v>73</x:v>
      </x:c>
      <x:c r="I10" s="10" t="n">
        <x:f>H10/90</x:f>
        <x:v>0.8111111111111111</x:v>
      </x:c>
      <x:c r="J10" s="1" t="n">
        <x:f>ROUNDUP(I10*(D10+$B$3),0)</x:f>
        <x:v>26</x:v>
      </x:c>
      <x:c r="K10" s="1" t="n">
        <x:f>E10-F10+G10</x:f>
        <x:v>97</x:v>
      </x:c>
      <x:c r="L10" s="9" t="n">
        <x:f>E10*C10</x:f>
        <x:v>9434.400000000001</x:v>
      </x:c>
      <x:c r="M10" s="1" t="n">
        <x:f>ROUNDUP(I10*(D10+$B$3+$D$3),0)</x:f>
        <x:v>38</x:v>
      </x:c>
      <x:c r="N10" s="1" t="n">
        <x:f>IF(K10&lt;=J10,MAX(0,M10-K10),0)</x:f>
        <x:v>0</x:v>
      </x:c>
      <x:c r="O10" s="9" t="n">
        <x:f>N10*C10</x:f>
        <x:v>0</x:v>
      </x:c>
      <x:c r="P10" s="9" t="n">
        <x:f>H10*C10</x:f>
        <x:v>14348.150000000001</x:v>
      </x:c>
      <x:c r="Q10" s="9" t="n">
        <x:f>VLOOKUP(A10,'Item inputs'!$A$5:$J$84,9,FALSE)*C10</x:f>
        <x:v>4107.8949999999995</x:v>
      </x:c>
      <x:c r="R10" s="1" t="str">
        <x:f>IF(N10&gt;0,"Review order","Monitor")</x:f>
        <x:v>Monitor</x:v>
      </x:c>
    </x:row>
    <x:row r="11" ht="23" customHeight="1">
      <x:c r="A11" s="1" t="str">
        <x:f>'Item inputs'!A10</x:f>
        <x:v>K0006</x:v>
      </x:c>
      <x:c r="B11" s="1" t="str">
        <x:f>VLOOKUP(A11,'Item inputs'!$A$5:$J$84,2,FALSE)</x:f>
        <x:v>Taps</x:v>
      </x:c>
      <x:c r="C11" s="9" t="n">
        <x:f>VLOOKUP(A11,'Item inputs'!$A$5:$J$84,3,FALSE)</x:f>
        <x:v>47.45</x:v>
      </x:c>
      <x:c r="D11" s="1" t="n">
        <x:f>VLOOKUP(A11,'Item inputs'!$A$5:$J$84,4,FALSE)</x:f>
        <x:v>14</x:v>
      </x:c>
      <x:c r="E11" s="1" t="n">
        <x:f>VLOOKUP(A11,'Item inputs'!$A$5:$J$84,5,FALSE)</x:f>
        <x:v>104</x:v>
      </x:c>
      <x:c r="F11" s="1" t="n">
        <x:f>VLOOKUP(A11,'Item inputs'!$A$5:$J$84,6,FALSE)</x:f>
        <x:v>2</x:v>
      </x:c>
      <x:c r="G11" s="1" t="n">
        <x:f>VLOOKUP(A11,'Item inputs'!$A$5:$J$84,7,FALSE)</x:f>
        <x:v>48</x:v>
      </x:c>
      <x:c r="H11" s="1" t="n">
        <x:f>VLOOKUP(A11,'Item inputs'!$A$5:$J$84,8,FALSE)</x:f>
        <x:v>749</x:v>
      </x:c>
      <x:c r="I11" s="10" t="n">
        <x:f>H11/90</x:f>
        <x:v>8.322222222222223</x:v>
      </x:c>
      <x:c r="J11" s="1" t="n">
        <x:f>ROUNDUP(I11*(D11+$B$3),0)</x:f>
        <x:v>175</x:v>
      </x:c>
      <x:c r="K11" s="1" t="n">
        <x:f>E11-F11+G11</x:f>
        <x:v>150</x:v>
      </x:c>
      <x:c r="L11" s="9" t="n">
        <x:f>E11*C11</x:f>
        <x:v>4934.8</x:v>
      </x:c>
      <x:c r="M11" s="1" t="n">
        <x:f>ROUNDUP(I11*(D11+$B$3+$D$3),0)</x:f>
        <x:v>292</x:v>
      </x:c>
      <x:c r="N11" s="1" t="n">
        <x:f>IF(K11&lt;=J11,MAX(0,M11-K11),0)</x:f>
        <x:v>142</x:v>
      </x:c>
      <x:c r="O11" s="9" t="n">
        <x:f>N11*C11</x:f>
        <x:v>6737.900000000001</x:v>
      </x:c>
      <x:c r="P11" s="9" t="n">
        <x:f>H11*C11</x:f>
        <x:v>35540.05</x:v>
      </x:c>
      <x:c r="Q11" s="9" t="n">
        <x:f>VLOOKUP(A11,'Item inputs'!$A$5:$J$84,9,FALSE)*C11</x:f>
        <x:v>6704.685000000001</x:v>
      </x:c>
      <x:c r="R11" s="1" t="str">
        <x:f>IF(N11&gt;0,"Review order","Monitor")</x:f>
        <x:v>Review order</x:v>
      </x:c>
    </x:row>
    <x:row r="12" ht="23" customHeight="1">
      <x:c r="A12" s="1" t="str">
        <x:f>'Item inputs'!A11</x:f>
        <x:v>K0007</x:v>
      </x:c>
      <x:c r="B12" s="1" t="str">
        <x:f>VLOOKUP(A12,'Item inputs'!$A$5:$J$84,2,FALSE)</x:f>
        <x:v>Hoods</x:v>
      </x:c>
      <x:c r="C12" s="9" t="n">
        <x:f>VLOOKUP(A12,'Item inputs'!$A$5:$J$84,3,FALSE)</x:f>
        <x:v>205.23</x:v>
      </x:c>
      <x:c r="D12" s="1" t="n">
        <x:f>VLOOKUP(A12,'Item inputs'!$A$5:$J$84,4,FALSE)</x:f>
        <x:v>7</x:v>
      </x:c>
      <x:c r="E12" s="1" t="n">
        <x:f>VLOOKUP(A12,'Item inputs'!$A$5:$J$84,5,FALSE)</x:f>
        <x:v>413</x:v>
      </x:c>
      <x:c r="F12" s="1" t="n">
        <x:f>VLOOKUP(A12,'Item inputs'!$A$5:$J$84,6,FALSE)</x:f>
        <x:v>1</x:v>
      </x:c>
      <x:c r="G12" s="1" t="n">
        <x:f>VLOOKUP(A12,'Item inputs'!$A$5:$J$84,7,FALSE)</x:f>
        <x:v>58</x:v>
      </x:c>
      <x:c r="H12" s="1" t="n">
        <x:f>VLOOKUP(A12,'Item inputs'!$A$5:$J$84,8,FALSE)</x:f>
        <x:v>601</x:v>
      </x:c>
      <x:c r="I12" s="10" t="n">
        <x:f>H12/90</x:f>
        <x:v>6.677777777777778</x:v>
      </x:c>
      <x:c r="J12" s="1" t="n">
        <x:f>ROUNDUP(I12*(D12+$B$3),0)</x:f>
        <x:v>94</x:v>
      </x:c>
      <x:c r="K12" s="1" t="n">
        <x:f>E12-F12+G12</x:f>
        <x:v>470</x:v>
      </x:c>
      <x:c r="L12" s="9" t="n">
        <x:f>E12*C12</x:f>
        <x:v>84759.98999999999</x:v>
      </x:c>
      <x:c r="M12" s="1" t="n">
        <x:f>ROUNDUP(I12*(D12+$B$3+$D$3),0)</x:f>
        <x:v>187</x:v>
      </x:c>
      <x:c r="N12" s="1" t="n">
        <x:f>IF(K12&lt;=J12,MAX(0,M12-K12),0)</x:f>
        <x:v>0</x:v>
      </x:c>
      <x:c r="O12" s="9" t="n">
        <x:f>N12*C12</x:f>
        <x:v>0</x:v>
      </x:c>
      <x:c r="P12" s="9" t="n">
        <x:f>H12*C12</x:f>
        <x:v>123343.23</x:v>
      </x:c>
      <x:c r="Q12" s="9" t="n">
        <x:f>VLOOKUP(A12,'Item inputs'!$A$5:$J$84,9,FALSE)*C12</x:f>
        <x:v>44965.893</x:v>
      </x:c>
      <x:c r="R12" s="1" t="str">
        <x:f>IF(N12&gt;0,"Review order","Monitor")</x:f>
        <x:v>Monitor</x:v>
      </x:c>
    </x:row>
    <x:row r="13" ht="23" customHeight="1">
      <x:c r="A13" s="1" t="str">
        <x:f>'Item inputs'!A12</x:f>
        <x:v>K0008</x:v>
      </x:c>
      <x:c r="B13" s="1" t="str">
        <x:f>VLOOKUP(A13,'Item inputs'!$A$5:$J$84,2,FALSE)</x:f>
        <x:v>Accessories</x:v>
      </x:c>
      <x:c r="C13" s="9" t="n">
        <x:f>VLOOKUP(A13,'Item inputs'!$A$5:$J$84,3,FALSE)</x:f>
        <x:v>233.87</x:v>
      </x:c>
      <x:c r="D13" s="1" t="n">
        <x:f>VLOOKUP(A13,'Item inputs'!$A$5:$J$84,4,FALSE)</x:f>
        <x:v>12</x:v>
      </x:c>
      <x:c r="E13" s="1" t="n">
        <x:f>VLOOKUP(A13,'Item inputs'!$A$5:$J$84,5,FALSE)</x:f>
        <x:v>80</x:v>
      </x:c>
      <x:c r="F13" s="1" t="n">
        <x:f>VLOOKUP(A13,'Item inputs'!$A$5:$J$84,6,FALSE)</x:f>
        <x:v>17</x:v>
      </x:c>
      <x:c r="G13" s="1" t="n">
        <x:f>VLOOKUP(A13,'Item inputs'!$A$5:$J$84,7,FALSE)</x:f>
        <x:v>37</x:v>
      </x:c>
      <x:c r="H13" s="1" t="n">
        <x:f>VLOOKUP(A13,'Item inputs'!$A$5:$J$84,8,FALSE)</x:f>
        <x:v>835</x:v>
      </x:c>
      <x:c r="I13" s="10" t="n">
        <x:f>H13/90</x:f>
        <x:v>9.277777777777779</x:v>
      </x:c>
      <x:c r="J13" s="1" t="n">
        <x:f>ROUNDUP(I13*(D13+$B$3),0)</x:f>
        <x:v>177</x:v>
      </x:c>
      <x:c r="K13" s="1" t="n">
        <x:f>E13-F13+G13</x:f>
        <x:v>100</x:v>
      </x:c>
      <x:c r="L13" s="9" t="n">
        <x:f>E13*C13</x:f>
        <x:v>18709.6</x:v>
      </x:c>
      <x:c r="M13" s="1" t="n">
        <x:f>ROUNDUP(I13*(D13+$B$3+$D$3),0)</x:f>
        <x:v>307</x:v>
      </x:c>
      <x:c r="N13" s="1" t="n">
        <x:f>IF(K13&lt;=J13,MAX(0,M13-K13),0)</x:f>
        <x:v>207</x:v>
      </x:c>
      <x:c r="O13" s="9" t="n">
        <x:f>N13*C13</x:f>
        <x:v>48411.090000000004</x:v>
      </x:c>
      <x:c r="P13" s="9" t="n">
        <x:f>H13*C13</x:f>
        <x:v>195281.45</x:v>
      </x:c>
      <x:c r="Q13" s="9" t="n">
        <x:f>VLOOKUP(A13,'Item inputs'!$A$5:$J$84,9,FALSE)*C13</x:f>
        <x:v>94085.901</x:v>
      </x:c>
      <x:c r="R13" s="1" t="str">
        <x:f>IF(N13&gt;0,"Review order","Monitor")</x:f>
        <x:v>Review order</x:v>
      </x:c>
    </x:row>
    <x:row r="14" ht="23" customHeight="1">
      <x:c r="A14" s="1" t="str">
        <x:f>'Item inputs'!A13</x:f>
        <x:v>K0009</x:v>
      </x:c>
      <x:c r="B14" s="1" t="str">
        <x:f>VLOOKUP(A14,'Item inputs'!$A$5:$J$84,2,FALSE)</x:f>
        <x:v>Sinks</x:v>
      </x:c>
      <x:c r="C14" s="9" t="n">
        <x:f>VLOOKUP(A14,'Item inputs'!$A$5:$J$84,3,FALSE)</x:f>
        <x:v>153.02</x:v>
      </x:c>
      <x:c r="D14" s="1" t="n">
        <x:f>VLOOKUP(A14,'Item inputs'!$A$5:$J$84,4,FALSE)</x:f>
        <x:v>16</x:v>
      </x:c>
      <x:c r="E14" s="1" t="n">
        <x:f>VLOOKUP(A14,'Item inputs'!$A$5:$J$84,5,FALSE)</x:f>
        <x:v>591</x:v>
      </x:c>
      <x:c r="F14" s="1" t="n">
        <x:f>VLOOKUP(A14,'Item inputs'!$A$5:$J$84,6,FALSE)</x:f>
        <x:v>6</x:v>
      </x:c>
      <x:c r="G14" s="1" t="n">
        <x:f>VLOOKUP(A14,'Item inputs'!$A$5:$J$84,7,FALSE)</x:f>
        <x:v>8</x:v>
      </x:c>
      <x:c r="H14" s="1" t="n">
        <x:f>VLOOKUP(A14,'Item inputs'!$A$5:$J$84,8,FALSE)</x:f>
        <x:v>800</x:v>
      </x:c>
      <x:c r="I14" s="10" t="n">
        <x:f>H14/90</x:f>
        <x:v>8.88888888888889</x:v>
      </x:c>
      <x:c r="J14" s="1" t="n">
        <x:f>ROUNDUP(I14*(D14+$B$3),0)</x:f>
        <x:v>205</x:v>
      </x:c>
      <x:c r="K14" s="1" t="n">
        <x:f>E14-F14+G14</x:f>
        <x:v>593</x:v>
      </x:c>
      <x:c r="L14" s="9" t="n">
        <x:f>E14*C14</x:f>
        <x:v>90434.82</x:v>
      </x:c>
      <x:c r="M14" s="1" t="n">
        <x:f>ROUNDUP(I14*(D14+$B$3+$D$3),0)</x:f>
        <x:v>329</x:v>
      </x:c>
      <x:c r="N14" s="1" t="n">
        <x:f>IF(K14&lt;=J14,MAX(0,M14-K14),0)</x:f>
        <x:v>0</x:v>
      </x:c>
      <x:c r="O14" s="9" t="n">
        <x:f>N14*C14</x:f>
        <x:v>0</x:v>
      </x:c>
      <x:c r="P14" s="9" t="n">
        <x:f>H14*C14</x:f>
        <x:v>122416.00000000001</x:v>
      </x:c>
      <x:c r="Q14" s="9" t="n">
        <x:f>VLOOKUP(A14,'Item inputs'!$A$5:$J$84,9,FALSE)*C14</x:f>
        <x:v>20611.793999999998</x:v>
      </x:c>
      <x:c r="R14" s="1" t="str">
        <x:f>IF(N14&gt;0,"Review order","Monitor")</x:f>
        <x:v>Monitor</x:v>
      </x:c>
    </x:row>
    <x:row r="15" ht="23" customHeight="1">
      <x:c r="A15" s="1" t="str">
        <x:f>'Item inputs'!A14</x:f>
        <x:v>K0010</x:v>
      </x:c>
      <x:c r="B15" s="1" t="str">
        <x:f>VLOOKUP(A15,'Item inputs'!$A$5:$J$84,2,FALSE)</x:f>
        <x:v>Taps</x:v>
      </x:c>
      <x:c r="C15" s="9" t="n">
        <x:f>VLOOKUP(A15,'Item inputs'!$A$5:$J$84,3,FALSE)</x:f>
        <x:v>63.96</x:v>
      </x:c>
      <x:c r="D15" s="1" t="n">
        <x:f>VLOOKUP(A15,'Item inputs'!$A$5:$J$84,4,FALSE)</x:f>
        <x:v>18</x:v>
      </x:c>
      <x:c r="E15" s="1" t="n">
        <x:f>VLOOKUP(A15,'Item inputs'!$A$5:$J$84,5,FALSE)</x:f>
        <x:v>81</x:v>
      </x:c>
      <x:c r="F15" s="1" t="n">
        <x:f>VLOOKUP(A15,'Item inputs'!$A$5:$J$84,6,FALSE)</x:f>
        <x:v>7</x:v>
      </x:c>
      <x:c r="G15" s="1" t="n">
        <x:f>VLOOKUP(A15,'Item inputs'!$A$5:$J$84,7,FALSE)</x:f>
        <x:v>12</x:v>
      </x:c>
      <x:c r="H15" s="1" t="n">
        <x:f>VLOOKUP(A15,'Item inputs'!$A$5:$J$84,8,FALSE)</x:f>
        <x:v>652</x:v>
      </x:c>
      <x:c r="I15" s="10" t="n">
        <x:f>H15/90</x:f>
        <x:v>7.2444444444444445</x:v>
      </x:c>
      <x:c r="J15" s="1" t="n">
        <x:f>ROUNDUP(I15*(D15+$B$3),0)</x:f>
        <x:v>182</x:v>
      </x:c>
      <x:c r="K15" s="1" t="n">
        <x:f>E15-F15+G15</x:f>
        <x:v>86</x:v>
      </x:c>
      <x:c r="L15" s="9" t="n">
        <x:f>E15*C15</x:f>
        <x:v>5180.76</x:v>
      </x:c>
      <x:c r="M15" s="1" t="n">
        <x:f>ROUNDUP(I15*(D15+$B$3+$D$3),0)</x:f>
        <x:v>283</x:v>
      </x:c>
      <x:c r="N15" s="1" t="n">
        <x:f>IF(K15&lt;=J15,MAX(0,M15-K15),0)</x:f>
        <x:v>197</x:v>
      </x:c>
      <x:c r="O15" s="9" t="n">
        <x:f>N15*C15</x:f>
        <x:v>12600.12</x:v>
      </x:c>
      <x:c r="P15" s="9" t="n">
        <x:f>H15*C15</x:f>
        <x:v>41701.92</x:v>
      </x:c>
      <x:c r="Q15" s="9" t="n">
        <x:f>VLOOKUP(A15,'Item inputs'!$A$5:$J$84,9,FALSE)*C15</x:f>
        <x:v>12593.724</x:v>
      </x:c>
      <x:c r="R15" s="1" t="str">
        <x:f>IF(N15&gt;0,"Review order","Monitor")</x:f>
        <x:v>Review order</x:v>
      </x:c>
    </x:row>
    <x:row r="16" ht="23" customHeight="1">
      <x:c r="A16" s="1" t="str">
        <x:f>'Item inputs'!A15</x:f>
        <x:v>K0011</x:v>
      </x:c>
      <x:c r="B16" s="1" t="str">
        <x:f>VLOOKUP(A16,'Item inputs'!$A$5:$J$84,2,FALSE)</x:f>
        <x:v>Hoods</x:v>
      </x:c>
      <x:c r="C16" s="9" t="n">
        <x:f>VLOOKUP(A16,'Item inputs'!$A$5:$J$84,3,FALSE)</x:f>
        <x:v>115.38</x:v>
      </x:c>
      <x:c r="D16" s="1" t="n">
        <x:f>VLOOKUP(A16,'Item inputs'!$A$5:$J$84,4,FALSE)</x:f>
        <x:v>25</x:v>
      </x:c>
      <x:c r="E16" s="1" t="n">
        <x:f>VLOOKUP(A16,'Item inputs'!$A$5:$J$84,5,FALSE)</x:f>
        <x:v>166</x:v>
      </x:c>
      <x:c r="F16" s="1" t="n">
        <x:f>VLOOKUP(A16,'Item inputs'!$A$5:$J$84,6,FALSE)</x:f>
        <x:v>11</x:v>
      </x:c>
      <x:c r="G16" s="1" t="n">
        <x:f>VLOOKUP(A16,'Item inputs'!$A$5:$J$84,7,FALSE)</x:f>
        <x:v>45</x:v>
      </x:c>
      <x:c r="H16" s="1" t="n">
        <x:f>VLOOKUP(A16,'Item inputs'!$A$5:$J$84,8,FALSE)</x:f>
        <x:v>807</x:v>
      </x:c>
      <x:c r="I16" s="10" t="n">
        <x:f>H16/90</x:f>
        <x:v>8.966666666666667</x:v>
      </x:c>
      <x:c r="J16" s="1" t="n">
        <x:f>ROUNDUP(I16*(D16+$B$3),0)</x:f>
        <x:v>287</x:v>
      </x:c>
      <x:c r="K16" s="1" t="n">
        <x:f>E16-F16+G16</x:f>
        <x:v>200</x:v>
      </x:c>
      <x:c r="L16" s="9" t="n">
        <x:f>E16*C16</x:f>
        <x:v>19153.079999999998</x:v>
      </x:c>
      <x:c r="M16" s="1" t="n">
        <x:f>ROUNDUP(I16*(D16+$B$3+$D$3),0)</x:f>
        <x:v>413</x:v>
      </x:c>
      <x:c r="N16" s="1" t="n">
        <x:f>IF(K16&lt;=J16,MAX(0,M16-K16),0)</x:f>
        <x:v>213</x:v>
      </x:c>
      <x:c r="O16" s="9" t="n">
        <x:f>N16*C16</x:f>
        <x:v>24575.94</x:v>
      </x:c>
      <x:c r="P16" s="9" t="n">
        <x:f>H16*C16</x:f>
        <x:v>93111.66</x:v>
      </x:c>
      <x:c r="Q16" s="9" t="n">
        <x:f>VLOOKUP(A16,'Item inputs'!$A$5:$J$84,9,FALSE)*C16</x:f>
        <x:v>21772.206</x:v>
      </x:c>
      <x:c r="R16" s="1" t="str">
        <x:f>IF(N16&gt;0,"Review order","Monitor")</x:f>
        <x:v>Review order</x:v>
      </x:c>
    </x:row>
    <x:row r="17" ht="23" customHeight="1">
      <x:c r="A17" s="1" t="str">
        <x:f>'Item inputs'!A16</x:f>
        <x:v>K0012</x:v>
      </x:c>
      <x:c r="B17" s="1" t="str">
        <x:f>VLOOKUP(A17,'Item inputs'!$A$5:$J$84,2,FALSE)</x:f>
        <x:v>Accessories</x:v>
      </x:c>
      <x:c r="C17" s="9" t="n">
        <x:f>VLOOKUP(A17,'Item inputs'!$A$5:$J$84,3,FALSE)</x:f>
        <x:v>72.87</x:v>
      </x:c>
      <x:c r="D17" s="1" t="n">
        <x:f>VLOOKUP(A17,'Item inputs'!$A$5:$J$84,4,FALSE)</x:f>
        <x:v>14</x:v>
      </x:c>
      <x:c r="E17" s="1" t="n">
        <x:f>VLOOKUP(A17,'Item inputs'!$A$5:$J$84,5,FALSE)</x:f>
        <x:v>155</x:v>
      </x:c>
      <x:c r="F17" s="1" t="n">
        <x:f>VLOOKUP(A17,'Item inputs'!$A$5:$J$84,6,FALSE)</x:f>
        <x:v>20</x:v>
      </x:c>
      <x:c r="G17" s="1" t="n">
        <x:f>VLOOKUP(A17,'Item inputs'!$A$5:$J$84,7,FALSE)</x:f>
        <x:v>21</x:v>
      </x:c>
      <x:c r="H17" s="1" t="n">
        <x:f>VLOOKUP(A17,'Item inputs'!$A$5:$J$84,8,FALSE)</x:f>
        <x:v>206</x:v>
      </x:c>
      <x:c r="I17" s="10" t="n">
        <x:f>H17/90</x:f>
        <x:v>2.2888888888888888</x:v>
      </x:c>
      <x:c r="J17" s="1" t="n">
        <x:f>ROUNDUP(I17*(D17+$B$3),0)</x:f>
        <x:v>49</x:v>
      </x:c>
      <x:c r="K17" s="1" t="n">
        <x:f>E17-F17+G17</x:f>
        <x:v>156</x:v>
      </x:c>
      <x:c r="L17" s="9" t="n">
        <x:f>E17*C17</x:f>
        <x:v>11294.85</x:v>
      </x:c>
      <x:c r="M17" s="1" t="n">
        <x:f>ROUNDUP(I17*(D17+$B$3+$D$3),0)</x:f>
        <x:v>81</x:v>
      </x:c>
      <x:c r="N17" s="1" t="n">
        <x:f>IF(K17&lt;=J17,MAX(0,M17-K17),0)</x:f>
        <x:v>0</x:v>
      </x:c>
      <x:c r="O17" s="9" t="n">
        <x:f>N17*C17</x:f>
        <x:v>0</x:v>
      </x:c>
      <x:c r="P17" s="9" t="n">
        <x:f>H17*C17</x:f>
        <x:v>15011.220000000001</x:v>
      </x:c>
      <x:c r="Q17" s="9" t="n">
        <x:f>VLOOKUP(A17,'Item inputs'!$A$5:$J$84,9,FALSE)*C17</x:f>
        <x:v>5457.963000000001</x:v>
      </x:c>
      <x:c r="R17" s="1" t="str">
        <x:f>IF(N17&gt;0,"Review order","Monitor")</x:f>
        <x:v>Monitor</x:v>
      </x:c>
    </x:row>
    <x:row r="18" ht="23" customHeight="1">
      <x:c r="A18" s="1" t="str">
        <x:f>'Item inputs'!A17</x:f>
        <x:v>K0013</x:v>
      </x:c>
      <x:c r="B18" s="1" t="str">
        <x:f>VLOOKUP(A18,'Item inputs'!$A$5:$J$84,2,FALSE)</x:f>
        <x:v>Sinks</x:v>
      </x:c>
      <x:c r="C18" s="9" t="n">
        <x:f>VLOOKUP(A18,'Item inputs'!$A$5:$J$84,3,FALSE)</x:f>
        <x:v>67.82</x:v>
      </x:c>
      <x:c r="D18" s="1" t="n">
        <x:f>VLOOKUP(A18,'Item inputs'!$A$5:$J$84,4,FALSE)</x:f>
        <x:v>7</x:v>
      </x:c>
      <x:c r="E18" s="1" t="n">
        <x:f>VLOOKUP(A18,'Item inputs'!$A$5:$J$84,5,FALSE)</x:f>
        <x:v>388</x:v>
      </x:c>
      <x:c r="F18" s="1" t="n">
        <x:f>VLOOKUP(A18,'Item inputs'!$A$5:$J$84,6,FALSE)</x:f>
        <x:v>8</x:v>
      </x:c>
      <x:c r="G18" s="1" t="n">
        <x:f>VLOOKUP(A18,'Item inputs'!$A$5:$J$84,7,FALSE)</x:f>
        <x:v>71</x:v>
      </x:c>
      <x:c r="H18" s="1" t="n">
        <x:f>VLOOKUP(A18,'Item inputs'!$A$5:$J$84,8,FALSE)</x:f>
        <x:v>1006</x:v>
      </x:c>
      <x:c r="I18" s="10" t="n">
        <x:f>H18/90</x:f>
        <x:v>11.177777777777777</x:v>
      </x:c>
      <x:c r="J18" s="1" t="n">
        <x:f>ROUNDUP(I18*(D18+$B$3),0)</x:f>
        <x:v>157</x:v>
      </x:c>
      <x:c r="K18" s="1" t="n">
        <x:f>E18-F18+G18</x:f>
        <x:v>451</x:v>
      </x:c>
      <x:c r="L18" s="9" t="n">
        <x:f>E18*C18</x:f>
        <x:v>26314.159999999996</x:v>
      </x:c>
      <x:c r="M18" s="1" t="n">
        <x:f>ROUNDUP(I18*(D18+$B$3+$D$3),0)</x:f>
        <x:v>313</x:v>
      </x:c>
      <x:c r="N18" s="1" t="n">
        <x:f>IF(K18&lt;=J18,MAX(0,M18-K18),0)</x:f>
        <x:v>0</x:v>
      </x:c>
      <x:c r="O18" s="9" t="n">
        <x:f>N18*C18</x:f>
        <x:v>0</x:v>
      </x:c>
      <x:c r="P18" s="9" t="n">
        <x:f>H18*C18</x:f>
        <x:v>68226.92</x:v>
      </x:c>
      <x:c r="Q18" s="9" t="n">
        <x:f>VLOOKUP(A18,'Item inputs'!$A$5:$J$84,9,FALSE)*C18</x:f>
        <x:v>16229.326</x:v>
      </x:c>
      <x:c r="R18" s="1" t="str">
        <x:f>IF(N18&gt;0,"Review order","Monitor")</x:f>
        <x:v>Monitor</x:v>
      </x:c>
    </x:row>
    <x:row r="19" ht="23" customHeight="1">
      <x:c r="A19" s="1" t="str">
        <x:f>'Item inputs'!A18</x:f>
        <x:v>K0014</x:v>
      </x:c>
      <x:c r="B19" s="1" t="str">
        <x:f>VLOOKUP(A19,'Item inputs'!$A$5:$J$84,2,FALSE)</x:f>
        <x:v>Taps</x:v>
      </x:c>
      <x:c r="C19" s="9" t="n">
        <x:f>VLOOKUP(A19,'Item inputs'!$A$5:$J$84,3,FALSE)</x:f>
        <x:v>85.94</x:v>
      </x:c>
      <x:c r="D19" s="1" t="n">
        <x:f>VLOOKUP(A19,'Item inputs'!$A$5:$J$84,4,FALSE)</x:f>
        <x:v>12</x:v>
      </x:c>
      <x:c r="E19" s="1" t="n">
        <x:f>VLOOKUP(A19,'Item inputs'!$A$5:$J$84,5,FALSE)</x:f>
        <x:v>58</x:v>
      </x:c>
      <x:c r="F19" s="1" t="n">
        <x:f>VLOOKUP(A19,'Item inputs'!$A$5:$J$84,6,FALSE)</x:f>
        <x:v>1</x:v>
      </x:c>
      <x:c r="G19" s="1" t="n">
        <x:f>VLOOKUP(A19,'Item inputs'!$A$5:$J$84,7,FALSE)</x:f>
        <x:v>40</x:v>
      </x:c>
      <x:c r="H19" s="1" t="n">
        <x:f>VLOOKUP(A19,'Item inputs'!$A$5:$J$84,8,FALSE)</x:f>
        <x:v>174</x:v>
      </x:c>
      <x:c r="I19" s="10" t="n">
        <x:f>H19/90</x:f>
        <x:v>1.9333333333333333</x:v>
      </x:c>
      <x:c r="J19" s="1" t="n">
        <x:f>ROUNDUP(I19*(D19+$B$3),0)</x:f>
        <x:v>37</x:v>
      </x:c>
      <x:c r="K19" s="1" t="n">
        <x:f>E19-F19+G19</x:f>
        <x:v>97</x:v>
      </x:c>
      <x:c r="L19" s="9" t="n">
        <x:f>E19*C19</x:f>
        <x:v>4984.5199999999995</x:v>
      </x:c>
      <x:c r="M19" s="1" t="n">
        <x:f>ROUNDUP(I19*(D19+$B$3+$D$3),0)</x:f>
        <x:v>64</x:v>
      </x:c>
      <x:c r="N19" s="1" t="n">
        <x:f>IF(K19&lt;=J19,MAX(0,M19-K19),0)</x:f>
        <x:v>0</x:v>
      </x:c>
      <x:c r="O19" s="9" t="n">
        <x:f>N19*C19</x:f>
        <x:v>0</x:v>
      </x:c>
      <x:c r="P19" s="9" t="n">
        <x:f>H19*C19</x:f>
        <x:v>14953.56</x:v>
      </x:c>
      <x:c r="Q19" s="9" t="n">
        <x:f>VLOOKUP(A19,'Item inputs'!$A$5:$J$84,9,FALSE)*C19</x:f>
        <x:v>4640.76</x:v>
      </x:c>
      <x:c r="R19" s="1" t="str">
        <x:f>IF(N19&gt;0,"Review order","Monitor")</x:f>
        <x:v>Monitor</x:v>
      </x:c>
    </x:row>
    <x:row r="20" ht="23" customHeight="1">
      <x:c r="A20" s="1" t="str">
        <x:f>'Item inputs'!A19</x:f>
        <x:v>K0015</x:v>
      </x:c>
      <x:c r="B20" s="1" t="str">
        <x:f>VLOOKUP(A20,'Item inputs'!$A$5:$J$84,2,FALSE)</x:f>
        <x:v>Hoods</x:v>
      </x:c>
      <x:c r="C20" s="9" t="n">
        <x:f>VLOOKUP(A20,'Item inputs'!$A$5:$J$84,3,FALSE)</x:f>
        <x:v>27.09</x:v>
      </x:c>
      <x:c r="D20" s="1" t="n">
        <x:f>VLOOKUP(A20,'Item inputs'!$A$5:$J$84,4,FALSE)</x:f>
        <x:v>16</x:v>
      </x:c>
      <x:c r="E20" s="1" t="n">
        <x:f>VLOOKUP(A20,'Item inputs'!$A$5:$J$84,5,FALSE)</x:f>
        <x:v>217</x:v>
      </x:c>
      <x:c r="F20" s="1" t="n">
        <x:f>VLOOKUP(A20,'Item inputs'!$A$5:$J$84,6,FALSE)</x:f>
        <x:v>20</x:v>
      </x:c>
      <x:c r="G20" s="1" t="n">
        <x:f>VLOOKUP(A20,'Item inputs'!$A$5:$J$84,7,FALSE)</x:f>
        <x:v>63</x:v>
      </x:c>
      <x:c r="H20" s="1" t="n">
        <x:f>VLOOKUP(A20,'Item inputs'!$A$5:$J$84,8,FALSE)</x:f>
        <x:v>704</x:v>
      </x:c>
      <x:c r="I20" s="10" t="n">
        <x:f>H20/90</x:f>
        <x:v>7.822222222222222</x:v>
      </x:c>
      <x:c r="J20" s="1" t="n">
        <x:f>ROUNDUP(I20*(D20+$B$3),0)</x:f>
        <x:v>180</x:v>
      </x:c>
      <x:c r="K20" s="1" t="n">
        <x:f>E20-F20+G20</x:f>
        <x:v>260</x:v>
      </x:c>
      <x:c r="L20" s="9" t="n">
        <x:f>E20*C20</x:f>
        <x:v>5878.53</x:v>
      </x:c>
      <x:c r="M20" s="1" t="n">
        <x:f>ROUNDUP(I20*(D20+$B$3+$D$3),0)</x:f>
        <x:v>290</x:v>
      </x:c>
      <x:c r="N20" s="1" t="n">
        <x:f>IF(K20&lt;=J20,MAX(0,M20-K20),0)</x:f>
        <x:v>0</x:v>
      </x:c>
      <x:c r="O20" s="9" t="n">
        <x:f>N20*C20</x:f>
        <x:v>0</x:v>
      </x:c>
      <x:c r="P20" s="9" t="n">
        <x:f>H20*C20</x:f>
        <x:v>19071.36</x:v>
      </x:c>
      <x:c r="Q20" s="9" t="n">
        <x:f>VLOOKUP(A20,'Item inputs'!$A$5:$J$84,9,FALSE)*C20</x:f>
        <x:v>5878.53</x:v>
      </x:c>
      <x:c r="R20" s="1" t="str">
        <x:f>IF(N20&gt;0,"Review order","Monitor")</x:f>
        <x:v>Monitor</x:v>
      </x:c>
    </x:row>
    <x:row r="21" ht="23" customHeight="1">
      <x:c r="A21" s="1" t="str">
        <x:f>'Item inputs'!A20</x:f>
        <x:v>K0016</x:v>
      </x:c>
      <x:c r="B21" s="1" t="str">
        <x:f>VLOOKUP(A21,'Item inputs'!$A$5:$J$84,2,FALSE)</x:f>
        <x:v>Accessories</x:v>
      </x:c>
      <x:c r="C21" s="9" t="n">
        <x:f>VLOOKUP(A21,'Item inputs'!$A$5:$J$84,3,FALSE)</x:f>
        <x:v>220.52</x:v>
      </x:c>
      <x:c r="D21" s="1" t="n">
        <x:f>VLOOKUP(A21,'Item inputs'!$A$5:$J$84,4,FALSE)</x:f>
        <x:v>18</x:v>
      </x:c>
      <x:c r="E21" s="1" t="n">
        <x:f>VLOOKUP(A21,'Item inputs'!$A$5:$J$84,5,FALSE)</x:f>
        <x:v>146</x:v>
      </x:c>
      <x:c r="F21" s="1" t="n">
        <x:f>VLOOKUP(A21,'Item inputs'!$A$5:$J$84,6,FALSE)</x:f>
        <x:v>8</x:v>
      </x:c>
      <x:c r="G21" s="1" t="n">
        <x:f>VLOOKUP(A21,'Item inputs'!$A$5:$J$84,7,FALSE)</x:f>
        <x:v>17</x:v>
      </x:c>
      <x:c r="H21" s="1" t="n">
        <x:f>VLOOKUP(A21,'Item inputs'!$A$5:$J$84,8,FALSE)</x:f>
        <x:v>999</x:v>
      </x:c>
      <x:c r="I21" s="10" t="n">
        <x:f>H21/90</x:f>
        <x:v>11.1</x:v>
      </x:c>
      <x:c r="J21" s="1" t="n">
        <x:f>ROUNDUP(I21*(D21+$B$3),0)</x:f>
        <x:v>278</x:v>
      </x:c>
      <x:c r="K21" s="1" t="n">
        <x:f>E21-F21+G21</x:f>
        <x:v>155</x:v>
      </x:c>
      <x:c r="L21" s="9" t="n">
        <x:f>E21*C21</x:f>
        <x:v>32195.920000000002</x:v>
      </x:c>
      <x:c r="M21" s="1" t="n">
        <x:f>ROUNDUP(I21*(D21+$B$3+$D$3),0)</x:f>
        <x:v>433</x:v>
      </x:c>
      <x:c r="N21" s="1" t="n">
        <x:f>IF(K21&lt;=J21,MAX(0,M21-K21),0)</x:f>
        <x:v>278</x:v>
      </x:c>
      <x:c r="O21" s="9" t="n">
        <x:f>N21*C21</x:f>
        <x:v>61304.560000000005</x:v>
      </x:c>
      <x:c r="P21" s="9" t="n">
        <x:f>H21*C21</x:f>
        <x:v>220299.48</x:v>
      </x:c>
      <x:c r="Q21" s="9" t="n">
        <x:f>VLOOKUP(A21,'Item inputs'!$A$5:$J$84,9,FALSE)*C21</x:f>
        <x:v>54777.168000000005</x:v>
      </x:c>
      <x:c r="R21" s="1" t="str">
        <x:f>IF(N21&gt;0,"Review order","Monitor")</x:f>
        <x:v>Review order</x:v>
      </x:c>
    </x:row>
    <x:row r="22" ht="23" customHeight="1">
      <x:c r="A22" s="1" t="str">
        <x:f>'Item inputs'!A21</x:f>
        <x:v>K0017</x:v>
      </x:c>
      <x:c r="B22" s="1" t="str">
        <x:f>VLOOKUP(A22,'Item inputs'!$A$5:$J$84,2,FALSE)</x:f>
        <x:v>Sinks</x:v>
      </x:c>
      <x:c r="C22" s="9" t="n">
        <x:f>VLOOKUP(A22,'Item inputs'!$A$5:$J$84,3,FALSE)</x:f>
        <x:v>139.99</x:v>
      </x:c>
      <x:c r="D22" s="1" t="n">
        <x:f>VLOOKUP(A22,'Item inputs'!$A$5:$J$84,4,FALSE)</x:f>
        <x:v>25</x:v>
      </x:c>
      <x:c r="E22" s="1" t="n">
        <x:f>VLOOKUP(A22,'Item inputs'!$A$5:$J$84,5,FALSE)</x:f>
        <x:v>382</x:v>
      </x:c>
      <x:c r="F22" s="1" t="n">
        <x:f>VLOOKUP(A22,'Item inputs'!$A$5:$J$84,6,FALSE)</x:f>
        <x:v>18</x:v>
      </x:c>
      <x:c r="G22" s="1" t="n">
        <x:f>VLOOKUP(A22,'Item inputs'!$A$5:$J$84,7,FALSE)</x:f>
        <x:v>54</x:v>
      </x:c>
      <x:c r="H22" s="1" t="n">
        <x:f>VLOOKUP(A22,'Item inputs'!$A$5:$J$84,8,FALSE)</x:f>
        <x:v>598</x:v>
      </x:c>
      <x:c r="I22" s="10" t="n">
        <x:f>H22/90</x:f>
        <x:v>6.644444444444445</x:v>
      </x:c>
      <x:c r="J22" s="1" t="n">
        <x:f>ROUNDUP(I22*(D22+$B$3),0)</x:f>
        <x:v>213</x:v>
      </x:c>
      <x:c r="K22" s="1" t="n">
        <x:f>E22-F22+G22</x:f>
        <x:v>418</x:v>
      </x:c>
      <x:c r="L22" s="9" t="n">
        <x:f>E22*C22</x:f>
        <x:v>53476.18</x:v>
      </x:c>
      <x:c r="M22" s="1" t="n">
        <x:f>ROUNDUP(I22*(D22+$B$3+$D$3),0)</x:f>
        <x:v>306</x:v>
      </x:c>
      <x:c r="N22" s="1" t="n">
        <x:f>IF(K22&lt;=J22,MAX(0,M22-K22),0)</x:f>
        <x:v>0</x:v>
      </x:c>
      <x:c r="O22" s="9" t="n">
        <x:f>N22*C22</x:f>
        <x:v>0</x:v>
      </x:c>
      <x:c r="P22" s="9" t="n">
        <x:f>H22*C22</x:f>
        <x:v>83714.02</x:v>
      </x:c>
      <x:c r="Q22" s="9" t="n">
        <x:f>VLOOKUP(A22,'Item inputs'!$A$5:$J$84,9,FALSE)*C22</x:f>
        <x:v>42626.955</x:v>
      </x:c>
      <x:c r="R22" s="1" t="str">
        <x:f>IF(N22&gt;0,"Review order","Monitor")</x:f>
        <x:v>Monitor</x:v>
      </x:c>
    </x:row>
    <x:row r="23" ht="23" customHeight="1">
      <x:c r="A23" s="1" t="str">
        <x:f>'Item inputs'!A22</x:f>
        <x:v>K0018</x:v>
      </x:c>
      <x:c r="B23" s="1" t="str">
        <x:f>VLOOKUP(A23,'Item inputs'!$A$5:$J$84,2,FALSE)</x:f>
        <x:v>Taps</x:v>
      </x:c>
      <x:c r="C23" s="9" t="n">
        <x:f>VLOOKUP(A23,'Item inputs'!$A$5:$J$84,3,FALSE)</x:f>
        <x:v>103.06</x:v>
      </x:c>
      <x:c r="D23" s="1" t="n">
        <x:f>VLOOKUP(A23,'Item inputs'!$A$5:$J$84,4,FALSE)</x:f>
        <x:v>14</x:v>
      </x:c>
      <x:c r="E23" s="1" t="n">
        <x:f>VLOOKUP(A23,'Item inputs'!$A$5:$J$84,5,FALSE)</x:f>
        <x:v>70</x:v>
      </x:c>
      <x:c r="F23" s="1" t="n">
        <x:f>VLOOKUP(A23,'Item inputs'!$A$5:$J$84,6,FALSE)</x:f>
        <x:v>16</x:v>
      </x:c>
      <x:c r="G23" s="1" t="n">
        <x:f>VLOOKUP(A23,'Item inputs'!$A$5:$J$84,7,FALSE)</x:f>
        <x:v>63</x:v>
      </x:c>
      <x:c r="H23" s="1" t="n">
        <x:f>VLOOKUP(A23,'Item inputs'!$A$5:$J$84,8,FALSE)</x:f>
        <x:v>509</x:v>
      </x:c>
      <x:c r="I23" s="10" t="n">
        <x:f>H23/90</x:f>
        <x:v>5.655555555555556</x:v>
      </x:c>
      <x:c r="J23" s="1" t="n">
        <x:f>ROUNDUP(I23*(D23+$B$3),0)</x:f>
        <x:v>119</x:v>
      </x:c>
      <x:c r="K23" s="1" t="n">
        <x:f>E23-F23+G23</x:f>
        <x:v>117</x:v>
      </x:c>
      <x:c r="L23" s="9" t="n">
        <x:f>E23*C23</x:f>
        <x:v>7214.2</x:v>
      </x:c>
      <x:c r="M23" s="1" t="n">
        <x:f>ROUNDUP(I23*(D23+$B$3+$D$3),0)</x:f>
        <x:v>198</x:v>
      </x:c>
      <x:c r="N23" s="1" t="n">
        <x:f>IF(K23&lt;=J23,MAX(0,M23-K23),0)</x:f>
        <x:v>81</x:v>
      </x:c>
      <x:c r="O23" s="9" t="n">
        <x:f>N23*C23</x:f>
        <x:v>8347.86</x:v>
      </x:c>
      <x:c r="P23" s="9" t="n">
        <x:f>H23*C23</x:f>
        <x:v>52457.54</x:v>
      </x:c>
      <x:c r="Q23" s="9" t="n">
        <x:f>VLOOKUP(A23,'Item inputs'!$A$5:$J$84,9,FALSE)*C23</x:f>
        <x:v>9780.394</x:v>
      </x:c>
      <x:c r="R23" s="1" t="str">
        <x:f>IF(N23&gt;0,"Review order","Monitor")</x:f>
        <x:v>Review order</x:v>
      </x:c>
    </x:row>
    <x:row r="24" ht="23" customHeight="1">
      <x:c r="A24" s="1" t="str">
        <x:f>'Item inputs'!A23</x:f>
        <x:v>K0019</x:v>
      </x:c>
      <x:c r="B24" s="1" t="str">
        <x:f>VLOOKUP(A24,'Item inputs'!$A$5:$J$84,2,FALSE)</x:f>
        <x:v>Hoods</x:v>
      </x:c>
      <x:c r="C24" s="9" t="n">
        <x:f>VLOOKUP(A24,'Item inputs'!$A$5:$J$84,3,FALSE)</x:f>
        <x:v>22.74</x:v>
      </x:c>
      <x:c r="D24" s="1" t="n">
        <x:f>VLOOKUP(A24,'Item inputs'!$A$5:$J$84,4,FALSE)</x:f>
        <x:v>7</x:v>
      </x:c>
      <x:c r="E24" s="1" t="n">
        <x:f>VLOOKUP(A24,'Item inputs'!$A$5:$J$84,5,FALSE)</x:f>
        <x:v>39</x:v>
      </x:c>
      <x:c r="F24" s="1" t="n">
        <x:f>VLOOKUP(A24,'Item inputs'!$A$5:$J$84,6,FALSE)</x:f>
        <x:v>20</x:v>
      </x:c>
      <x:c r="G24" s="1" t="n">
        <x:f>VLOOKUP(A24,'Item inputs'!$A$5:$J$84,7,FALSE)</x:f>
        <x:v>20</x:v>
      </x:c>
      <x:c r="H24" s="1" t="n">
        <x:f>VLOOKUP(A24,'Item inputs'!$A$5:$J$84,8,FALSE)</x:f>
        <x:v>284</x:v>
      </x:c>
      <x:c r="I24" s="10" t="n">
        <x:f>H24/90</x:f>
        <x:v>3.1555555555555554</x:v>
      </x:c>
      <x:c r="J24" s="1" t="n">
        <x:f>ROUNDUP(I24*(D24+$B$3),0)</x:f>
        <x:v>45</x:v>
      </x:c>
      <x:c r="K24" s="1" t="n">
        <x:f>E24-F24+G24</x:f>
        <x:v>39</x:v>
      </x:c>
      <x:c r="L24" s="9" t="n">
        <x:f>E24*C24</x:f>
        <x:v>886.8599999999999</x:v>
      </x:c>
      <x:c r="M24" s="1" t="n">
        <x:f>ROUNDUP(I24*(D24+$B$3+$D$3),0)</x:f>
        <x:v>89</x:v>
      </x:c>
      <x:c r="N24" s="1" t="n">
        <x:f>IF(K24&lt;=J24,MAX(0,M24-K24),0)</x:f>
        <x:v>50</x:v>
      </x:c>
      <x:c r="O24" s="9" t="n">
        <x:f>N24*C24</x:f>
        <x:v>1137</x:v>
      </x:c>
      <x:c r="P24" s="9" t="n">
        <x:f>H24*C24</x:f>
        <x:v>6458.16</x:v>
      </x:c>
      <x:c r="Q24" s="9" t="n">
        <x:f>VLOOKUP(A24,'Item inputs'!$A$5:$J$84,9,FALSE)*C24</x:f>
        <x:v>3015.3239999999996</x:v>
      </x:c>
      <x:c r="R24" s="1" t="str">
        <x:f>IF(N24&gt;0,"Review order","Monitor")</x:f>
        <x:v>Review order</x:v>
      </x:c>
    </x:row>
    <x:row r="25" ht="23" customHeight="1">
      <x:c r="A25" s="1" t="str">
        <x:f>'Item inputs'!A24</x:f>
        <x:v>K0020</x:v>
      </x:c>
      <x:c r="B25" s="1" t="str">
        <x:f>VLOOKUP(A25,'Item inputs'!$A$5:$J$84,2,FALSE)</x:f>
        <x:v>Accessories</x:v>
      </x:c>
      <x:c r="C25" s="9" t="n">
        <x:f>VLOOKUP(A25,'Item inputs'!$A$5:$J$84,3,FALSE)</x:f>
        <x:v>108.25</x:v>
      </x:c>
      <x:c r="D25" s="1" t="n">
        <x:f>VLOOKUP(A25,'Item inputs'!$A$5:$J$84,4,FALSE)</x:f>
        <x:v>12</x:v>
      </x:c>
      <x:c r="E25" s="1" t="n">
        <x:f>VLOOKUP(A25,'Item inputs'!$A$5:$J$84,5,FALSE)</x:f>
        <x:v>98</x:v>
      </x:c>
      <x:c r="F25" s="1" t="n">
        <x:f>VLOOKUP(A25,'Item inputs'!$A$5:$J$84,6,FALSE)</x:f>
        <x:v>12</x:v>
      </x:c>
      <x:c r="G25" s="1" t="n">
        <x:f>VLOOKUP(A25,'Item inputs'!$A$5:$J$84,7,FALSE)</x:f>
        <x:v>76</x:v>
      </x:c>
      <x:c r="H25" s="1" t="n">
        <x:f>VLOOKUP(A25,'Item inputs'!$A$5:$J$84,8,FALSE)</x:f>
        <x:v>190</x:v>
      </x:c>
      <x:c r="I25" s="10" t="n">
        <x:f>H25/90</x:f>
        <x:v>2.111111111111111</x:v>
      </x:c>
      <x:c r="J25" s="1" t="n">
        <x:f>ROUNDUP(I25*(D25+$B$3),0)</x:f>
        <x:v>41</x:v>
      </x:c>
      <x:c r="K25" s="1" t="n">
        <x:f>E25-F25+G25</x:f>
        <x:v>162</x:v>
      </x:c>
      <x:c r="L25" s="9" t="n">
        <x:f>E25*C25</x:f>
        <x:v>10608.5</x:v>
      </x:c>
      <x:c r="M25" s="1" t="n">
        <x:f>ROUNDUP(I25*(D25+$B$3+$D$3),0)</x:f>
        <x:v>70</x:v>
      </x:c>
      <x:c r="N25" s="1" t="n">
        <x:f>IF(K25&lt;=J25,MAX(0,M25-K25),0)</x:f>
        <x:v>0</x:v>
      </x:c>
      <x:c r="O25" s="9" t="n">
        <x:f>N25*C25</x:f>
        <x:v>0</x:v>
      </x:c>
      <x:c r="P25" s="9" t="n">
        <x:f>H25*C25</x:f>
        <x:v>20567.5</x:v>
      </x:c>
      <x:c r="Q25" s="9" t="n">
        <x:f>VLOOKUP(A25,'Item inputs'!$A$5:$J$84,9,FALSE)*C25</x:f>
        <x:v>11279.65</x:v>
      </x:c>
      <x:c r="R25" s="1" t="str">
        <x:f>IF(N25&gt;0,"Review order","Monitor")</x:f>
        <x:v>Monitor</x:v>
      </x:c>
    </x:row>
    <x:row r="26" ht="23" customHeight="1">
      <x:c r="A26" s="1" t="str">
        <x:f>'Item inputs'!A25</x:f>
        <x:v>K0021</x:v>
      </x:c>
      <x:c r="B26" s="1" t="str">
        <x:f>VLOOKUP(A26,'Item inputs'!$A$5:$J$84,2,FALSE)</x:f>
        <x:v>Sinks</x:v>
      </x:c>
      <x:c r="C26" s="9" t="n">
        <x:f>VLOOKUP(A26,'Item inputs'!$A$5:$J$84,3,FALSE)</x:f>
        <x:v>132.64</x:v>
      </x:c>
      <x:c r="D26" s="1" t="n">
        <x:f>VLOOKUP(A26,'Item inputs'!$A$5:$J$84,4,FALSE)</x:f>
        <x:v>16</x:v>
      </x:c>
      <x:c r="E26" s="1" t="n">
        <x:f>VLOOKUP(A26,'Item inputs'!$A$5:$J$84,5,FALSE)</x:f>
        <x:v>881</x:v>
      </x:c>
      <x:c r="F26" s="1" t="n">
        <x:f>VLOOKUP(A26,'Item inputs'!$A$5:$J$84,6,FALSE)</x:f>
        <x:v>0</x:v>
      </x:c>
      <x:c r="G26" s="1" t="n">
        <x:f>VLOOKUP(A26,'Item inputs'!$A$5:$J$84,7,FALSE)</x:f>
        <x:v>14</x:v>
      </x:c>
      <x:c r="H26" s="1" t="n">
        <x:f>VLOOKUP(A26,'Item inputs'!$A$5:$J$84,8,FALSE)</x:f>
        <x:v>1193</x:v>
      </x:c>
      <x:c r="I26" s="10" t="n">
        <x:f>H26/90</x:f>
        <x:v>13.255555555555556</x:v>
      </x:c>
      <x:c r="J26" s="1" t="n">
        <x:f>ROUNDUP(I26*(D26+$B$3),0)</x:f>
        <x:v>305</x:v>
      </x:c>
      <x:c r="K26" s="1" t="n">
        <x:f>E26-F26+G26</x:f>
        <x:v>895</x:v>
      </x:c>
      <x:c r="L26" s="9" t="n">
        <x:f>E26*C26</x:f>
        <x:v>116855.83999999998</x:v>
      </x:c>
      <x:c r="M26" s="1" t="n">
        <x:f>ROUNDUP(I26*(D26+$B$3+$D$3),0)</x:f>
        <x:v>491</x:v>
      </x:c>
      <x:c r="N26" s="1" t="n">
        <x:f>IF(K26&lt;=J26,MAX(0,M26-K26),0)</x:f>
        <x:v>0</x:v>
      </x:c>
      <x:c r="O26" s="9" t="n">
        <x:f>N26*C26</x:f>
        <x:v>0</x:v>
      </x:c>
      <x:c r="P26" s="9" t="n">
        <x:f>H26*C26</x:f>
        <x:v>158239.52</x:v>
      </x:c>
      <x:c r="Q26" s="9" t="n">
        <x:f>VLOOKUP(A26,'Item inputs'!$A$5:$J$84,9,FALSE)*C26</x:f>
        <x:v>66890.352</x:v>
      </x:c>
      <x:c r="R26" s="1" t="str">
        <x:f>IF(N26&gt;0,"Review order","Monitor")</x:f>
        <x:v>Monitor</x:v>
      </x:c>
    </x:row>
    <x:row r="27" ht="23" customHeight="1">
      <x:c r="A27" s="1" t="str">
        <x:f>'Item inputs'!A26</x:f>
        <x:v>K0022</x:v>
      </x:c>
      <x:c r="B27" s="1" t="str">
        <x:f>VLOOKUP(A27,'Item inputs'!$A$5:$J$84,2,FALSE)</x:f>
        <x:v>Taps</x:v>
      </x:c>
      <x:c r="C27" s="9" t="n">
        <x:f>VLOOKUP(A27,'Item inputs'!$A$5:$J$84,3,FALSE)</x:f>
        <x:v>134.43</x:v>
      </x:c>
      <x:c r="D27" s="1" t="n">
        <x:f>VLOOKUP(A27,'Item inputs'!$A$5:$J$84,4,FALSE)</x:f>
        <x:v>18</x:v>
      </x:c>
      <x:c r="E27" s="1" t="n">
        <x:f>VLOOKUP(A27,'Item inputs'!$A$5:$J$84,5,FALSE)</x:f>
        <x:v>393</x:v>
      </x:c>
      <x:c r="F27" s="1" t="n">
        <x:f>VLOOKUP(A27,'Item inputs'!$A$5:$J$84,6,FALSE)</x:f>
        <x:v>20</x:v>
      </x:c>
      <x:c r="G27" s="1" t="n">
        <x:f>VLOOKUP(A27,'Item inputs'!$A$5:$J$84,7,FALSE)</x:f>
        <x:v>43</x:v>
      </x:c>
      <x:c r="H27" s="1" t="n">
        <x:f>VLOOKUP(A27,'Item inputs'!$A$5:$J$84,8,FALSE)</x:f>
        <x:v>606</x:v>
      </x:c>
      <x:c r="I27" s="10" t="n">
        <x:f>H27/90</x:f>
        <x:v>6.733333333333333</x:v>
      </x:c>
      <x:c r="J27" s="1" t="n">
        <x:f>ROUNDUP(I27*(D27+$B$3),0)</x:f>
        <x:v>169</x:v>
      </x:c>
      <x:c r="K27" s="1" t="n">
        <x:f>E27-F27+G27</x:f>
        <x:v>416</x:v>
      </x:c>
      <x:c r="L27" s="9" t="n">
        <x:f>E27*C27</x:f>
        <x:v>52830.990000000005</x:v>
      </x:c>
      <x:c r="M27" s="1" t="n">
        <x:f>ROUNDUP(I27*(D27+$B$3+$D$3),0)</x:f>
        <x:v>263</x:v>
      </x:c>
      <x:c r="N27" s="1" t="n">
        <x:f>IF(K27&lt;=J27,MAX(0,M27-K27),0)</x:f>
        <x:v>0</x:v>
      </x:c>
      <x:c r="O27" s="9" t="n">
        <x:f>N27*C27</x:f>
        <x:v>0</x:v>
      </x:c>
      <x:c r="P27" s="9" t="n">
        <x:f>H27*C27</x:f>
        <x:v>81464.58</x:v>
      </x:c>
      <x:c r="Q27" s="9" t="n">
        <x:f>VLOOKUP(A27,'Item inputs'!$A$5:$J$84,9,FALSE)*C27</x:f>
        <x:v>15849.297000000002</x:v>
      </x:c>
      <x:c r="R27" s="1" t="str">
        <x:f>IF(N27&gt;0,"Review order","Monitor")</x:f>
        <x:v>Monitor</x:v>
      </x:c>
    </x:row>
    <x:row r="28" ht="23" customHeight="1">
      <x:c r="A28" s="1" t="str">
        <x:f>'Item inputs'!A27</x:f>
        <x:v>K0023</x:v>
      </x:c>
      <x:c r="B28" s="1" t="str">
        <x:f>VLOOKUP(A28,'Item inputs'!$A$5:$J$84,2,FALSE)</x:f>
        <x:v>Hoods</x:v>
      </x:c>
      <x:c r="C28" s="9" t="n">
        <x:f>VLOOKUP(A28,'Item inputs'!$A$5:$J$84,3,FALSE)</x:f>
        <x:v>111.13</x:v>
      </x:c>
      <x:c r="D28" s="1" t="n">
        <x:f>VLOOKUP(A28,'Item inputs'!$A$5:$J$84,4,FALSE)</x:f>
        <x:v>25</x:v>
      </x:c>
      <x:c r="E28" s="1" t="n">
        <x:f>VLOOKUP(A28,'Item inputs'!$A$5:$J$84,5,FALSE)</x:f>
        <x:v>3</x:v>
      </x:c>
      <x:c r="F28" s="1" t="n">
        <x:f>VLOOKUP(A28,'Item inputs'!$A$5:$J$84,6,FALSE)</x:f>
        <x:v>8</x:v>
      </x:c>
      <x:c r="G28" s="1" t="n">
        <x:f>VLOOKUP(A28,'Item inputs'!$A$5:$J$84,7,FALSE)</x:f>
        <x:v>64</x:v>
      </x:c>
      <x:c r="H28" s="1" t="n">
        <x:f>VLOOKUP(A28,'Item inputs'!$A$5:$J$84,8,FALSE)</x:f>
        <x:v>989</x:v>
      </x:c>
      <x:c r="I28" s="10" t="n">
        <x:f>H28/90</x:f>
        <x:v>10.988888888888889</x:v>
      </x:c>
      <x:c r="J28" s="1" t="n">
        <x:f>ROUNDUP(I28*(D28+$B$3),0)</x:f>
        <x:v>352</x:v>
      </x:c>
      <x:c r="K28" s="1" t="n">
        <x:f>E28-F28+G28</x:f>
        <x:v>59</x:v>
      </x:c>
      <x:c r="L28" s="9" t="n">
        <x:f>E28*C28</x:f>
        <x:v>333.39</x:v>
      </x:c>
      <x:c r="M28" s="1" t="n">
        <x:f>ROUNDUP(I28*(D28+$B$3+$D$3),0)</x:f>
        <x:v>506</x:v>
      </x:c>
      <x:c r="N28" s="1" t="n">
        <x:f>IF(K28&lt;=J28,MAX(0,M28-K28),0)</x:f>
        <x:v>447</x:v>
      </x:c>
      <x:c r="O28" s="9" t="n">
        <x:f>N28*C28</x:f>
        <x:v>49675.11</x:v>
      </x:c>
      <x:c r="P28" s="9" t="n">
        <x:f>H28*C28</x:f>
        <x:v>109907.56999999999</x:v>
      </x:c>
      <x:c r="Q28" s="9" t="n">
        <x:f>VLOOKUP(A28,'Item inputs'!$A$5:$J$84,9,FALSE)*C28</x:f>
        <x:v>49986.274</x:v>
      </x:c>
      <x:c r="R28" s="1" t="str">
        <x:f>IF(N28&gt;0,"Review order","Monitor")</x:f>
        <x:v>Review order</x:v>
      </x:c>
    </x:row>
    <x:row r="29" ht="23" customHeight="1">
      <x:c r="A29" s="1" t="str">
        <x:f>'Item inputs'!A28</x:f>
        <x:v>K0024</x:v>
      </x:c>
      <x:c r="B29" s="1" t="str">
        <x:f>VLOOKUP(A29,'Item inputs'!$A$5:$J$84,2,FALSE)</x:f>
        <x:v>Accessories</x:v>
      </x:c>
      <x:c r="C29" s="9" t="n">
        <x:f>VLOOKUP(A29,'Item inputs'!$A$5:$J$84,3,FALSE)</x:f>
        <x:v>127.75</x:v>
      </x:c>
      <x:c r="D29" s="1" t="n">
        <x:f>VLOOKUP(A29,'Item inputs'!$A$5:$J$84,4,FALSE)</x:f>
        <x:v>14</x:v>
      </x:c>
      <x:c r="E29" s="1" t="n">
        <x:f>VLOOKUP(A29,'Item inputs'!$A$5:$J$84,5,FALSE)</x:f>
        <x:v>160</x:v>
      </x:c>
      <x:c r="F29" s="1" t="n">
        <x:f>VLOOKUP(A29,'Item inputs'!$A$5:$J$84,6,FALSE)</x:f>
        <x:v>9</x:v>
      </x:c>
      <x:c r="G29" s="1" t="n">
        <x:f>VLOOKUP(A29,'Item inputs'!$A$5:$J$84,7,FALSE)</x:f>
        <x:v>64</x:v>
      </x:c>
      <x:c r="H29" s="1" t="n">
        <x:f>VLOOKUP(A29,'Item inputs'!$A$5:$J$84,8,FALSE)</x:f>
        <x:v>277</x:v>
      </x:c>
      <x:c r="I29" s="10" t="n">
        <x:f>H29/90</x:f>
        <x:v>3.077777777777778</x:v>
      </x:c>
      <x:c r="J29" s="1" t="n">
        <x:f>ROUNDUP(I29*(D29+$B$3),0)</x:f>
        <x:v>65</x:v>
      </x:c>
      <x:c r="K29" s="1" t="n">
        <x:f>E29-F29+G29</x:f>
        <x:v>215</x:v>
      </x:c>
      <x:c r="L29" s="9" t="n">
        <x:f>E29*C29</x:f>
        <x:v>20440</x:v>
      </x:c>
      <x:c r="M29" s="1" t="n">
        <x:f>ROUNDUP(I29*(D29+$B$3+$D$3),0)</x:f>
        <x:v>108</x:v>
      </x:c>
      <x:c r="N29" s="1" t="n">
        <x:f>IF(K29&lt;=J29,MAX(0,M29-K29),0)</x:f>
        <x:v>0</x:v>
      </x:c>
      <x:c r="O29" s="9" t="n">
        <x:f>N29*C29</x:f>
        <x:v>0</x:v>
      </x:c>
      <x:c r="P29" s="9" t="n">
        <x:f>H29*C29</x:f>
        <x:v>35386.75</x:v>
      </x:c>
      <x:c r="Q29" s="9" t="n">
        <x:f>VLOOKUP(A29,'Item inputs'!$A$5:$J$84,9,FALSE)*C29</x:f>
        <x:v>13924.75</x:v>
      </x:c>
      <x:c r="R29" s="1" t="str">
        <x:f>IF(N29&gt;0,"Review order","Monitor")</x:f>
        <x:v>Monitor</x:v>
      </x:c>
    </x:row>
    <x:row r="30" ht="23" customHeight="1">
      <x:c r="A30" s="1" t="str">
        <x:f>'Item inputs'!A29</x:f>
        <x:v>K0025</x:v>
      </x:c>
      <x:c r="B30" s="1" t="str">
        <x:f>VLOOKUP(A30,'Item inputs'!$A$5:$J$84,2,FALSE)</x:f>
        <x:v>Sinks</x:v>
      </x:c>
      <x:c r="C30" s="9" t="n">
        <x:f>VLOOKUP(A30,'Item inputs'!$A$5:$J$84,3,FALSE)</x:f>
        <x:v>46.85</x:v>
      </x:c>
      <x:c r="D30" s="1" t="n">
        <x:f>VLOOKUP(A30,'Item inputs'!$A$5:$J$84,4,FALSE)</x:f>
        <x:v>7</x:v>
      </x:c>
      <x:c r="E30" s="1" t="n">
        <x:f>VLOOKUP(A30,'Item inputs'!$A$5:$J$84,5,FALSE)</x:f>
        <x:v>276</x:v>
      </x:c>
      <x:c r="F30" s="1" t="n">
        <x:f>VLOOKUP(A30,'Item inputs'!$A$5:$J$84,6,FALSE)</x:f>
        <x:v>16</x:v>
      </x:c>
      <x:c r="G30" s="1" t="n">
        <x:f>VLOOKUP(A30,'Item inputs'!$A$5:$J$84,7,FALSE)</x:f>
        <x:v>0</x:v>
      </x:c>
      <x:c r="H30" s="1" t="n">
        <x:f>VLOOKUP(A30,'Item inputs'!$A$5:$J$84,8,FALSE)</x:f>
        <x:v>390</x:v>
      </x:c>
      <x:c r="I30" s="10" t="n">
        <x:f>H30/90</x:f>
        <x:v>4.333333333333333</x:v>
      </x:c>
      <x:c r="J30" s="1" t="n">
        <x:f>ROUNDUP(I30*(D30+$B$3),0)</x:f>
        <x:v>61</x:v>
      </x:c>
      <x:c r="K30" s="1" t="n">
        <x:f>E30-F30+G30</x:f>
        <x:v>260</x:v>
      </x:c>
      <x:c r="L30" s="9" t="n">
        <x:f>E30*C30</x:f>
        <x:v>12930.6</x:v>
      </x:c>
      <x:c r="M30" s="1" t="n">
        <x:f>ROUNDUP(I30*(D30+$B$3+$D$3),0)</x:f>
        <x:v>122</x:v>
      </x:c>
      <x:c r="N30" s="1" t="n">
        <x:f>IF(K30&lt;=J30,MAX(0,M30-K30),0)</x:f>
        <x:v>0</x:v>
      </x:c>
      <x:c r="O30" s="9" t="n">
        <x:f>N30*C30</x:f>
        <x:v>0</x:v>
      </x:c>
      <x:c r="P30" s="9" t="n">
        <x:f>H30*C30</x:f>
        <x:v>18271.5</x:v>
      </x:c>
      <x:c r="Q30" s="9" t="n">
        <x:f>VLOOKUP(A30,'Item inputs'!$A$5:$J$84,9,FALSE)*C30</x:f>
        <x:v>7116.515</x:v>
      </x:c>
      <x:c r="R30" s="1" t="str">
        <x:f>IF(N30&gt;0,"Review order","Monitor")</x:f>
        <x:v>Monitor</x:v>
      </x:c>
    </x:row>
    <x:row r="31" ht="23" customHeight="1">
      <x:c r="A31" s="1" t="str">
        <x:f>'Item inputs'!A30</x:f>
        <x:v>K0026</x:v>
      </x:c>
      <x:c r="B31" s="1" t="str">
        <x:f>VLOOKUP(A31,'Item inputs'!$A$5:$J$84,2,FALSE)</x:f>
        <x:v>Taps</x:v>
      </x:c>
      <x:c r="C31" s="9" t="n">
        <x:f>VLOOKUP(A31,'Item inputs'!$A$5:$J$84,3,FALSE)</x:f>
        <x:v>123.4</x:v>
      </x:c>
      <x:c r="D31" s="1" t="n">
        <x:f>VLOOKUP(A31,'Item inputs'!$A$5:$J$84,4,FALSE)</x:f>
        <x:v>12</x:v>
      </x:c>
      <x:c r="E31" s="1" t="n">
        <x:f>VLOOKUP(A31,'Item inputs'!$A$5:$J$84,5,FALSE)</x:f>
        <x:v>92</x:v>
      </x:c>
      <x:c r="F31" s="1" t="n">
        <x:f>VLOOKUP(A31,'Item inputs'!$A$5:$J$84,6,FALSE)</x:f>
        <x:v>9</x:v>
      </x:c>
      <x:c r="G31" s="1" t="n">
        <x:f>VLOOKUP(A31,'Item inputs'!$A$5:$J$84,7,FALSE)</x:f>
        <x:v>30</x:v>
      </x:c>
      <x:c r="H31" s="1" t="n">
        <x:f>VLOOKUP(A31,'Item inputs'!$A$5:$J$84,8,FALSE)</x:f>
        <x:v>289</x:v>
      </x:c>
      <x:c r="I31" s="10" t="n">
        <x:f>H31/90</x:f>
        <x:v>3.2111111111111112</x:v>
      </x:c>
      <x:c r="J31" s="1" t="n">
        <x:f>ROUNDUP(I31*(D31+$B$3),0)</x:f>
        <x:v>62</x:v>
      </x:c>
      <x:c r="K31" s="1" t="n">
        <x:f>E31-F31+G31</x:f>
        <x:v>113</x:v>
      </x:c>
      <x:c r="L31" s="9" t="n">
        <x:f>E31*C31</x:f>
        <x:v>11352.800000000001</x:v>
      </x:c>
      <x:c r="M31" s="1" t="n">
        <x:f>ROUNDUP(I31*(D31+$B$3+$D$3),0)</x:f>
        <x:v>106</x:v>
      </x:c>
      <x:c r="N31" s="1" t="n">
        <x:f>IF(K31&lt;=J31,MAX(0,M31-K31),0)</x:f>
        <x:v>0</x:v>
      </x:c>
      <x:c r="O31" s="9" t="n">
        <x:f>N31*C31</x:f>
        <x:v>0</x:v>
      </x:c>
      <x:c r="P31" s="9" t="n">
        <x:f>H31*C31</x:f>
        <x:v>35662.6</x:v>
      </x:c>
      <x:c r="Q31" s="9" t="n">
        <x:f>VLOOKUP(A31,'Item inputs'!$A$5:$J$84,9,FALSE)*C31</x:f>
        <x:v>6170</x:v>
      </x:c>
      <x:c r="R31" s="1" t="str">
        <x:f>IF(N31&gt;0,"Review order","Monitor")</x:f>
        <x:v>Monitor</x:v>
      </x:c>
    </x:row>
    <x:row r="32" ht="23" customHeight="1">
      <x:c r="A32" s="1" t="str">
        <x:f>'Item inputs'!A31</x:f>
        <x:v>K0027</x:v>
      </x:c>
      <x:c r="B32" s="1" t="str">
        <x:f>VLOOKUP(A32,'Item inputs'!$A$5:$J$84,2,FALSE)</x:f>
        <x:v>Hoods</x:v>
      </x:c>
      <x:c r="C32" s="9" t="n">
        <x:f>VLOOKUP(A32,'Item inputs'!$A$5:$J$84,3,FALSE)</x:f>
        <x:v>212.19</x:v>
      </x:c>
      <x:c r="D32" s="1" t="n">
        <x:f>VLOOKUP(A32,'Item inputs'!$A$5:$J$84,4,FALSE)</x:f>
        <x:v>16</x:v>
      </x:c>
      <x:c r="E32" s="1" t="n">
        <x:f>VLOOKUP(A32,'Item inputs'!$A$5:$J$84,5,FALSE)</x:f>
        <x:v>21</x:v>
      </x:c>
      <x:c r="F32" s="1" t="n">
        <x:f>VLOOKUP(A32,'Item inputs'!$A$5:$J$84,6,FALSE)</x:f>
        <x:v>15</x:v>
      </x:c>
      <x:c r="G32" s="1" t="n">
        <x:f>VLOOKUP(A32,'Item inputs'!$A$5:$J$84,7,FALSE)</x:f>
        <x:v>8</x:v>
      </x:c>
      <x:c r="H32" s="1" t="n">
        <x:f>VLOOKUP(A32,'Item inputs'!$A$5:$J$84,8,FALSE)</x:f>
        <x:v>221</x:v>
      </x:c>
      <x:c r="I32" s="10" t="n">
        <x:f>H32/90</x:f>
        <x:v>2.4555555555555557</x:v>
      </x:c>
      <x:c r="J32" s="1" t="n">
        <x:f>ROUNDUP(I32*(D32+$B$3),0)</x:f>
        <x:v>57</x:v>
      </x:c>
      <x:c r="K32" s="1" t="n">
        <x:f>E32-F32+G32</x:f>
        <x:v>14</x:v>
      </x:c>
      <x:c r="L32" s="9" t="n">
        <x:f>E32*C32</x:f>
        <x:v>4455.99</x:v>
      </x:c>
      <x:c r="M32" s="1" t="n">
        <x:f>ROUNDUP(I32*(D32+$B$3+$D$3),0)</x:f>
        <x:v>91</x:v>
      </x:c>
      <x:c r="N32" s="1" t="n">
        <x:f>IF(K32&lt;=J32,MAX(0,M32-K32),0)</x:f>
        <x:v>77</x:v>
      </x:c>
      <x:c r="O32" s="9" t="n">
        <x:f>N32*C32</x:f>
        <x:v>16338.63</x:v>
      </x:c>
      <x:c r="P32" s="9" t="n">
        <x:f>H32*C32</x:f>
        <x:v>46893.99</x:v>
      </x:c>
      <x:c r="Q32" s="9" t="n">
        <x:f>VLOOKUP(A32,'Item inputs'!$A$5:$J$84,9,FALSE)*C32</x:f>
        <x:v>25377.924</x:v>
      </x:c>
      <x:c r="R32" s="1" t="str">
        <x:f>IF(N32&gt;0,"Review order","Monitor")</x:f>
        <x:v>Review order</x:v>
      </x:c>
    </x:row>
    <x:row r="33" ht="23" customHeight="1">
      <x:c r="A33" s="1" t="str">
        <x:f>'Item inputs'!A32</x:f>
        <x:v>K0028</x:v>
      </x:c>
      <x:c r="B33" s="1" t="str">
        <x:f>VLOOKUP(A33,'Item inputs'!$A$5:$J$84,2,FALSE)</x:f>
        <x:v>Accessories</x:v>
      </x:c>
      <x:c r="C33" s="9" t="n">
        <x:f>VLOOKUP(A33,'Item inputs'!$A$5:$J$84,3,FALSE)</x:f>
        <x:v>133.46</x:v>
      </x:c>
      <x:c r="D33" s="1" t="n">
        <x:f>VLOOKUP(A33,'Item inputs'!$A$5:$J$84,4,FALSE)</x:f>
        <x:v>18</x:v>
      </x:c>
      <x:c r="E33" s="1" t="n">
        <x:f>VLOOKUP(A33,'Item inputs'!$A$5:$J$84,5,FALSE)</x:f>
        <x:v>32</x:v>
      </x:c>
      <x:c r="F33" s="1" t="n">
        <x:f>VLOOKUP(A33,'Item inputs'!$A$5:$J$84,6,FALSE)</x:f>
        <x:v>15</x:v>
      </x:c>
      <x:c r="G33" s="1" t="n">
        <x:f>VLOOKUP(A33,'Item inputs'!$A$5:$J$84,7,FALSE)</x:f>
        <x:v>70</x:v>
      </x:c>
      <x:c r="H33" s="1" t="n">
        <x:f>VLOOKUP(A33,'Item inputs'!$A$5:$J$84,8,FALSE)</x:f>
        <x:v>317</x:v>
      </x:c>
      <x:c r="I33" s="10" t="n">
        <x:f>H33/90</x:f>
        <x:v>3.522222222222222</x:v>
      </x:c>
      <x:c r="J33" s="1" t="n">
        <x:f>ROUNDUP(I33*(D33+$B$3),0)</x:f>
        <x:v>89</x:v>
      </x:c>
      <x:c r="K33" s="1" t="n">
        <x:f>E33-F33+G33</x:f>
        <x:v>87</x:v>
      </x:c>
      <x:c r="L33" s="9" t="n">
        <x:f>E33*C33</x:f>
        <x:v>4270.72</x:v>
      </x:c>
      <x:c r="M33" s="1" t="n">
        <x:f>ROUNDUP(I33*(D33+$B$3+$D$3),0)</x:f>
        <x:v>138</x:v>
      </x:c>
      <x:c r="N33" s="1" t="n">
        <x:f>IF(K33&lt;=J33,MAX(0,M33-K33),0)</x:f>
        <x:v>51</x:v>
      </x:c>
      <x:c r="O33" s="9" t="n">
        <x:f>N33*C33</x:f>
        <x:v>6806.46</x:v>
      </x:c>
      <x:c r="P33" s="9" t="n">
        <x:f>H33*C33</x:f>
        <x:v>42306.82</x:v>
      </x:c>
      <x:c r="Q33" s="9" t="n">
        <x:f>VLOOKUP(A33,'Item inputs'!$A$5:$J$84,9,FALSE)*C33</x:f>
        <x:v>9142.01</x:v>
      </x:c>
      <x:c r="R33" s="1" t="str">
        <x:f>IF(N33&gt;0,"Review order","Monitor")</x:f>
        <x:v>Review order</x:v>
      </x:c>
    </x:row>
    <x:row r="34" ht="23" customHeight="1">
      <x:c r="A34" s="1" t="str">
        <x:f>'Item inputs'!A33</x:f>
        <x:v>K0029</x:v>
      </x:c>
      <x:c r="B34" s="1" t="str">
        <x:f>VLOOKUP(A34,'Item inputs'!$A$5:$J$84,2,FALSE)</x:f>
        <x:v>Sinks</x:v>
      </x:c>
      <x:c r="C34" s="9" t="n">
        <x:f>VLOOKUP(A34,'Item inputs'!$A$5:$J$84,3,FALSE)</x:f>
        <x:v>132.31</x:v>
      </x:c>
      <x:c r="D34" s="1" t="n">
        <x:f>VLOOKUP(A34,'Item inputs'!$A$5:$J$84,4,FALSE)</x:f>
        <x:v>25</x:v>
      </x:c>
      <x:c r="E34" s="1" t="n">
        <x:f>VLOOKUP(A34,'Item inputs'!$A$5:$J$84,5,FALSE)</x:f>
        <x:v>216</x:v>
      </x:c>
      <x:c r="F34" s="1" t="n">
        <x:f>VLOOKUP(A34,'Item inputs'!$A$5:$J$84,6,FALSE)</x:f>
        <x:v>17</x:v>
      </x:c>
      <x:c r="G34" s="1" t="n">
        <x:f>VLOOKUP(A34,'Item inputs'!$A$5:$J$84,7,FALSE)</x:f>
        <x:v>25</x:v>
      </x:c>
      <x:c r="H34" s="1" t="n">
        <x:f>VLOOKUP(A34,'Item inputs'!$A$5:$J$84,8,FALSE)</x:f>
        <x:v>926</x:v>
      </x:c>
      <x:c r="I34" s="10" t="n">
        <x:f>H34/90</x:f>
        <x:v>10.28888888888889</x:v>
      </x:c>
      <x:c r="J34" s="1" t="n">
        <x:f>ROUNDUP(I34*(D34+$B$3),0)</x:f>
        <x:v>330</x:v>
      </x:c>
      <x:c r="K34" s="1" t="n">
        <x:f>E34-F34+G34</x:f>
        <x:v>224</x:v>
      </x:c>
      <x:c r="L34" s="9" t="n">
        <x:f>E34*C34</x:f>
        <x:v>28578.96</x:v>
      </x:c>
      <x:c r="M34" s="1" t="n">
        <x:f>ROUNDUP(I34*(D34+$B$3+$D$3),0)</x:f>
        <x:v>474</x:v>
      </x:c>
      <x:c r="N34" s="1" t="n">
        <x:f>IF(K34&lt;=J34,MAX(0,M34-K34),0)</x:f>
        <x:v>250</x:v>
      </x:c>
      <x:c r="O34" s="9" t="n">
        <x:f>N34*C34</x:f>
        <x:v>33077.5</x:v>
      </x:c>
      <x:c r="P34" s="9" t="n">
        <x:f>H34*C34</x:f>
        <x:v>122519.06</x:v>
      </x:c>
      <x:c r="Q34" s="9" t="n">
        <x:f>VLOOKUP(A34,'Item inputs'!$A$5:$J$84,9,FALSE)*C34</x:f>
        <x:v>53320.93</x:v>
      </x:c>
      <x:c r="R34" s="1" t="str">
        <x:f>IF(N34&gt;0,"Review order","Monitor")</x:f>
        <x:v>Review order</x:v>
      </x:c>
    </x:row>
    <x:row r="35" ht="23" customHeight="1">
      <x:c r="A35" s="1" t="str">
        <x:f>'Item inputs'!A34</x:f>
        <x:v>K0030</x:v>
      </x:c>
      <x:c r="B35" s="1" t="str">
        <x:f>VLOOKUP(A35,'Item inputs'!$A$5:$J$84,2,FALSE)</x:f>
        <x:v>Taps</x:v>
      </x:c>
      <x:c r="C35" s="9" t="n">
        <x:f>VLOOKUP(A35,'Item inputs'!$A$5:$J$84,3,FALSE)</x:f>
        <x:v>102.97</x:v>
      </x:c>
      <x:c r="D35" s="1" t="n">
        <x:f>VLOOKUP(A35,'Item inputs'!$A$5:$J$84,4,FALSE)</x:f>
        <x:v>14</x:v>
      </x:c>
      <x:c r="E35" s="1" t="n">
        <x:f>VLOOKUP(A35,'Item inputs'!$A$5:$J$84,5,FALSE)</x:f>
        <x:v>448</x:v>
      </x:c>
      <x:c r="F35" s="1" t="n">
        <x:f>VLOOKUP(A35,'Item inputs'!$A$5:$J$84,6,FALSE)</x:f>
        <x:v>16</x:v>
      </x:c>
      <x:c r="G35" s="1" t="n">
        <x:f>VLOOKUP(A35,'Item inputs'!$A$5:$J$84,7,FALSE)</x:f>
        <x:v>57</x:v>
      </x:c>
      <x:c r="H35" s="1" t="n">
        <x:f>VLOOKUP(A35,'Item inputs'!$A$5:$J$84,8,FALSE)</x:f>
        <x:v>824</x:v>
      </x:c>
      <x:c r="I35" s="10" t="n">
        <x:f>H35/90</x:f>
        <x:v>9.155555555555555</x:v>
      </x:c>
      <x:c r="J35" s="1" t="n">
        <x:f>ROUNDUP(I35*(D35+$B$3),0)</x:f>
        <x:v>193</x:v>
      </x:c>
      <x:c r="K35" s="1" t="n">
        <x:f>E35-F35+G35</x:f>
        <x:v>489</x:v>
      </x:c>
      <x:c r="L35" s="9" t="n">
        <x:f>E35*C35</x:f>
        <x:v>46130.56</x:v>
      </x:c>
      <x:c r="M35" s="1" t="n">
        <x:f>ROUNDUP(I35*(D35+$B$3+$D$3),0)</x:f>
        <x:v>321</x:v>
      </x:c>
      <x:c r="N35" s="1" t="n">
        <x:f>IF(K35&lt;=J35,MAX(0,M35-K35),0)</x:f>
        <x:v>0</x:v>
      </x:c>
      <x:c r="O35" s="9" t="n">
        <x:f>N35*C35</x:f>
        <x:v>0</x:v>
      </x:c>
      <x:c r="P35" s="9" t="n">
        <x:f>H35*C35</x:f>
        <x:v>84847.28</x:v>
      </x:c>
      <x:c r="Q35" s="9" t="n">
        <x:f>VLOOKUP(A35,'Item inputs'!$A$5:$J$84,9,FALSE)*C35</x:f>
        <x:v>16835.595</x:v>
      </x:c>
      <x:c r="R35" s="1" t="str">
        <x:f>IF(N35&gt;0,"Review order","Monitor")</x:f>
        <x:v>Monitor</x:v>
      </x:c>
    </x:row>
    <x:row r="36" ht="23" customHeight="1">
      <x:c r="A36" s="1" t="str">
        <x:f>'Item inputs'!A35</x:f>
        <x:v>K0031</x:v>
      </x:c>
      <x:c r="B36" s="1" t="str">
        <x:f>VLOOKUP(A36,'Item inputs'!$A$5:$J$84,2,FALSE)</x:f>
        <x:v>Hoods</x:v>
      </x:c>
      <x:c r="C36" s="9" t="n">
        <x:f>VLOOKUP(A36,'Item inputs'!$A$5:$J$84,3,FALSE)</x:f>
        <x:v>63.23</x:v>
      </x:c>
      <x:c r="D36" s="1" t="n">
        <x:f>VLOOKUP(A36,'Item inputs'!$A$5:$J$84,4,FALSE)</x:f>
        <x:v>7</x:v>
      </x:c>
      <x:c r="E36" s="1" t="n">
        <x:f>VLOOKUP(A36,'Item inputs'!$A$5:$J$84,5,FALSE)</x:f>
        <x:v>21</x:v>
      </x:c>
      <x:c r="F36" s="1" t="n">
        <x:f>VLOOKUP(A36,'Item inputs'!$A$5:$J$84,6,FALSE)</x:f>
        <x:v>18</x:v>
      </x:c>
      <x:c r="G36" s="1" t="n">
        <x:f>VLOOKUP(A36,'Item inputs'!$A$5:$J$84,7,FALSE)</x:f>
        <x:v>70</x:v>
      </x:c>
      <x:c r="H36" s="1" t="n">
        <x:f>VLOOKUP(A36,'Item inputs'!$A$5:$J$84,8,FALSE)</x:f>
        <x:v>752</x:v>
      </x:c>
      <x:c r="I36" s="10" t="n">
        <x:f>H36/90</x:f>
        <x:v>8.355555555555556</x:v>
      </x:c>
      <x:c r="J36" s="1" t="n">
        <x:f>ROUNDUP(I36*(D36+$B$3),0)</x:f>
        <x:v>117</x:v>
      </x:c>
      <x:c r="K36" s="1" t="n">
        <x:f>E36-F36+G36</x:f>
        <x:v>73</x:v>
      </x:c>
      <x:c r="L36" s="9" t="n">
        <x:f>E36*C36</x:f>
        <x:v>1327.83</x:v>
      </x:c>
      <x:c r="M36" s="1" t="n">
        <x:f>ROUNDUP(I36*(D36+$B$3+$D$3),0)</x:f>
        <x:v>234</x:v>
      </x:c>
      <x:c r="N36" s="1" t="n">
        <x:f>IF(K36&lt;=J36,MAX(0,M36-K36),0)</x:f>
        <x:v>161</x:v>
      </x:c>
      <x:c r="O36" s="9" t="n">
        <x:f>N36*C36</x:f>
        <x:v>10180.029999999999</x:v>
      </x:c>
      <x:c r="P36" s="9" t="n">
        <x:f>H36*C36</x:f>
        <x:v>47548.96</x:v>
      </x:c>
      <x:c r="Q36" s="9" t="n">
        <x:f>VLOOKUP(A36,'Item inputs'!$A$5:$J$84,9,FALSE)*C36</x:f>
        <x:v>11507.859999999999</x:v>
      </x:c>
      <x:c r="R36" s="1" t="str">
        <x:f>IF(N36&gt;0,"Review order","Monitor")</x:f>
        <x:v>Review order</x:v>
      </x:c>
    </x:row>
    <x:row r="37" ht="23" customHeight="1">
      <x:c r="A37" s="1" t="str">
        <x:f>'Item inputs'!A36</x:f>
        <x:v>K0032</x:v>
      </x:c>
      <x:c r="B37" s="1" t="str">
        <x:f>VLOOKUP(A37,'Item inputs'!$A$5:$J$84,2,FALSE)</x:f>
        <x:v>Accessories</x:v>
      </x:c>
      <x:c r="C37" s="9" t="n">
        <x:f>VLOOKUP(A37,'Item inputs'!$A$5:$J$84,3,FALSE)</x:f>
        <x:v>62.21</x:v>
      </x:c>
      <x:c r="D37" s="1" t="n">
        <x:f>VLOOKUP(A37,'Item inputs'!$A$5:$J$84,4,FALSE)</x:f>
        <x:v>12</x:v>
      </x:c>
      <x:c r="E37" s="1" t="n">
        <x:f>VLOOKUP(A37,'Item inputs'!$A$5:$J$84,5,FALSE)</x:f>
        <x:v>161</x:v>
      </x:c>
      <x:c r="F37" s="1" t="n">
        <x:f>VLOOKUP(A37,'Item inputs'!$A$5:$J$84,6,FALSE)</x:f>
        <x:v>1</x:v>
      </x:c>
      <x:c r="G37" s="1" t="n">
        <x:f>VLOOKUP(A37,'Item inputs'!$A$5:$J$84,7,FALSE)</x:f>
        <x:v>29</x:v>
      </x:c>
      <x:c r="H37" s="1" t="n">
        <x:f>VLOOKUP(A37,'Item inputs'!$A$5:$J$84,8,FALSE)</x:f>
        <x:v>205</x:v>
      </x:c>
      <x:c r="I37" s="10" t="n">
        <x:f>H37/90</x:f>
        <x:v>2.2777777777777777</x:v>
      </x:c>
      <x:c r="J37" s="1" t="n">
        <x:f>ROUNDUP(I37*(D37+$B$3),0)</x:f>
        <x:v>44</x:v>
      </x:c>
      <x:c r="K37" s="1" t="n">
        <x:f>E37-F37+G37</x:f>
        <x:v>189</x:v>
      </x:c>
      <x:c r="L37" s="9" t="n">
        <x:f>E37*C37</x:f>
        <x:v>10015.81</x:v>
      </x:c>
      <x:c r="M37" s="1" t="n">
        <x:f>ROUNDUP(I37*(D37+$B$3+$D$3),0)</x:f>
        <x:v>76</x:v>
      </x:c>
      <x:c r="N37" s="1" t="n">
        <x:f>IF(K37&lt;=J37,MAX(0,M37-K37),0)</x:f>
        <x:v>0</x:v>
      </x:c>
      <x:c r="O37" s="9" t="n">
        <x:f>N37*C37</x:f>
        <x:v>0</x:v>
      </x:c>
      <x:c r="P37" s="9" t="n">
        <x:f>H37*C37</x:f>
        <x:v>12753.05</x:v>
      </x:c>
      <x:c r="Q37" s="9" t="n">
        <x:f>VLOOKUP(A37,'Item inputs'!$A$5:$J$84,9,FALSE)*C37</x:f>
        <x:v>2258.223</x:v>
      </x:c>
      <x:c r="R37" s="1" t="str">
        <x:f>IF(N37&gt;0,"Review order","Monitor")</x:f>
        <x:v>Monitor</x:v>
      </x:c>
    </x:row>
    <x:row r="38" ht="23" customHeight="1">
      <x:c r="A38" s="1" t="str">
        <x:f>'Item inputs'!A37</x:f>
        <x:v>K0033</x:v>
      </x:c>
      <x:c r="B38" s="1" t="str">
        <x:f>VLOOKUP(A38,'Item inputs'!$A$5:$J$84,2,FALSE)</x:f>
        <x:v>Sinks</x:v>
      </x:c>
      <x:c r="C38" s="9" t="n">
        <x:f>VLOOKUP(A38,'Item inputs'!$A$5:$J$84,3,FALSE)</x:f>
        <x:v>19.16</x:v>
      </x:c>
      <x:c r="D38" s="1" t="n">
        <x:f>VLOOKUP(A38,'Item inputs'!$A$5:$J$84,4,FALSE)</x:f>
        <x:v>16</x:v>
      </x:c>
      <x:c r="E38" s="1" t="n">
        <x:f>VLOOKUP(A38,'Item inputs'!$A$5:$J$84,5,FALSE)</x:f>
        <x:v>72</x:v>
      </x:c>
      <x:c r="F38" s="1" t="n">
        <x:f>VLOOKUP(A38,'Item inputs'!$A$5:$J$84,6,FALSE)</x:f>
        <x:v>16</x:v>
      </x:c>
      <x:c r="G38" s="1" t="n">
        <x:f>VLOOKUP(A38,'Item inputs'!$A$5:$J$84,7,FALSE)</x:f>
        <x:v>30</x:v>
      </x:c>
      <x:c r="H38" s="1" t="n">
        <x:f>VLOOKUP(A38,'Item inputs'!$A$5:$J$84,8,FALSE)</x:f>
        <x:v>736</x:v>
      </x:c>
      <x:c r="I38" s="10" t="n">
        <x:f>H38/90</x:f>
        <x:v>8.177777777777777</x:v>
      </x:c>
      <x:c r="J38" s="1" t="n">
        <x:f>ROUNDUP(I38*(D38+$B$3),0)</x:f>
        <x:v>189</x:v>
      </x:c>
      <x:c r="K38" s="1" t="n">
        <x:f>E38-F38+G38</x:f>
        <x:v>86</x:v>
      </x:c>
      <x:c r="L38" s="9" t="n">
        <x:f>E38*C38</x:f>
        <x:v>1379.52</x:v>
      </x:c>
      <x:c r="M38" s="1" t="n">
        <x:f>ROUNDUP(I38*(D38+$B$3+$D$3),0)</x:f>
        <x:v>303</x:v>
      </x:c>
      <x:c r="N38" s="1" t="n">
        <x:f>IF(K38&lt;=J38,MAX(0,M38-K38),0)</x:f>
        <x:v>217</x:v>
      </x:c>
      <x:c r="O38" s="9" t="n">
        <x:f>N38*C38</x:f>
        <x:v>4157.72</x:v>
      </x:c>
      <x:c r="P38" s="9" t="n">
        <x:f>H38*C38</x:f>
        <x:v>14101.76</x:v>
      </x:c>
      <x:c r="Q38" s="9" t="n">
        <x:f>VLOOKUP(A38,'Item inputs'!$A$5:$J$84,9,FALSE)*C38</x:f>
        <x:v>3686.384</x:v>
      </x:c>
      <x:c r="R38" s="1" t="str">
        <x:f>IF(N38&gt;0,"Review order","Monitor")</x:f>
        <x:v>Review order</x:v>
      </x:c>
    </x:row>
    <x:row r="39" ht="23" customHeight="1">
      <x:c r="A39" s="1" t="str">
        <x:f>'Item inputs'!A38</x:f>
        <x:v>K0034</x:v>
      </x:c>
      <x:c r="B39" s="1" t="str">
        <x:f>VLOOKUP(A39,'Item inputs'!$A$5:$J$84,2,FALSE)</x:f>
        <x:v>Taps</x:v>
      </x:c>
      <x:c r="C39" s="9" t="n">
        <x:f>VLOOKUP(A39,'Item inputs'!$A$5:$J$84,3,FALSE)</x:f>
        <x:v>122.67</x:v>
      </x:c>
      <x:c r="D39" s="1" t="n">
        <x:f>VLOOKUP(A39,'Item inputs'!$A$5:$J$84,4,FALSE)</x:f>
        <x:v>18</x:v>
      </x:c>
      <x:c r="E39" s="1" t="n">
        <x:f>VLOOKUP(A39,'Item inputs'!$A$5:$J$84,5,FALSE)</x:f>
        <x:v>135</x:v>
      </x:c>
      <x:c r="F39" s="1" t="n">
        <x:f>VLOOKUP(A39,'Item inputs'!$A$5:$J$84,6,FALSE)</x:f>
        <x:v>18</x:v>
      </x:c>
      <x:c r="G39" s="1" t="n">
        <x:f>VLOOKUP(A39,'Item inputs'!$A$5:$J$84,7,FALSE)</x:f>
        <x:v>73</x:v>
      </x:c>
      <x:c r="H39" s="1" t="n">
        <x:f>VLOOKUP(A39,'Item inputs'!$A$5:$J$84,8,FALSE)</x:f>
        <x:v>1164</x:v>
      </x:c>
      <x:c r="I39" s="10" t="n">
        <x:f>H39/90</x:f>
        <x:v>12.933333333333334</x:v>
      </x:c>
      <x:c r="J39" s="1" t="n">
        <x:f>ROUNDUP(I39*(D39+$B$3),0)</x:f>
        <x:v>324</x:v>
      </x:c>
      <x:c r="K39" s="1" t="n">
        <x:f>E39-F39+G39</x:f>
        <x:v>190</x:v>
      </x:c>
      <x:c r="L39" s="9" t="n">
        <x:f>E39*C39</x:f>
        <x:v>16560.45</x:v>
      </x:c>
      <x:c r="M39" s="1" t="n">
        <x:f>ROUNDUP(I39*(D39+$B$3+$D$3),0)</x:f>
        <x:v>505</x:v>
      </x:c>
      <x:c r="N39" s="1" t="n">
        <x:f>IF(K39&lt;=J39,MAX(0,M39-K39),0)</x:f>
        <x:v>315</x:v>
      </x:c>
      <x:c r="O39" s="9" t="n">
        <x:f>N39*C39</x:f>
        <x:v>38641.05</x:v>
      </x:c>
      <x:c r="P39" s="9" t="n">
        <x:f>H39*C39</x:f>
        <x:v>142787.88</x:v>
      </x:c>
      <x:c r="Q39" s="9" t="n">
        <x:f>VLOOKUP(A39,'Item inputs'!$A$5:$J$84,9,FALSE)*C39</x:f>
        <x:v>48417.849</x:v>
      </x:c>
      <x:c r="R39" s="1" t="str">
        <x:f>IF(N39&gt;0,"Review order","Monitor")</x:f>
        <x:v>Review order</x:v>
      </x:c>
    </x:row>
    <x:row r="40" ht="23" customHeight="1">
      <x:c r="A40" s="1" t="str">
        <x:f>'Item inputs'!A39</x:f>
        <x:v>K0035</x:v>
      </x:c>
      <x:c r="B40" s="1" t="str">
        <x:f>VLOOKUP(A40,'Item inputs'!$A$5:$J$84,2,FALSE)</x:f>
        <x:v>Hoods</x:v>
      </x:c>
      <x:c r="C40" s="9" t="n">
        <x:f>VLOOKUP(A40,'Item inputs'!$A$5:$J$84,3,FALSE)</x:f>
        <x:v>190.89</x:v>
      </x:c>
      <x:c r="D40" s="1" t="n">
        <x:f>VLOOKUP(A40,'Item inputs'!$A$5:$J$84,4,FALSE)</x:f>
        <x:v>25</x:v>
      </x:c>
      <x:c r="E40" s="1" t="n">
        <x:f>VLOOKUP(A40,'Item inputs'!$A$5:$J$84,5,FALSE)</x:f>
        <x:v>194</x:v>
      </x:c>
      <x:c r="F40" s="1" t="n">
        <x:f>VLOOKUP(A40,'Item inputs'!$A$5:$J$84,6,FALSE)</x:f>
        <x:v>3</x:v>
      </x:c>
      <x:c r="G40" s="1" t="n">
        <x:f>VLOOKUP(A40,'Item inputs'!$A$5:$J$84,7,FALSE)</x:f>
        <x:v>12</x:v>
      </x:c>
      <x:c r="H40" s="1" t="n">
        <x:f>VLOOKUP(A40,'Item inputs'!$A$5:$J$84,8,FALSE)</x:f>
        <x:v>893</x:v>
      </x:c>
      <x:c r="I40" s="10" t="n">
        <x:f>H40/90</x:f>
        <x:v>9.922222222222222</x:v>
      </x:c>
      <x:c r="J40" s="1" t="n">
        <x:f>ROUNDUP(I40*(D40+$B$3),0)</x:f>
        <x:v>318</x:v>
      </x:c>
      <x:c r="K40" s="1" t="n">
        <x:f>E40-F40+G40</x:f>
        <x:v>203</x:v>
      </x:c>
      <x:c r="L40" s="9" t="n">
        <x:f>E40*C40</x:f>
        <x:v>37032.659999999996</x:v>
      </x:c>
      <x:c r="M40" s="1" t="n">
        <x:f>ROUNDUP(I40*(D40+$B$3+$D$3),0)</x:f>
        <x:v>457</x:v>
      </x:c>
      <x:c r="N40" s="1" t="n">
        <x:f>IF(K40&lt;=J40,MAX(0,M40-K40),0)</x:f>
        <x:v>254</x:v>
      </x:c>
      <x:c r="O40" s="9" t="n">
        <x:f>N40*C40</x:f>
        <x:v>48486.06</x:v>
      </x:c>
      <x:c r="P40" s="9" t="n">
        <x:f>H40*C40</x:f>
        <x:v>170464.77</x:v>
      </x:c>
      <x:c r="Q40" s="9" t="n">
        <x:f>VLOOKUP(A40,'Item inputs'!$A$5:$J$84,9,FALSE)*C40</x:f>
        <x:v>70495.677</x:v>
      </x:c>
      <x:c r="R40" s="1" t="str">
        <x:f>IF(N40&gt;0,"Review order","Monitor")</x:f>
        <x:v>Review order</x:v>
      </x:c>
    </x:row>
    <x:row r="41" ht="23" customHeight="1">
      <x:c r="A41" s="1" t="str">
        <x:f>'Item inputs'!A40</x:f>
        <x:v>K0036</x:v>
      </x:c>
      <x:c r="B41" s="1" t="str">
        <x:f>VLOOKUP(A41,'Item inputs'!$A$5:$J$84,2,FALSE)</x:f>
        <x:v>Accessories</x:v>
      </x:c>
      <x:c r="C41" s="9" t="n">
        <x:f>VLOOKUP(A41,'Item inputs'!$A$5:$J$84,3,FALSE)</x:f>
        <x:v>92.78</x:v>
      </x:c>
      <x:c r="D41" s="1" t="n">
        <x:f>VLOOKUP(A41,'Item inputs'!$A$5:$J$84,4,FALSE)</x:f>
        <x:v>14</x:v>
      </x:c>
      <x:c r="E41" s="1" t="n">
        <x:f>VLOOKUP(A41,'Item inputs'!$A$5:$J$84,5,FALSE)</x:f>
        <x:v>478</x:v>
      </x:c>
      <x:c r="F41" s="1" t="n">
        <x:f>VLOOKUP(A41,'Item inputs'!$A$5:$J$84,6,FALSE)</x:f>
        <x:v>1</x:v>
      </x:c>
      <x:c r="G41" s="1" t="n">
        <x:f>VLOOKUP(A41,'Item inputs'!$A$5:$J$84,7,FALSE)</x:f>
        <x:v>12</x:v>
      </x:c>
      <x:c r="H41" s="1" t="n">
        <x:f>VLOOKUP(A41,'Item inputs'!$A$5:$J$84,8,FALSE)</x:f>
        <x:v>901</x:v>
      </x:c>
      <x:c r="I41" s="10" t="n">
        <x:f>H41/90</x:f>
        <x:v>10.011111111111111</x:v>
      </x:c>
      <x:c r="J41" s="1" t="n">
        <x:f>ROUNDUP(I41*(D41+$B$3),0)</x:f>
        <x:v>211</x:v>
      </x:c>
      <x:c r="K41" s="1" t="n">
        <x:f>E41-F41+G41</x:f>
        <x:v>489</x:v>
      </x:c>
      <x:c r="L41" s="9" t="n">
        <x:f>E41*C41</x:f>
        <x:v>44348.840000000004</x:v>
      </x:c>
      <x:c r="M41" s="1" t="n">
        <x:f>ROUNDUP(I41*(D41+$B$3+$D$3),0)</x:f>
        <x:v>351</x:v>
      </x:c>
      <x:c r="N41" s="1" t="n">
        <x:f>IF(K41&lt;=J41,MAX(0,M41-K41),0)</x:f>
        <x:v>0</x:v>
      </x:c>
      <x:c r="O41" s="9" t="n">
        <x:f>N41*C41</x:f>
        <x:v>0</x:v>
      </x:c>
      <x:c r="P41" s="9" t="n">
        <x:f>H41*C41</x:f>
        <x:v>83594.78</x:v>
      </x:c>
      <x:c r="Q41" s="9" t="n">
        <x:f>VLOOKUP(A41,'Item inputs'!$A$5:$J$84,9,FALSE)*C41</x:f>
        <x:v>14566.460000000001</x:v>
      </x:c>
      <x:c r="R41" s="1" t="str">
        <x:f>IF(N41&gt;0,"Review order","Monitor")</x:f>
        <x:v>Monitor</x:v>
      </x:c>
    </x:row>
    <x:row r="42" ht="23" customHeight="1">
      <x:c r="A42" s="1" t="str">
        <x:f>'Item inputs'!A41</x:f>
        <x:v>K0037</x:v>
      </x:c>
      <x:c r="B42" s="1" t="str">
        <x:f>VLOOKUP(A42,'Item inputs'!$A$5:$J$84,2,FALSE)</x:f>
        <x:v>Sinks</x:v>
      </x:c>
      <x:c r="C42" s="9" t="n">
        <x:f>VLOOKUP(A42,'Item inputs'!$A$5:$J$84,3,FALSE)</x:f>
        <x:v>178.03</x:v>
      </x:c>
      <x:c r="D42" s="1" t="n">
        <x:f>VLOOKUP(A42,'Item inputs'!$A$5:$J$84,4,FALSE)</x:f>
        <x:v>7</x:v>
      </x:c>
      <x:c r="E42" s="1" t="n">
        <x:f>VLOOKUP(A42,'Item inputs'!$A$5:$J$84,5,FALSE)</x:f>
        <x:v>63</x:v>
      </x:c>
      <x:c r="F42" s="1" t="n">
        <x:f>VLOOKUP(A42,'Item inputs'!$A$5:$J$84,6,FALSE)</x:f>
        <x:v>6</x:v>
      </x:c>
      <x:c r="G42" s="1" t="n">
        <x:f>VLOOKUP(A42,'Item inputs'!$A$5:$J$84,7,FALSE)</x:f>
        <x:v>24</x:v>
      </x:c>
      <x:c r="H42" s="1" t="n">
        <x:f>VLOOKUP(A42,'Item inputs'!$A$5:$J$84,8,FALSE)</x:f>
        <x:v>283</x:v>
      </x:c>
      <x:c r="I42" s="10" t="n">
        <x:f>H42/90</x:f>
        <x:v>3.1444444444444444</x:v>
      </x:c>
      <x:c r="J42" s="1" t="n">
        <x:f>ROUNDUP(I42*(D42+$B$3),0)</x:f>
        <x:v>45</x:v>
      </x:c>
      <x:c r="K42" s="1" t="n">
        <x:f>E42-F42+G42</x:f>
        <x:v>81</x:v>
      </x:c>
      <x:c r="L42" s="9" t="n">
        <x:f>E42*C42</x:f>
        <x:v>11215.89</x:v>
      </x:c>
      <x:c r="M42" s="1" t="n">
        <x:f>ROUNDUP(I42*(D42+$B$3+$D$3),0)</x:f>
        <x:v>89</x:v>
      </x:c>
      <x:c r="N42" s="1" t="n">
        <x:f>IF(K42&lt;=J42,MAX(0,M42-K42),0)</x:f>
        <x:v>0</x:v>
      </x:c>
      <x:c r="O42" s="9" t="n">
        <x:f>N42*C42</x:f>
        <x:v>0</x:v>
      </x:c>
      <x:c r="P42" s="9" t="n">
        <x:f>H42*C42</x:f>
        <x:v>50382.49</x:v>
      </x:c>
      <x:c r="Q42" s="9" t="n">
        <x:f>VLOOKUP(A42,'Item inputs'!$A$5:$J$84,9,FALSE)*C42</x:f>
        <x:v>18372.696</x:v>
      </x:c>
      <x:c r="R42" s="1" t="str">
        <x:f>IF(N42&gt;0,"Review order","Monitor")</x:f>
        <x:v>Monitor</x:v>
      </x:c>
    </x:row>
    <x:row r="43" ht="23" customHeight="1">
      <x:c r="A43" s="1" t="str">
        <x:f>'Item inputs'!A42</x:f>
        <x:v>K0038</x:v>
      </x:c>
      <x:c r="B43" s="1" t="str">
        <x:f>VLOOKUP(A43,'Item inputs'!$A$5:$J$84,2,FALSE)</x:f>
        <x:v>Taps</x:v>
      </x:c>
      <x:c r="C43" s="9" t="n">
        <x:f>VLOOKUP(A43,'Item inputs'!$A$5:$J$84,3,FALSE)</x:f>
        <x:v>43.96</x:v>
      </x:c>
      <x:c r="D43" s="1" t="n">
        <x:f>VLOOKUP(A43,'Item inputs'!$A$5:$J$84,4,FALSE)</x:f>
        <x:v>12</x:v>
      </x:c>
      <x:c r="E43" s="1" t="n">
        <x:f>VLOOKUP(A43,'Item inputs'!$A$5:$J$84,5,FALSE)</x:f>
        <x:v>142</x:v>
      </x:c>
      <x:c r="F43" s="1" t="n">
        <x:f>VLOOKUP(A43,'Item inputs'!$A$5:$J$84,6,FALSE)</x:f>
        <x:v>14</x:v>
      </x:c>
      <x:c r="G43" s="1" t="n">
        <x:f>VLOOKUP(A43,'Item inputs'!$A$5:$J$84,7,FALSE)</x:f>
        <x:v>31</x:v>
      </x:c>
      <x:c r="H43" s="1" t="n">
        <x:f>VLOOKUP(A43,'Item inputs'!$A$5:$J$84,8,FALSE)</x:f>
        <x:v>435</x:v>
      </x:c>
      <x:c r="I43" s="10" t="n">
        <x:f>H43/90</x:f>
        <x:v>4.833333333333333</x:v>
      </x:c>
      <x:c r="J43" s="1" t="n">
        <x:f>ROUNDUP(I43*(D43+$B$3),0)</x:f>
        <x:v>92</x:v>
      </x:c>
      <x:c r="K43" s="1" t="n">
        <x:f>E43-F43+G43</x:f>
        <x:v>159</x:v>
      </x:c>
      <x:c r="L43" s="9" t="n">
        <x:f>E43*C43</x:f>
        <x:v>6242.32</x:v>
      </x:c>
      <x:c r="M43" s="1" t="n">
        <x:f>ROUNDUP(I43*(D43+$B$3+$D$3),0)</x:f>
        <x:v>160</x:v>
      </x:c>
      <x:c r="N43" s="1" t="n">
        <x:f>IF(K43&lt;=J43,MAX(0,M43-K43),0)</x:f>
        <x:v>0</x:v>
      </x:c>
      <x:c r="O43" s="9" t="n">
        <x:f>N43*C43</x:f>
        <x:v>0</x:v>
      </x:c>
      <x:c r="P43" s="9" t="n">
        <x:f>H43*C43</x:f>
        <x:v>19122.600000000002</x:v>
      </x:c>
      <x:c r="Q43" s="9" t="n">
        <x:f>VLOOKUP(A43,'Item inputs'!$A$5:$J$84,9,FALSE)*C43</x:f>
        <x:v>9556.904</x:v>
      </x:c>
      <x:c r="R43" s="1" t="str">
        <x:f>IF(N43&gt;0,"Review order","Monitor")</x:f>
        <x:v>Monitor</x:v>
      </x:c>
    </x:row>
    <x:row r="44" ht="23" customHeight="1">
      <x:c r="A44" s="1" t="str">
        <x:f>'Item inputs'!A43</x:f>
        <x:v>K0039</x:v>
      </x:c>
      <x:c r="B44" s="1" t="str">
        <x:f>VLOOKUP(A44,'Item inputs'!$A$5:$J$84,2,FALSE)</x:f>
        <x:v>Hoods</x:v>
      </x:c>
      <x:c r="C44" s="9" t="n">
        <x:f>VLOOKUP(A44,'Item inputs'!$A$5:$J$84,3,FALSE)</x:f>
        <x:v>29.19</x:v>
      </x:c>
      <x:c r="D44" s="1" t="n">
        <x:f>VLOOKUP(A44,'Item inputs'!$A$5:$J$84,4,FALSE)</x:f>
        <x:v>16</x:v>
      </x:c>
      <x:c r="E44" s="1" t="n">
        <x:f>VLOOKUP(A44,'Item inputs'!$A$5:$J$84,5,FALSE)</x:f>
        <x:v>100</x:v>
      </x:c>
      <x:c r="F44" s="1" t="n">
        <x:f>VLOOKUP(A44,'Item inputs'!$A$5:$J$84,6,FALSE)</x:f>
        <x:v>1</x:v>
      </x:c>
      <x:c r="G44" s="1" t="n">
        <x:f>VLOOKUP(A44,'Item inputs'!$A$5:$J$84,7,FALSE)</x:f>
        <x:v>69</x:v>
      </x:c>
      <x:c r="H44" s="1" t="n">
        <x:f>VLOOKUP(A44,'Item inputs'!$A$5:$J$84,8,FALSE)</x:f>
        <x:v>1187</x:v>
      </x:c>
      <x:c r="I44" s="10" t="n">
        <x:f>H44/90</x:f>
        <x:v>13.188888888888888</x:v>
      </x:c>
      <x:c r="J44" s="1" t="n">
        <x:f>ROUNDUP(I44*(D44+$B$3),0)</x:f>
        <x:v>304</x:v>
      </x:c>
      <x:c r="K44" s="1" t="n">
        <x:f>E44-F44+G44</x:f>
        <x:v>168</x:v>
      </x:c>
      <x:c r="L44" s="9" t="n">
        <x:f>E44*C44</x:f>
        <x:v>2919</x:v>
      </x:c>
      <x:c r="M44" s="1" t="n">
        <x:f>ROUNDUP(I44*(D44+$B$3+$D$3),0)</x:f>
        <x:v>488</x:v>
      </x:c>
      <x:c r="N44" s="1" t="n">
        <x:f>IF(K44&lt;=J44,MAX(0,M44-K44),0)</x:f>
        <x:v>320</x:v>
      </x:c>
      <x:c r="O44" s="9" t="n">
        <x:f>N44*C44</x:f>
        <x:v>9340.800000000001</x:v>
      </x:c>
      <x:c r="P44" s="9" t="n">
        <x:f>H44*C44</x:f>
        <x:v>34648.53</x:v>
      </x:c>
      <x:c r="Q44" s="9" t="n">
        <x:f>VLOOKUP(A44,'Item inputs'!$A$5:$J$84,9,FALSE)*C44</x:f>
        <x:v>16784.25</x:v>
      </x:c>
      <x:c r="R44" s="1" t="str">
        <x:f>IF(N44&gt;0,"Review order","Monitor")</x:f>
        <x:v>Review order</x:v>
      </x:c>
    </x:row>
    <x:row r="45" ht="23" customHeight="1">
      <x:c r="A45" s="1" t="str">
        <x:f>'Item inputs'!A44</x:f>
        <x:v>K0040</x:v>
      </x:c>
      <x:c r="B45" s="1" t="str">
        <x:f>VLOOKUP(A45,'Item inputs'!$A$5:$J$84,2,FALSE)</x:f>
        <x:v>Accessories</x:v>
      </x:c>
      <x:c r="C45" s="9" t="n">
        <x:f>VLOOKUP(A45,'Item inputs'!$A$5:$J$84,3,FALSE)</x:f>
        <x:v>232.93</x:v>
      </x:c>
      <x:c r="D45" s="1" t="n">
        <x:f>VLOOKUP(A45,'Item inputs'!$A$5:$J$84,4,FALSE)</x:f>
        <x:v>18</x:v>
      </x:c>
      <x:c r="E45" s="1" t="n">
        <x:f>VLOOKUP(A45,'Item inputs'!$A$5:$J$84,5,FALSE)</x:f>
        <x:v>85</x:v>
      </x:c>
      <x:c r="F45" s="1" t="n">
        <x:f>VLOOKUP(A45,'Item inputs'!$A$5:$J$84,6,FALSE)</x:f>
        <x:v>13</x:v>
      </x:c>
      <x:c r="G45" s="1" t="n">
        <x:f>VLOOKUP(A45,'Item inputs'!$A$5:$J$84,7,FALSE)</x:f>
        <x:v>62</x:v>
      </x:c>
      <x:c r="H45" s="1" t="n">
        <x:f>VLOOKUP(A45,'Item inputs'!$A$5:$J$84,8,FALSE)</x:f>
        <x:v>544</x:v>
      </x:c>
      <x:c r="I45" s="10" t="n">
        <x:f>H45/90</x:f>
        <x:v>6.044444444444444</x:v>
      </x:c>
      <x:c r="J45" s="1" t="n">
        <x:f>ROUNDUP(I45*(D45+$B$3),0)</x:f>
        <x:v>152</x:v>
      </x:c>
      <x:c r="K45" s="1" t="n">
        <x:f>E45-F45+G45</x:f>
        <x:v>134</x:v>
      </x:c>
      <x:c r="L45" s="9" t="n">
        <x:f>E45*C45</x:f>
        <x:v>19799.05</x:v>
      </x:c>
      <x:c r="M45" s="1" t="n">
        <x:f>ROUNDUP(I45*(D45+$B$3+$D$3),0)</x:f>
        <x:v>236</x:v>
      </x:c>
      <x:c r="N45" s="1" t="n">
        <x:f>IF(K45&lt;=J45,MAX(0,M45-K45),0)</x:f>
        <x:v>102</x:v>
      </x:c>
      <x:c r="O45" s="9" t="n">
        <x:f>N45*C45</x:f>
        <x:v>23758.86</x:v>
      </x:c>
      <x:c r="P45" s="9" t="n">
        <x:f>H45*C45</x:f>
        <x:v>126713.92</x:v>
      </x:c>
      <x:c r="Q45" s="9" t="n">
        <x:f>VLOOKUP(A45,'Item inputs'!$A$5:$J$84,9,FALSE)*C45</x:f>
        <x:v>43394.859000000004</x:v>
      </x:c>
      <x:c r="R45" s="1" t="str">
        <x:f>IF(N45&gt;0,"Review order","Monitor")</x:f>
        <x:v>Review order</x:v>
      </x:c>
    </x:row>
    <x:row r="46" ht="23" customHeight="1">
      <x:c r="A46" s="1" t="str">
        <x:f>'Item inputs'!A45</x:f>
        <x:v>K0041</x:v>
      </x:c>
      <x:c r="B46" s="1" t="str">
        <x:f>VLOOKUP(A46,'Item inputs'!$A$5:$J$84,2,FALSE)</x:f>
        <x:v>Sinks</x:v>
      </x:c>
      <x:c r="C46" s="9" t="n">
        <x:f>VLOOKUP(A46,'Item inputs'!$A$5:$J$84,3,FALSE)</x:f>
        <x:v>209.14</x:v>
      </x:c>
      <x:c r="D46" s="1" t="n">
        <x:f>VLOOKUP(A46,'Item inputs'!$A$5:$J$84,4,FALSE)</x:f>
        <x:v>25</x:v>
      </x:c>
      <x:c r="E46" s="1" t="n">
        <x:f>VLOOKUP(A46,'Item inputs'!$A$5:$J$84,5,FALSE)</x:f>
        <x:v>42</x:v>
      </x:c>
      <x:c r="F46" s="1" t="n">
        <x:f>VLOOKUP(A46,'Item inputs'!$A$5:$J$84,6,FALSE)</x:f>
        <x:v>12</x:v>
      </x:c>
      <x:c r="G46" s="1" t="n">
        <x:f>VLOOKUP(A46,'Item inputs'!$A$5:$J$84,7,FALSE)</x:f>
        <x:v>0</x:v>
      </x:c>
      <x:c r="H46" s="1" t="n">
        <x:f>VLOOKUP(A46,'Item inputs'!$A$5:$J$84,8,FALSE)</x:f>
        <x:v>180</x:v>
      </x:c>
      <x:c r="I46" s="10" t="n">
        <x:f>H46/90</x:f>
        <x:v>2</x:v>
      </x:c>
      <x:c r="J46" s="1" t="n">
        <x:f>ROUNDUP(I46*(D46+$B$3),0)</x:f>
        <x:v>64</x:v>
      </x:c>
      <x:c r="K46" s="1" t="n">
        <x:f>E46-F46+G46</x:f>
        <x:v>30</x:v>
      </x:c>
      <x:c r="L46" s="9" t="n">
        <x:f>E46*C46</x:f>
        <x:v>8783.88</x:v>
      </x:c>
      <x:c r="M46" s="1" t="n">
        <x:f>ROUNDUP(I46*(D46+$B$3+$D$3),0)</x:f>
        <x:v>92</x:v>
      </x:c>
      <x:c r="N46" s="1" t="n">
        <x:f>IF(K46&lt;=J46,MAX(0,M46-K46),0)</x:f>
        <x:v>62</x:v>
      </x:c>
      <x:c r="O46" s="9" t="n">
        <x:f>N46*C46</x:f>
        <x:v>12966.679999999998</x:v>
      </x:c>
      <x:c r="P46" s="9" t="n">
        <x:f>H46*C46</x:f>
        <x:v>37645.2</x:v>
      </x:c>
      <x:c r="Q46" s="9" t="n">
        <x:f>VLOOKUP(A46,'Item inputs'!$A$5:$J$84,9,FALSE)*C46</x:f>
        <x:v>20474.806</x:v>
      </x:c>
      <x:c r="R46" s="1" t="str">
        <x:f>IF(N46&gt;0,"Review order","Monitor")</x:f>
        <x:v>Review order</x:v>
      </x:c>
    </x:row>
    <x:row r="47" ht="23" customHeight="1">
      <x:c r="A47" s="1" t="str">
        <x:f>'Item inputs'!A46</x:f>
        <x:v>K0042</x:v>
      </x:c>
      <x:c r="B47" s="1" t="str">
        <x:f>VLOOKUP(A47,'Item inputs'!$A$5:$J$84,2,FALSE)</x:f>
        <x:v>Taps</x:v>
      </x:c>
      <x:c r="C47" s="9" t="n">
        <x:f>VLOOKUP(A47,'Item inputs'!$A$5:$J$84,3,FALSE)</x:f>
        <x:v>72.47</x:v>
      </x:c>
      <x:c r="D47" s="1" t="n">
        <x:f>VLOOKUP(A47,'Item inputs'!$A$5:$J$84,4,FALSE)</x:f>
        <x:v>14</x:v>
      </x:c>
      <x:c r="E47" s="1" t="n">
        <x:f>VLOOKUP(A47,'Item inputs'!$A$5:$J$84,5,FALSE)</x:f>
        <x:v>292</x:v>
      </x:c>
      <x:c r="F47" s="1" t="n">
        <x:f>VLOOKUP(A47,'Item inputs'!$A$5:$J$84,6,FALSE)</x:f>
        <x:v>13</x:v>
      </x:c>
      <x:c r="G47" s="1" t="n">
        <x:f>VLOOKUP(A47,'Item inputs'!$A$5:$J$84,7,FALSE)</x:f>
        <x:v>71</x:v>
      </x:c>
      <x:c r="H47" s="1" t="n">
        <x:f>VLOOKUP(A47,'Item inputs'!$A$5:$J$84,8,FALSE)</x:f>
        <x:v>991</x:v>
      </x:c>
      <x:c r="I47" s="10" t="n">
        <x:f>H47/90</x:f>
        <x:v>11.011111111111111</x:v>
      </x:c>
      <x:c r="J47" s="1" t="n">
        <x:f>ROUNDUP(I47*(D47+$B$3),0)</x:f>
        <x:v>232</x:v>
      </x:c>
      <x:c r="K47" s="1" t="n">
        <x:f>E47-F47+G47</x:f>
        <x:v>350</x:v>
      </x:c>
      <x:c r="L47" s="9" t="n">
        <x:f>E47*C47</x:f>
        <x:v>21161.239999999998</x:v>
      </x:c>
      <x:c r="M47" s="1" t="n">
        <x:f>ROUNDUP(I47*(D47+$B$3+$D$3),0)</x:f>
        <x:v>386</x:v>
      </x:c>
      <x:c r="N47" s="1" t="n">
        <x:f>IF(K47&lt;=J47,MAX(0,M47-K47),0)</x:f>
        <x:v>0</x:v>
      </x:c>
      <x:c r="O47" s="9" t="n">
        <x:f>N47*C47</x:f>
        <x:v>0</x:v>
      </x:c>
      <x:c r="P47" s="9" t="n">
        <x:f>H47*C47</x:f>
        <x:v>71817.77</x:v>
      </x:c>
      <x:c r="Q47" s="9" t="n">
        <x:f>VLOOKUP(A47,'Item inputs'!$A$5:$J$84,9,FALSE)*C47</x:f>
        <x:v>29785.17</x:v>
      </x:c>
      <x:c r="R47" s="1" t="str">
        <x:f>IF(N47&gt;0,"Review order","Monitor")</x:f>
        <x:v>Monitor</x:v>
      </x:c>
    </x:row>
    <x:row r="48" ht="23" customHeight="1">
      <x:c r="A48" s="1" t="str">
        <x:f>'Item inputs'!A47</x:f>
        <x:v>K0043</x:v>
      </x:c>
      <x:c r="B48" s="1" t="str">
        <x:f>VLOOKUP(A48,'Item inputs'!$A$5:$J$84,2,FALSE)</x:f>
        <x:v>Hoods</x:v>
      </x:c>
      <x:c r="C48" s="9" t="n">
        <x:f>VLOOKUP(A48,'Item inputs'!$A$5:$J$84,3,FALSE)</x:f>
        <x:v>122.96</x:v>
      </x:c>
      <x:c r="D48" s="1" t="n">
        <x:f>VLOOKUP(A48,'Item inputs'!$A$5:$J$84,4,FALSE)</x:f>
        <x:v>7</x:v>
      </x:c>
      <x:c r="E48" s="1" t="n">
        <x:f>VLOOKUP(A48,'Item inputs'!$A$5:$J$84,5,FALSE)</x:f>
        <x:v>151</x:v>
      </x:c>
      <x:c r="F48" s="1" t="n">
        <x:f>VLOOKUP(A48,'Item inputs'!$A$5:$J$84,6,FALSE)</x:f>
        <x:v>6</x:v>
      </x:c>
      <x:c r="G48" s="1" t="n">
        <x:f>VLOOKUP(A48,'Item inputs'!$A$5:$J$84,7,FALSE)</x:f>
        <x:v>7</x:v>
      </x:c>
      <x:c r="H48" s="1" t="n">
        <x:f>VLOOKUP(A48,'Item inputs'!$A$5:$J$84,8,FALSE)</x:f>
        <x:v>448</x:v>
      </x:c>
      <x:c r="I48" s="10" t="n">
        <x:f>H48/90</x:f>
        <x:v>4.977777777777778</x:v>
      </x:c>
      <x:c r="J48" s="1" t="n">
        <x:f>ROUNDUP(I48*(D48+$B$3),0)</x:f>
        <x:v>70</x:v>
      </x:c>
      <x:c r="K48" s="1" t="n">
        <x:f>E48-F48+G48</x:f>
        <x:v>152</x:v>
      </x:c>
      <x:c r="L48" s="9" t="n">
        <x:f>E48*C48</x:f>
        <x:v>18566.96</x:v>
      </x:c>
      <x:c r="M48" s="1" t="n">
        <x:f>ROUNDUP(I48*(D48+$B$3+$D$3),0)</x:f>
        <x:v>140</x:v>
      </x:c>
      <x:c r="N48" s="1" t="n">
        <x:f>IF(K48&lt;=J48,MAX(0,M48-K48),0)</x:f>
        <x:v>0</x:v>
      </x:c>
      <x:c r="O48" s="9" t="n">
        <x:f>N48*C48</x:f>
        <x:v>0</x:v>
      </x:c>
      <x:c r="P48" s="9" t="n">
        <x:f>H48*C48</x:f>
        <x:v>55086.079999999994</x:v>
      </x:c>
      <x:c r="Q48" s="9" t="n">
        <x:f>VLOOKUP(A48,'Item inputs'!$A$5:$J$84,9,FALSE)*C48</x:f>
        <x:v>21026.16</x:v>
      </x:c>
      <x:c r="R48" s="1" t="str">
        <x:f>IF(N48&gt;0,"Review order","Monitor")</x:f>
        <x:v>Monitor</x:v>
      </x:c>
    </x:row>
    <x:row r="49" ht="23" customHeight="1">
      <x:c r="A49" s="1" t="str">
        <x:f>'Item inputs'!A48</x:f>
        <x:v>K0044</x:v>
      </x:c>
      <x:c r="B49" s="1" t="str">
        <x:f>VLOOKUP(A49,'Item inputs'!$A$5:$J$84,2,FALSE)</x:f>
        <x:v>Accessories</x:v>
      </x:c>
      <x:c r="C49" s="9" t="n">
        <x:f>VLOOKUP(A49,'Item inputs'!$A$5:$J$84,3,FALSE)</x:f>
        <x:v>135.62</x:v>
      </x:c>
      <x:c r="D49" s="1" t="n">
        <x:f>VLOOKUP(A49,'Item inputs'!$A$5:$J$84,4,FALSE)</x:f>
        <x:v>12</x:v>
      </x:c>
      <x:c r="E49" s="1" t="n">
        <x:f>VLOOKUP(A49,'Item inputs'!$A$5:$J$84,5,FALSE)</x:f>
        <x:v>58</x:v>
      </x:c>
      <x:c r="F49" s="1" t="n">
        <x:f>VLOOKUP(A49,'Item inputs'!$A$5:$J$84,6,FALSE)</x:f>
        <x:v>1</x:v>
      </x:c>
      <x:c r="G49" s="1" t="n">
        <x:f>VLOOKUP(A49,'Item inputs'!$A$5:$J$84,7,FALSE)</x:f>
        <x:v>74</x:v>
      </x:c>
      <x:c r="H49" s="1" t="n">
        <x:f>VLOOKUP(A49,'Item inputs'!$A$5:$J$84,8,FALSE)</x:f>
        <x:v>702</x:v>
      </x:c>
      <x:c r="I49" s="10" t="n">
        <x:f>H49/90</x:f>
        <x:v>7.8</x:v>
      </x:c>
      <x:c r="J49" s="1" t="n">
        <x:f>ROUNDUP(I49*(D49+$B$3),0)</x:f>
        <x:v>149</x:v>
      </x:c>
      <x:c r="K49" s="1" t="n">
        <x:f>E49-F49+G49</x:f>
        <x:v>131</x:v>
      </x:c>
      <x:c r="L49" s="9" t="n">
        <x:f>E49*C49</x:f>
        <x:v>7865.96</x:v>
      </x:c>
      <x:c r="M49" s="1" t="n">
        <x:f>ROUNDUP(I49*(D49+$B$3+$D$3),0)</x:f>
        <x:v>258</x:v>
      </x:c>
      <x:c r="N49" s="1" t="n">
        <x:f>IF(K49&lt;=J49,MAX(0,M49-K49),0)</x:f>
        <x:v>127</x:v>
      </x:c>
      <x:c r="O49" s="9" t="n">
        <x:f>N49*C49</x:f>
        <x:v>17223.74</x:v>
      </x:c>
      <x:c r="P49" s="9" t="n">
        <x:f>H49*C49</x:f>
        <x:v>95205.24</x:v>
      </x:c>
      <x:c r="Q49" s="9" t="n">
        <x:f>VLOOKUP(A49,'Item inputs'!$A$5:$J$84,9,FALSE)*C49</x:f>
        <x:v>32440.304</x:v>
      </x:c>
      <x:c r="R49" s="1" t="str">
        <x:f>IF(N49&gt;0,"Review order","Monitor")</x:f>
        <x:v>Review order</x:v>
      </x:c>
    </x:row>
    <x:row r="50" ht="23" customHeight="1">
      <x:c r="A50" s="1" t="str">
        <x:f>'Item inputs'!A49</x:f>
        <x:v>K0045</x:v>
      </x:c>
      <x:c r="B50" s="1" t="str">
        <x:f>VLOOKUP(A50,'Item inputs'!$A$5:$J$84,2,FALSE)</x:f>
        <x:v>Sinks</x:v>
      </x:c>
      <x:c r="C50" s="9" t="n">
        <x:f>VLOOKUP(A50,'Item inputs'!$A$5:$J$84,3,FALSE)</x:f>
        <x:v>221.62</x:v>
      </x:c>
      <x:c r="D50" s="1" t="n">
        <x:f>VLOOKUP(A50,'Item inputs'!$A$5:$J$84,4,FALSE)</x:f>
        <x:v>16</x:v>
      </x:c>
      <x:c r="E50" s="1" t="n">
        <x:f>VLOOKUP(A50,'Item inputs'!$A$5:$J$84,5,FALSE)</x:f>
        <x:v>161</x:v>
      </x:c>
      <x:c r="F50" s="1" t="n">
        <x:f>VLOOKUP(A50,'Item inputs'!$A$5:$J$84,6,FALSE)</x:f>
        <x:v>1</x:v>
      </x:c>
      <x:c r="G50" s="1" t="n">
        <x:f>VLOOKUP(A50,'Item inputs'!$A$5:$J$84,7,FALSE)</x:f>
        <x:v>65</x:v>
      </x:c>
      <x:c r="H50" s="1" t="n">
        <x:f>VLOOKUP(A50,'Item inputs'!$A$5:$J$84,8,FALSE)</x:f>
        <x:v>1147</x:v>
      </x:c>
      <x:c r="I50" s="10" t="n">
        <x:f>H50/90</x:f>
        <x:v>12.744444444444444</x:v>
      </x:c>
      <x:c r="J50" s="1" t="n">
        <x:f>ROUNDUP(I50*(D50+$B$3),0)</x:f>
        <x:v>294</x:v>
      </x:c>
      <x:c r="K50" s="1" t="n">
        <x:f>E50-F50+G50</x:f>
        <x:v>225</x:v>
      </x:c>
      <x:c r="L50" s="9" t="n">
        <x:f>E50*C50</x:f>
        <x:v>35680.82</x:v>
      </x:c>
      <x:c r="M50" s="1" t="n">
        <x:f>ROUNDUP(I50*(D50+$B$3+$D$3),0)</x:f>
        <x:v>472</x:v>
      </x:c>
      <x:c r="N50" s="1" t="n">
        <x:f>IF(K50&lt;=J50,MAX(0,M50-K50),0)</x:f>
        <x:v>247</x:v>
      </x:c>
      <x:c r="O50" s="9" t="n">
        <x:f>N50*C50</x:f>
        <x:v>54740.14</x:v>
      </x:c>
      <x:c r="P50" s="9" t="n">
        <x:f>H50*C50</x:f>
        <x:v>254198.14</x:v>
      </x:c>
      <x:c r="Q50" s="9" t="n">
        <x:f>VLOOKUP(A50,'Item inputs'!$A$5:$J$84,9,FALSE)*C50</x:f>
        <x:v>46274.256</x:v>
      </x:c>
      <x:c r="R50" s="1" t="str">
        <x:f>IF(N50&gt;0,"Review order","Monitor")</x:f>
        <x:v>Review order</x:v>
      </x:c>
    </x:row>
    <x:row r="51" ht="23" customHeight="1">
      <x:c r="A51" s="1" t="str">
        <x:f>'Item inputs'!A50</x:f>
        <x:v>K0046</x:v>
      </x:c>
      <x:c r="B51" s="1" t="str">
        <x:f>VLOOKUP(A51,'Item inputs'!$A$5:$J$84,2,FALSE)</x:f>
        <x:v>Taps</x:v>
      </x:c>
      <x:c r="C51" s="9" t="n">
        <x:f>VLOOKUP(A51,'Item inputs'!$A$5:$J$84,3,FALSE)</x:f>
        <x:v>54.37</x:v>
      </x:c>
      <x:c r="D51" s="1" t="n">
        <x:f>VLOOKUP(A51,'Item inputs'!$A$5:$J$84,4,FALSE)</x:f>
        <x:v>18</x:v>
      </x:c>
      <x:c r="E51" s="1" t="n">
        <x:f>VLOOKUP(A51,'Item inputs'!$A$5:$J$84,5,FALSE)</x:f>
        <x:v>60</x:v>
      </x:c>
      <x:c r="F51" s="1" t="n">
        <x:f>VLOOKUP(A51,'Item inputs'!$A$5:$J$84,6,FALSE)</x:f>
        <x:v>12</x:v>
      </x:c>
      <x:c r="G51" s="1" t="n">
        <x:f>VLOOKUP(A51,'Item inputs'!$A$5:$J$84,7,FALSE)</x:f>
        <x:v>15</x:v>
      </x:c>
      <x:c r="H51" s="1" t="n">
        <x:f>VLOOKUP(A51,'Item inputs'!$A$5:$J$84,8,FALSE)</x:f>
        <x:v>199</x:v>
      </x:c>
      <x:c r="I51" s="10" t="n">
        <x:f>H51/90</x:f>
        <x:v>2.2111111111111112</x:v>
      </x:c>
      <x:c r="J51" s="1" t="n">
        <x:f>ROUNDUP(I51*(D51+$B$3),0)</x:f>
        <x:v>56</x:v>
      </x:c>
      <x:c r="K51" s="1" t="n">
        <x:f>E51-F51+G51</x:f>
        <x:v>63</x:v>
      </x:c>
      <x:c r="L51" s="9" t="n">
        <x:f>E51*C51</x:f>
        <x:v>3262.2</x:v>
      </x:c>
      <x:c r="M51" s="1" t="n">
        <x:f>ROUNDUP(I51*(D51+$B$3+$D$3),0)</x:f>
        <x:v>87</x:v>
      </x:c>
      <x:c r="N51" s="1" t="n">
        <x:f>IF(K51&lt;=J51,MAX(0,M51-K51),0)</x:f>
        <x:v>0</x:v>
      </x:c>
      <x:c r="O51" s="9" t="n">
        <x:f>N51*C51</x:f>
        <x:v>0</x:v>
      </x:c>
      <x:c r="P51" s="9" t="n">
        <x:f>H51*C51</x:f>
        <x:v>10819.63</x:v>
      </x:c>
      <x:c r="Q51" s="9" t="n">
        <x:f>VLOOKUP(A51,'Item inputs'!$A$5:$J$84,9,FALSE)*C51</x:f>
        <x:v>5697.976</x:v>
      </x:c>
      <x:c r="R51" s="1" t="str">
        <x:f>IF(N51&gt;0,"Review order","Monitor")</x:f>
        <x:v>Monitor</x:v>
      </x:c>
    </x:row>
    <x:row r="52" ht="23" customHeight="1">
      <x:c r="A52" s="1" t="str">
        <x:f>'Item inputs'!A51</x:f>
        <x:v>K0047</x:v>
      </x:c>
      <x:c r="B52" s="1" t="str">
        <x:f>VLOOKUP(A52,'Item inputs'!$A$5:$J$84,2,FALSE)</x:f>
        <x:v>Hoods</x:v>
      </x:c>
      <x:c r="C52" s="9" t="n">
        <x:f>VLOOKUP(A52,'Item inputs'!$A$5:$J$84,3,FALSE)</x:f>
        <x:v>141.89</x:v>
      </x:c>
      <x:c r="D52" s="1" t="n">
        <x:f>VLOOKUP(A52,'Item inputs'!$A$5:$J$84,4,FALSE)</x:f>
        <x:v>25</x:v>
      </x:c>
      <x:c r="E52" s="1" t="n">
        <x:f>VLOOKUP(A52,'Item inputs'!$A$5:$J$84,5,FALSE)</x:f>
        <x:v>79</x:v>
      </x:c>
      <x:c r="F52" s="1" t="n">
        <x:f>VLOOKUP(A52,'Item inputs'!$A$5:$J$84,6,FALSE)</x:f>
        <x:v>2</x:v>
      </x:c>
      <x:c r="G52" s="1" t="n">
        <x:f>VLOOKUP(A52,'Item inputs'!$A$5:$J$84,7,FALSE)</x:f>
        <x:v>53</x:v>
      </x:c>
      <x:c r="H52" s="1" t="n">
        <x:f>VLOOKUP(A52,'Item inputs'!$A$5:$J$84,8,FALSE)</x:f>
        <x:v>141</x:v>
      </x:c>
      <x:c r="I52" s="10" t="n">
        <x:f>H52/90</x:f>
        <x:v>1.5666666666666667</x:v>
      </x:c>
      <x:c r="J52" s="1" t="n">
        <x:f>ROUNDUP(I52*(D52+$B$3),0)</x:f>
        <x:v>51</x:v>
      </x:c>
      <x:c r="K52" s="1" t="n">
        <x:f>E52-F52+G52</x:f>
        <x:v>130</x:v>
      </x:c>
      <x:c r="L52" s="9" t="n">
        <x:f>E52*C52</x:f>
        <x:v>11209.31</x:v>
      </x:c>
      <x:c r="M52" s="1" t="n">
        <x:f>ROUNDUP(I52*(D52+$B$3+$D$3),0)</x:f>
        <x:v>73</x:v>
      </x:c>
      <x:c r="N52" s="1" t="n">
        <x:f>IF(K52&lt;=J52,MAX(0,M52-K52),0)</x:f>
        <x:v>0</x:v>
      </x:c>
      <x:c r="O52" s="9" t="n">
        <x:f>N52*C52</x:f>
        <x:v>0</x:v>
      </x:c>
      <x:c r="P52" s="9" t="n">
        <x:f>H52*C52</x:f>
        <x:v>20006.489999999998</x:v>
      </x:c>
      <x:c r="Q52" s="9" t="n">
        <x:f>VLOOKUP(A52,'Item inputs'!$A$5:$J$84,9,FALSE)*C52</x:f>
        <x:v>8257.998</x:v>
      </x:c>
      <x:c r="R52" s="1" t="str">
        <x:f>IF(N52&gt;0,"Review order","Monitor")</x:f>
        <x:v>Monitor</x:v>
      </x:c>
    </x:row>
    <x:row r="53" ht="23" customHeight="1">
      <x:c r="A53" s="1" t="str">
        <x:f>'Item inputs'!A52</x:f>
        <x:v>K0048</x:v>
      </x:c>
      <x:c r="B53" s="1" t="str">
        <x:f>VLOOKUP(A53,'Item inputs'!$A$5:$J$84,2,FALSE)</x:f>
        <x:v>Accessories</x:v>
      </x:c>
      <x:c r="C53" s="9" t="n">
        <x:f>VLOOKUP(A53,'Item inputs'!$A$5:$J$84,3,FALSE)</x:f>
        <x:v>140.87</x:v>
      </x:c>
      <x:c r="D53" s="1" t="n">
        <x:f>VLOOKUP(A53,'Item inputs'!$A$5:$J$84,4,FALSE)</x:f>
        <x:v>14</x:v>
      </x:c>
      <x:c r="E53" s="1" t="n">
        <x:f>VLOOKUP(A53,'Item inputs'!$A$5:$J$84,5,FALSE)</x:f>
        <x:v>267</x:v>
      </x:c>
      <x:c r="F53" s="1" t="n">
        <x:f>VLOOKUP(A53,'Item inputs'!$A$5:$J$84,6,FALSE)</x:f>
        <x:v>6</x:v>
      </x:c>
      <x:c r="G53" s="1" t="n">
        <x:f>VLOOKUP(A53,'Item inputs'!$A$5:$J$84,7,FALSE)</x:f>
        <x:v>40</x:v>
      </x:c>
      <x:c r="H53" s="1" t="n">
        <x:f>VLOOKUP(A53,'Item inputs'!$A$5:$J$84,8,FALSE)</x:f>
        <x:v>707</x:v>
      </x:c>
      <x:c r="I53" s="10" t="n">
        <x:f>H53/90</x:f>
        <x:v>7.855555555555555</x:v>
      </x:c>
      <x:c r="J53" s="1" t="n">
        <x:f>ROUNDUP(I53*(D53+$B$3),0)</x:f>
        <x:v>165</x:v>
      </x:c>
      <x:c r="K53" s="1" t="n">
        <x:f>E53-F53+G53</x:f>
        <x:v>301</x:v>
      </x:c>
      <x:c r="L53" s="9" t="n">
        <x:f>E53*C53</x:f>
        <x:v>37612.29</x:v>
      </x:c>
      <x:c r="M53" s="1" t="n">
        <x:f>ROUNDUP(I53*(D53+$B$3+$D$3),0)</x:f>
        <x:v>275</x:v>
      </x:c>
      <x:c r="N53" s="1" t="n">
        <x:f>IF(K53&lt;=J53,MAX(0,M53-K53),0)</x:f>
        <x:v>0</x:v>
      </x:c>
      <x:c r="O53" s="9" t="n">
        <x:f>N53*C53</x:f>
        <x:v>0</x:v>
      </x:c>
      <x:c r="P53" s="9" t="n">
        <x:f>H53*C53</x:f>
        <x:v>99595.09</x:v>
      </x:c>
      <x:c r="Q53" s="9" t="n">
        <x:f>VLOOKUP(A53,'Item inputs'!$A$5:$J$84,9,FALSE)*C53</x:f>
        <x:v>24455.032</x:v>
      </x:c>
      <x:c r="R53" s="1" t="str">
        <x:f>IF(N53&gt;0,"Review order","Monitor")</x:f>
        <x:v>Monitor</x:v>
      </x:c>
    </x:row>
    <x:row r="54" ht="23" customHeight="1">
      <x:c r="A54" s="1" t="str">
        <x:f>'Item inputs'!A53</x:f>
        <x:v>K0049</x:v>
      </x:c>
      <x:c r="B54" s="1" t="str">
        <x:f>VLOOKUP(A54,'Item inputs'!$A$5:$J$84,2,FALSE)</x:f>
        <x:v>Sinks</x:v>
      </x:c>
      <x:c r="C54" s="9" t="n">
        <x:f>VLOOKUP(A54,'Item inputs'!$A$5:$J$84,3,FALSE)</x:f>
        <x:v>102.24</x:v>
      </x:c>
      <x:c r="D54" s="1" t="n">
        <x:f>VLOOKUP(A54,'Item inputs'!$A$5:$J$84,4,FALSE)</x:f>
        <x:v>7</x:v>
      </x:c>
      <x:c r="E54" s="1" t="n">
        <x:f>VLOOKUP(A54,'Item inputs'!$A$5:$J$84,5,FALSE)</x:f>
        <x:v>468</x:v>
      </x:c>
      <x:c r="F54" s="1" t="n">
        <x:f>VLOOKUP(A54,'Item inputs'!$A$5:$J$84,6,FALSE)</x:f>
        <x:v>10</x:v>
      </x:c>
      <x:c r="G54" s="1" t="n">
        <x:f>VLOOKUP(A54,'Item inputs'!$A$5:$J$84,7,FALSE)</x:f>
        <x:v>9</x:v>
      </x:c>
      <x:c r="H54" s="1" t="n">
        <x:f>VLOOKUP(A54,'Item inputs'!$A$5:$J$84,8,FALSE)</x:f>
        <x:v>674</x:v>
      </x:c>
      <x:c r="I54" s="10" t="n">
        <x:f>H54/90</x:f>
        <x:v>7.488888888888889</x:v>
      </x:c>
      <x:c r="J54" s="1" t="n">
        <x:f>ROUNDUP(I54*(D54+$B$3),0)</x:f>
        <x:v>105</x:v>
      </x:c>
      <x:c r="K54" s="1" t="n">
        <x:f>E54-F54+G54</x:f>
        <x:v>467</x:v>
      </x:c>
      <x:c r="L54" s="9" t="n">
        <x:f>E54*C54</x:f>
        <x:v>47848.32</x:v>
      </x:c>
      <x:c r="M54" s="1" t="n">
        <x:f>ROUNDUP(I54*(D54+$B$3+$D$3),0)</x:f>
        <x:v>210</x:v>
      </x:c>
      <x:c r="N54" s="1" t="n">
        <x:f>IF(K54&lt;=J54,MAX(0,M54-K54),0)</x:f>
        <x:v>0</x:v>
      </x:c>
      <x:c r="O54" s="9" t="n">
        <x:f>N54*C54</x:f>
        <x:v>0</x:v>
      </x:c>
      <x:c r="P54" s="9" t="n">
        <x:f>H54*C54</x:f>
        <x:v>68909.76</x:v>
      </x:c>
      <x:c r="Q54" s="9" t="n">
        <x:f>VLOOKUP(A54,'Item inputs'!$A$5:$J$84,9,FALSE)*C54</x:f>
        <x:v>10592.063999999998</x:v>
      </x:c>
      <x:c r="R54" s="1" t="str">
        <x:f>IF(N54&gt;0,"Review order","Monitor")</x:f>
        <x:v>Monitor</x:v>
      </x:c>
    </x:row>
    <x:row r="55" ht="23" customHeight="1">
      <x:c r="A55" s="1" t="str">
        <x:f>'Item inputs'!A54</x:f>
        <x:v>K0050</x:v>
      </x:c>
      <x:c r="B55" s="1" t="str">
        <x:f>VLOOKUP(A55,'Item inputs'!$A$5:$J$84,2,FALSE)</x:f>
        <x:v>Taps</x:v>
      </x:c>
      <x:c r="C55" s="9" t="n">
        <x:f>VLOOKUP(A55,'Item inputs'!$A$5:$J$84,3,FALSE)</x:f>
        <x:v>153.62</x:v>
      </x:c>
      <x:c r="D55" s="1" t="n">
        <x:f>VLOOKUP(A55,'Item inputs'!$A$5:$J$84,4,FALSE)</x:f>
        <x:v>12</x:v>
      </x:c>
      <x:c r="E55" s="1" t="n">
        <x:f>VLOOKUP(A55,'Item inputs'!$A$5:$J$84,5,FALSE)</x:f>
        <x:v>18</x:v>
      </x:c>
      <x:c r="F55" s="1" t="n">
        <x:f>VLOOKUP(A55,'Item inputs'!$A$5:$J$84,6,FALSE)</x:f>
        <x:v>17</x:v>
      </x:c>
      <x:c r="G55" s="1" t="n">
        <x:f>VLOOKUP(A55,'Item inputs'!$A$5:$J$84,7,FALSE)</x:f>
        <x:v>27</x:v>
      </x:c>
      <x:c r="H55" s="1" t="n">
        <x:f>VLOOKUP(A55,'Item inputs'!$A$5:$J$84,8,FALSE)</x:f>
        <x:v>264</x:v>
      </x:c>
      <x:c r="I55" s="10" t="n">
        <x:f>H55/90</x:f>
        <x:v>2.933333333333333</x:v>
      </x:c>
      <x:c r="J55" s="1" t="n">
        <x:f>ROUNDUP(I55*(D55+$B$3),0)</x:f>
        <x:v>56</x:v>
      </x:c>
      <x:c r="K55" s="1" t="n">
        <x:f>E55-F55+G55</x:f>
        <x:v>28</x:v>
      </x:c>
      <x:c r="L55" s="9" t="n">
        <x:f>E55*C55</x:f>
        <x:v>2765.16</x:v>
      </x:c>
      <x:c r="M55" s="1" t="n">
        <x:f>ROUNDUP(I55*(D55+$B$3+$D$3),0)</x:f>
        <x:v>97</x:v>
      </x:c>
      <x:c r="N55" s="1" t="n">
        <x:f>IF(K55&lt;=J55,MAX(0,M55-K55),0)</x:f>
        <x:v>69</x:v>
      </x:c>
      <x:c r="O55" s="9" t="n">
        <x:f>N55*C55</x:f>
        <x:v>10599.78</x:v>
      </x:c>
      <x:c r="P55" s="9" t="n">
        <x:f>H55*C55</x:f>
        <x:v>40555.68</x:v>
      </x:c>
      <x:c r="Q55" s="9" t="n">
        <x:f>VLOOKUP(A55,'Item inputs'!$A$5:$J$84,9,FALSE)*C55</x:f>
        <x:v>14286.66</x:v>
      </x:c>
      <x:c r="R55" s="1" t="str">
        <x:f>IF(N55&gt;0,"Review order","Monitor")</x:f>
        <x:v>Review order</x:v>
      </x:c>
    </x:row>
    <x:row r="56" ht="23" customHeight="1">
      <x:c r="A56" s="1" t="str">
        <x:f>'Item inputs'!A55</x:f>
        <x:v>K0051</x:v>
      </x:c>
      <x:c r="B56" s="1" t="str">
        <x:f>VLOOKUP(A56,'Item inputs'!$A$5:$J$84,2,FALSE)</x:f>
        <x:v>Hoods</x:v>
      </x:c>
      <x:c r="C56" s="9" t="n">
        <x:f>VLOOKUP(A56,'Item inputs'!$A$5:$J$84,3,FALSE)</x:f>
        <x:v>42.2</x:v>
      </x:c>
      <x:c r="D56" s="1" t="n">
        <x:f>VLOOKUP(A56,'Item inputs'!$A$5:$J$84,4,FALSE)</x:f>
        <x:v>16</x:v>
      </x:c>
      <x:c r="E56" s="1" t="n">
        <x:f>VLOOKUP(A56,'Item inputs'!$A$5:$J$84,5,FALSE)</x:f>
        <x:v>70</x:v>
      </x:c>
      <x:c r="F56" s="1" t="n">
        <x:f>VLOOKUP(A56,'Item inputs'!$A$5:$J$84,6,FALSE)</x:f>
        <x:v>7</x:v>
      </x:c>
      <x:c r="G56" s="1" t="n">
        <x:f>VLOOKUP(A56,'Item inputs'!$A$5:$J$84,7,FALSE)</x:f>
        <x:v>47</x:v>
      </x:c>
      <x:c r="H56" s="1" t="n">
        <x:f>VLOOKUP(A56,'Item inputs'!$A$5:$J$84,8,FALSE)</x:f>
        <x:v>774</x:v>
      </x:c>
      <x:c r="I56" s="10" t="n">
        <x:f>H56/90</x:f>
        <x:v>8.6</x:v>
      </x:c>
      <x:c r="J56" s="1" t="n">
        <x:f>ROUNDUP(I56*(D56+$B$3),0)</x:f>
        <x:v>198</x:v>
      </x:c>
      <x:c r="K56" s="1" t="n">
        <x:f>E56-F56+G56</x:f>
        <x:v>110</x:v>
      </x:c>
      <x:c r="L56" s="9" t="n">
        <x:f>E56*C56</x:f>
        <x:v>2954</x:v>
      </x:c>
      <x:c r="M56" s="1" t="n">
        <x:f>ROUNDUP(I56*(D56+$B$3+$D$3),0)</x:f>
        <x:v>319</x:v>
      </x:c>
      <x:c r="N56" s="1" t="n">
        <x:f>IF(K56&lt;=J56,MAX(0,M56-K56),0)</x:f>
        <x:v>209</x:v>
      </x:c>
      <x:c r="O56" s="9" t="n">
        <x:f>N56*C56</x:f>
        <x:v>8819.800000000001</x:v>
      </x:c>
      <x:c r="P56" s="9" t="n">
        <x:f>H56*C56</x:f>
        <x:v>32662.800000000003</x:v>
      </x:c>
      <x:c r="Q56" s="9" t="n">
        <x:f>VLOOKUP(A56,'Item inputs'!$A$5:$J$84,9,FALSE)*C56</x:f>
        <x:v>8621.460000000001</x:v>
      </x:c>
      <x:c r="R56" s="1" t="str">
        <x:f>IF(N56&gt;0,"Review order","Monitor")</x:f>
        <x:v>Review order</x:v>
      </x:c>
    </x:row>
    <x:row r="57" ht="23" customHeight="1">
      <x:c r="A57" s="1" t="str">
        <x:f>'Item inputs'!A56</x:f>
        <x:v>K0052</x:v>
      </x:c>
      <x:c r="B57" s="1" t="str">
        <x:f>VLOOKUP(A57,'Item inputs'!$A$5:$J$84,2,FALSE)</x:f>
        <x:v>Accessories</x:v>
      </x:c>
      <x:c r="C57" s="9" t="n">
        <x:f>VLOOKUP(A57,'Item inputs'!$A$5:$J$84,3,FALSE)</x:f>
        <x:v>111.91</x:v>
      </x:c>
      <x:c r="D57" s="1" t="n">
        <x:f>VLOOKUP(A57,'Item inputs'!$A$5:$J$84,4,FALSE)</x:f>
        <x:v>18</x:v>
      </x:c>
      <x:c r="E57" s="1" t="n">
        <x:f>VLOOKUP(A57,'Item inputs'!$A$5:$J$84,5,FALSE)</x:f>
        <x:v>720</x:v>
      </x:c>
      <x:c r="F57" s="1" t="n">
        <x:f>VLOOKUP(A57,'Item inputs'!$A$5:$J$84,6,FALSE)</x:f>
        <x:v>9</x:v>
      </x:c>
      <x:c r="G57" s="1" t="n">
        <x:f>VLOOKUP(A57,'Item inputs'!$A$5:$J$84,7,FALSE)</x:f>
        <x:v>78</x:v>
      </x:c>
      <x:c r="H57" s="1" t="n">
        <x:f>VLOOKUP(A57,'Item inputs'!$A$5:$J$84,8,FALSE)</x:f>
        <x:v>1172</x:v>
      </x:c>
      <x:c r="I57" s="10" t="n">
        <x:f>H57/90</x:f>
        <x:v>13.022222222222222</x:v>
      </x:c>
      <x:c r="J57" s="1" t="n">
        <x:f>ROUNDUP(I57*(D57+$B$3),0)</x:f>
        <x:v>326</x:v>
      </x:c>
      <x:c r="K57" s="1" t="n">
        <x:f>E57-F57+G57</x:f>
        <x:v>789</x:v>
      </x:c>
      <x:c r="L57" s="9" t="n">
        <x:f>E57*C57</x:f>
        <x:v>80575.2</x:v>
      </x:c>
      <x:c r="M57" s="1" t="n">
        <x:f>ROUNDUP(I57*(D57+$B$3+$D$3),0)</x:f>
        <x:v>508</x:v>
      </x:c>
      <x:c r="N57" s="1" t="n">
        <x:f>IF(K57&lt;=J57,MAX(0,M57-K57),0)</x:f>
        <x:v>0</x:v>
      </x:c>
      <x:c r="O57" s="9" t="n">
        <x:f>N57*C57</x:f>
        <x:v>0</x:v>
      </x:c>
      <x:c r="P57" s="9" t="n">
        <x:f>H57*C57</x:f>
        <x:v>131158.52</x:v>
      </x:c>
      <x:c r="Q57" s="9" t="n">
        <x:f>VLOOKUP(A57,'Item inputs'!$A$5:$J$84,9,FALSE)*C57</x:f>
        <x:v>71286.67</x:v>
      </x:c>
      <x:c r="R57" s="1" t="str">
        <x:f>IF(N57&gt;0,"Review order","Monitor")</x:f>
        <x:v>Monitor</x:v>
      </x:c>
    </x:row>
    <x:row r="58" ht="23" customHeight="1">
      <x:c r="A58" s="1" t="str">
        <x:f>'Item inputs'!A57</x:f>
        <x:v>K0053</x:v>
      </x:c>
      <x:c r="B58" s="1" t="str">
        <x:f>VLOOKUP(A58,'Item inputs'!$A$5:$J$84,2,FALSE)</x:f>
        <x:v>Sinks</x:v>
      </x:c>
      <x:c r="C58" s="9" t="n">
        <x:f>VLOOKUP(A58,'Item inputs'!$A$5:$J$84,3,FALSE)</x:f>
        <x:v>196.02</x:v>
      </x:c>
      <x:c r="D58" s="1" t="n">
        <x:f>VLOOKUP(A58,'Item inputs'!$A$5:$J$84,4,FALSE)</x:f>
        <x:v>25</x:v>
      </x:c>
      <x:c r="E58" s="1" t="n">
        <x:f>VLOOKUP(A58,'Item inputs'!$A$5:$J$84,5,FALSE)</x:f>
        <x:v>8</x:v>
      </x:c>
      <x:c r="F58" s="1" t="n">
        <x:f>VLOOKUP(A58,'Item inputs'!$A$5:$J$84,6,FALSE)</x:f>
        <x:v>17</x:v>
      </x:c>
      <x:c r="G58" s="1" t="n">
        <x:f>VLOOKUP(A58,'Item inputs'!$A$5:$J$84,7,FALSE)</x:f>
        <x:v>38</x:v>
      </x:c>
      <x:c r="H58" s="1" t="n">
        <x:f>VLOOKUP(A58,'Item inputs'!$A$5:$J$84,8,FALSE)</x:f>
        <x:v>1143</x:v>
      </x:c>
      <x:c r="I58" s="10" t="n">
        <x:f>H58/90</x:f>
        <x:v>12.7</x:v>
      </x:c>
      <x:c r="J58" s="1" t="n">
        <x:f>ROUNDUP(I58*(D58+$B$3),0)</x:f>
        <x:v>407</x:v>
      </x:c>
      <x:c r="K58" s="1" t="n">
        <x:f>E58-F58+G58</x:f>
        <x:v>29</x:v>
      </x:c>
      <x:c r="L58" s="9" t="n">
        <x:f>E58*C58</x:f>
        <x:v>1568.16</x:v>
      </x:c>
      <x:c r="M58" s="1" t="n">
        <x:f>ROUNDUP(I58*(D58+$B$3+$D$3),0)</x:f>
        <x:v>585</x:v>
      </x:c>
      <x:c r="N58" s="1" t="n">
        <x:f>IF(K58&lt;=J58,MAX(0,M58-K58),0)</x:f>
        <x:v>556</x:v>
      </x:c>
      <x:c r="O58" s="9" t="n">
        <x:f>N58*C58</x:f>
        <x:v>108987.12000000001</x:v>
      </x:c>
      <x:c r="P58" s="9" t="n">
        <x:f>H58*C58</x:f>
        <x:v>224050.86000000002</x:v>
      </x:c>
      <x:c r="Q58" s="9" t="n">
        <x:f>VLOOKUP(A58,'Item inputs'!$A$5:$J$84,9,FALSE)*C58</x:f>
        <x:v>117102.348</x:v>
      </x:c>
      <x:c r="R58" s="1" t="str">
        <x:f>IF(N58&gt;0,"Review order","Monitor")</x:f>
        <x:v>Review order</x:v>
      </x:c>
    </x:row>
    <x:row r="59" ht="23" customHeight="1">
      <x:c r="A59" s="1" t="str">
        <x:f>'Item inputs'!A58</x:f>
        <x:v>K0054</x:v>
      </x:c>
      <x:c r="B59" s="1" t="str">
        <x:f>VLOOKUP(A59,'Item inputs'!$A$5:$J$84,2,FALSE)</x:f>
        <x:v>Taps</x:v>
      </x:c>
      <x:c r="C59" s="9" t="n">
        <x:f>VLOOKUP(A59,'Item inputs'!$A$5:$J$84,3,FALSE)</x:f>
        <x:v>35.62</x:v>
      </x:c>
      <x:c r="D59" s="1" t="n">
        <x:f>VLOOKUP(A59,'Item inputs'!$A$5:$J$84,4,FALSE)</x:f>
        <x:v>14</x:v>
      </x:c>
      <x:c r="E59" s="1" t="n">
        <x:f>VLOOKUP(A59,'Item inputs'!$A$5:$J$84,5,FALSE)</x:f>
        <x:v>135</x:v>
      </x:c>
      <x:c r="F59" s="1" t="n">
        <x:f>VLOOKUP(A59,'Item inputs'!$A$5:$J$84,6,FALSE)</x:f>
        <x:v>3</x:v>
      </x:c>
      <x:c r="G59" s="1" t="n">
        <x:f>VLOOKUP(A59,'Item inputs'!$A$5:$J$84,7,FALSE)</x:f>
        <x:v>13</x:v>
      </x:c>
      <x:c r="H59" s="1" t="n">
        <x:f>VLOOKUP(A59,'Item inputs'!$A$5:$J$84,8,FALSE)</x:f>
        <x:v>335</x:v>
      </x:c>
      <x:c r="I59" s="10" t="n">
        <x:f>H59/90</x:f>
        <x:v>3.7222222222222223</x:v>
      </x:c>
      <x:c r="J59" s="1" t="n">
        <x:f>ROUNDUP(I59*(D59+$B$3),0)</x:f>
        <x:v>79</x:v>
      </x:c>
      <x:c r="K59" s="1" t="n">
        <x:f>E59-F59+G59</x:f>
        <x:v>145</x:v>
      </x:c>
      <x:c r="L59" s="9" t="n">
        <x:f>E59*C59</x:f>
        <x:v>4808.7</x:v>
      </x:c>
      <x:c r="M59" s="1" t="n">
        <x:f>ROUNDUP(I59*(D59+$B$3+$D$3),0)</x:f>
        <x:v>131</x:v>
      </x:c>
      <x:c r="N59" s="1" t="n">
        <x:f>IF(K59&lt;=J59,MAX(0,M59-K59),0)</x:f>
        <x:v>0</x:v>
      </x:c>
      <x:c r="O59" s="9" t="n">
        <x:f>N59*C59</x:f>
        <x:v>0</x:v>
      </x:c>
      <x:c r="P59" s="9" t="n">
        <x:f>H59*C59</x:f>
        <x:v>11932.699999999999</x:v>
      </x:c>
      <x:c r="Q59" s="9" t="n">
        <x:f>VLOOKUP(A59,'Item inputs'!$A$5:$J$84,9,FALSE)*C59</x:f>
        <x:v>5332.313999999999</x:v>
      </x:c>
      <x:c r="R59" s="1" t="str">
        <x:f>IF(N59&gt;0,"Review order","Monitor")</x:f>
        <x:v>Monitor</x:v>
      </x:c>
    </x:row>
    <x:row r="60" ht="23" customHeight="1">
      <x:c r="A60" s="1" t="str">
        <x:f>'Item inputs'!A59</x:f>
        <x:v>K0055</x:v>
      </x:c>
      <x:c r="B60" s="1" t="str">
        <x:f>VLOOKUP(A60,'Item inputs'!$A$5:$J$84,2,FALSE)</x:f>
        <x:v>Hoods</x:v>
      </x:c>
      <x:c r="C60" s="9" t="n">
        <x:f>VLOOKUP(A60,'Item inputs'!$A$5:$J$84,3,FALSE)</x:f>
        <x:v>47.44</x:v>
      </x:c>
      <x:c r="D60" s="1" t="n">
        <x:f>VLOOKUP(A60,'Item inputs'!$A$5:$J$84,4,FALSE)</x:f>
        <x:v>7</x:v>
      </x:c>
      <x:c r="E60" s="1" t="n">
        <x:f>VLOOKUP(A60,'Item inputs'!$A$5:$J$84,5,FALSE)</x:f>
        <x:v>309</x:v>
      </x:c>
      <x:c r="F60" s="1" t="n">
        <x:f>VLOOKUP(A60,'Item inputs'!$A$5:$J$84,6,FALSE)</x:f>
        <x:v>6</x:v>
      </x:c>
      <x:c r="G60" s="1" t="n">
        <x:f>VLOOKUP(A60,'Item inputs'!$A$5:$J$84,7,FALSE)</x:f>
        <x:v>43</x:v>
      </x:c>
      <x:c r="H60" s="1" t="n">
        <x:f>VLOOKUP(A60,'Item inputs'!$A$5:$J$84,8,FALSE)</x:f>
        <x:v>637</x:v>
      </x:c>
      <x:c r="I60" s="10" t="n">
        <x:f>H60/90</x:f>
        <x:v>7.0777777777777775</x:v>
      </x:c>
      <x:c r="J60" s="1" t="n">
        <x:f>ROUNDUP(I60*(D60+$B$3),0)</x:f>
        <x:v>100</x:v>
      </x:c>
      <x:c r="K60" s="1" t="n">
        <x:f>E60-F60+G60</x:f>
        <x:v>346</x:v>
      </x:c>
      <x:c r="L60" s="9" t="n">
        <x:f>E60*C60</x:f>
        <x:v>14658.96</x:v>
      </x:c>
      <x:c r="M60" s="1" t="n">
        <x:f>ROUNDUP(I60*(D60+$B$3+$D$3),0)</x:f>
        <x:v>199</x:v>
      </x:c>
      <x:c r="N60" s="1" t="n">
        <x:f>IF(K60&lt;=J60,MAX(0,M60-K60),0)</x:f>
        <x:v>0</x:v>
      </x:c>
      <x:c r="O60" s="9" t="n">
        <x:f>N60*C60</x:f>
        <x:v>0</x:v>
      </x:c>
      <x:c r="P60" s="9" t="n">
        <x:f>H60*C60</x:f>
        <x:v>30219.28</x:v>
      </x:c>
      <x:c r="Q60" s="9" t="n">
        <x:f>VLOOKUP(A60,'Item inputs'!$A$5:$J$84,9,FALSE)*C60</x:f>
        <x:v>6992.656</x:v>
      </x:c>
      <x:c r="R60" s="1" t="str">
        <x:f>IF(N60&gt;0,"Review order","Monitor")</x:f>
        <x:v>Monitor</x:v>
      </x:c>
    </x:row>
    <x:row r="61" ht="23" customHeight="1">
      <x:c r="A61" s="1" t="str">
        <x:f>'Item inputs'!A60</x:f>
        <x:v>K0056</x:v>
      </x:c>
      <x:c r="B61" s="1" t="str">
        <x:f>VLOOKUP(A61,'Item inputs'!$A$5:$J$84,2,FALSE)</x:f>
        <x:v>Accessories</x:v>
      </x:c>
      <x:c r="C61" s="9" t="n">
        <x:f>VLOOKUP(A61,'Item inputs'!$A$5:$J$84,3,FALSE)</x:f>
        <x:v>156.61</x:v>
      </x:c>
      <x:c r="D61" s="1" t="n">
        <x:f>VLOOKUP(A61,'Item inputs'!$A$5:$J$84,4,FALSE)</x:f>
        <x:v>12</x:v>
      </x:c>
      <x:c r="E61" s="1" t="n">
        <x:f>VLOOKUP(A61,'Item inputs'!$A$5:$J$84,5,FALSE)</x:f>
        <x:v>258</x:v>
      </x:c>
      <x:c r="F61" s="1" t="n">
        <x:f>VLOOKUP(A61,'Item inputs'!$A$5:$J$84,6,FALSE)</x:f>
        <x:v>15</x:v>
      </x:c>
      <x:c r="G61" s="1" t="n">
        <x:f>VLOOKUP(A61,'Item inputs'!$A$5:$J$84,7,FALSE)</x:f>
        <x:v>32</x:v>
      </x:c>
      <x:c r="H61" s="1" t="n">
        <x:f>VLOOKUP(A61,'Item inputs'!$A$5:$J$84,8,FALSE)</x:f>
        <x:v>600</x:v>
      </x:c>
      <x:c r="I61" s="10" t="n">
        <x:f>H61/90</x:f>
        <x:v>6.666666666666667</x:v>
      </x:c>
      <x:c r="J61" s="1" t="n">
        <x:f>ROUNDUP(I61*(D61+$B$3),0)</x:f>
        <x:v>127</x:v>
      </x:c>
      <x:c r="K61" s="1" t="n">
        <x:f>E61-F61+G61</x:f>
        <x:v>275</x:v>
      </x:c>
      <x:c r="L61" s="9" t="n">
        <x:f>E61*C61</x:f>
        <x:v>40405.380000000005</x:v>
      </x:c>
      <x:c r="M61" s="1" t="n">
        <x:f>ROUNDUP(I61*(D61+$B$3+$D$3),0)</x:f>
        <x:v>220</x:v>
      </x:c>
      <x:c r="N61" s="1" t="n">
        <x:f>IF(K61&lt;=J61,MAX(0,M61-K61),0)</x:f>
        <x:v>0</x:v>
      </x:c>
      <x:c r="O61" s="9" t="n">
        <x:f>N61*C61</x:f>
        <x:v>0</x:v>
      </x:c>
      <x:c r="P61" s="9" t="n">
        <x:f>H61*C61</x:f>
        <x:v>93966.00000000001</x:v>
      </x:c>
      <x:c r="Q61" s="9" t="n">
        <x:f>VLOOKUP(A61,'Item inputs'!$A$5:$J$84,9,FALSE)*C61</x:f>
        <x:v>48126.253000000004</x:v>
      </x:c>
      <x:c r="R61" s="1" t="str">
        <x:f>IF(N61&gt;0,"Review order","Monitor")</x:f>
        <x:v>Monitor</x:v>
      </x:c>
    </x:row>
    <x:row r="62" ht="23" customHeight="1">
      <x:c r="A62" s="1" t="str">
        <x:f>'Item inputs'!A61</x:f>
        <x:v>K0057</x:v>
      </x:c>
      <x:c r="B62" s="1" t="str">
        <x:f>VLOOKUP(A62,'Item inputs'!$A$5:$J$84,2,FALSE)</x:f>
        <x:v>Sinks</x:v>
      </x:c>
      <x:c r="C62" s="9" t="n">
        <x:f>VLOOKUP(A62,'Item inputs'!$A$5:$J$84,3,FALSE)</x:f>
        <x:v>204.91</x:v>
      </x:c>
      <x:c r="D62" s="1" t="n">
        <x:f>VLOOKUP(A62,'Item inputs'!$A$5:$J$84,4,FALSE)</x:f>
        <x:v>16</x:v>
      </x:c>
      <x:c r="E62" s="1" t="n">
        <x:f>VLOOKUP(A62,'Item inputs'!$A$5:$J$84,5,FALSE)</x:f>
        <x:v>162</x:v>
      </x:c>
      <x:c r="F62" s="1" t="n">
        <x:f>VLOOKUP(A62,'Item inputs'!$A$5:$J$84,6,FALSE)</x:f>
        <x:v>13</x:v>
      </x:c>
      <x:c r="G62" s="1" t="n">
        <x:f>VLOOKUP(A62,'Item inputs'!$A$5:$J$84,7,FALSE)</x:f>
        <x:v>35</x:v>
      </x:c>
      <x:c r="H62" s="1" t="n">
        <x:f>VLOOKUP(A62,'Item inputs'!$A$5:$J$84,8,FALSE)</x:f>
        <x:v>249</x:v>
      </x:c>
      <x:c r="I62" s="10" t="n">
        <x:f>H62/90</x:f>
        <x:v>2.7666666666666666</x:v>
      </x:c>
      <x:c r="J62" s="1" t="n">
        <x:f>ROUNDUP(I62*(D62+$B$3),0)</x:f>
        <x:v>64</x:v>
      </x:c>
      <x:c r="K62" s="1" t="n">
        <x:f>E62-F62+G62</x:f>
        <x:v>184</x:v>
      </x:c>
      <x:c r="L62" s="9" t="n">
        <x:f>E62*C62</x:f>
        <x:v>33195.42</x:v>
      </x:c>
      <x:c r="M62" s="1" t="n">
        <x:f>ROUNDUP(I62*(D62+$B$3+$D$3),0)</x:f>
        <x:v>103</x:v>
      </x:c>
      <x:c r="N62" s="1" t="n">
        <x:f>IF(K62&lt;=J62,MAX(0,M62-K62),0)</x:f>
        <x:v>0</x:v>
      </x:c>
      <x:c r="O62" s="9" t="n">
        <x:f>N62*C62</x:f>
        <x:v>0</x:v>
      </x:c>
      <x:c r="P62" s="9" t="n">
        <x:f>H62*C62</x:f>
        <x:v>51022.59</x:v>
      </x:c>
      <x:c r="Q62" s="9" t="n">
        <x:f>VLOOKUP(A62,'Item inputs'!$A$5:$J$84,9,FALSE)*C62</x:f>
        <x:v>8544.747000000001</x:v>
      </x:c>
      <x:c r="R62" s="1" t="str">
        <x:f>IF(N62&gt;0,"Review order","Monitor")</x:f>
        <x:v>Monitor</x:v>
      </x:c>
    </x:row>
    <x:row r="63" ht="23" customHeight="1">
      <x:c r="A63" s="1" t="str">
        <x:f>'Item inputs'!A62</x:f>
        <x:v>K0058</x:v>
      </x:c>
      <x:c r="B63" s="1" t="str">
        <x:f>VLOOKUP(A63,'Item inputs'!$A$5:$J$84,2,FALSE)</x:f>
        <x:v>Taps</x:v>
      </x:c>
      <x:c r="C63" s="9" t="n">
        <x:f>VLOOKUP(A63,'Item inputs'!$A$5:$J$84,3,FALSE)</x:f>
        <x:v>88.05</x:v>
      </x:c>
      <x:c r="D63" s="1" t="n">
        <x:f>VLOOKUP(A63,'Item inputs'!$A$5:$J$84,4,FALSE)</x:f>
        <x:v>18</x:v>
      </x:c>
      <x:c r="E63" s="1" t="n">
        <x:f>VLOOKUP(A63,'Item inputs'!$A$5:$J$84,5,FALSE)</x:f>
        <x:v>134</x:v>
      </x:c>
      <x:c r="F63" s="1" t="n">
        <x:f>VLOOKUP(A63,'Item inputs'!$A$5:$J$84,6,FALSE)</x:f>
        <x:v>5</x:v>
      </x:c>
      <x:c r="G63" s="1" t="n">
        <x:f>VLOOKUP(A63,'Item inputs'!$A$5:$J$84,7,FALSE)</x:f>
        <x:v>56</x:v>
      </x:c>
      <x:c r="H63" s="1" t="n">
        <x:f>VLOOKUP(A63,'Item inputs'!$A$5:$J$84,8,FALSE)</x:f>
        <x:v>327</x:v>
      </x:c>
      <x:c r="I63" s="10" t="n">
        <x:f>H63/90</x:f>
        <x:v>3.6333333333333333</x:v>
      </x:c>
      <x:c r="J63" s="1" t="n">
        <x:f>ROUNDUP(I63*(D63+$B$3),0)</x:f>
        <x:v>91</x:v>
      </x:c>
      <x:c r="K63" s="1" t="n">
        <x:f>E63-F63+G63</x:f>
        <x:v>185</x:v>
      </x:c>
      <x:c r="L63" s="9" t="n">
        <x:f>E63*C63</x:f>
        <x:v>11798.699999999999</x:v>
      </x:c>
      <x:c r="M63" s="1" t="n">
        <x:f>ROUNDUP(I63*(D63+$B$3+$D$3),0)</x:f>
        <x:v>142</x:v>
      </x:c>
      <x:c r="N63" s="1" t="n">
        <x:f>IF(K63&lt;=J63,MAX(0,M63-K63),0)</x:f>
        <x:v>0</x:v>
      </x:c>
      <x:c r="O63" s="9" t="n">
        <x:f>N63*C63</x:f>
        <x:v>0</x:v>
      </x:c>
      <x:c r="P63" s="9" t="n">
        <x:f>H63*C63</x:f>
        <x:v>28792.35</x:v>
      </x:c>
      <x:c r="Q63" s="9" t="n">
        <x:f>VLOOKUP(A63,'Item inputs'!$A$5:$J$84,9,FALSE)*C63</x:f>
        <x:v>10671.66</x:v>
      </x:c>
      <x:c r="R63" s="1" t="str">
        <x:f>IF(N63&gt;0,"Review order","Monitor")</x:f>
        <x:v>Monitor</x:v>
      </x:c>
    </x:row>
    <x:row r="64" ht="23" customHeight="1">
      <x:c r="A64" s="1" t="str">
        <x:f>'Item inputs'!A63</x:f>
        <x:v>K0059</x:v>
      </x:c>
      <x:c r="B64" s="1" t="str">
        <x:f>VLOOKUP(A64,'Item inputs'!$A$5:$J$84,2,FALSE)</x:f>
        <x:v>Hoods</x:v>
      </x:c>
      <x:c r="C64" s="9" t="n">
        <x:f>VLOOKUP(A64,'Item inputs'!$A$5:$J$84,3,FALSE)</x:f>
        <x:v>109.51</x:v>
      </x:c>
      <x:c r="D64" s="1" t="n">
        <x:f>VLOOKUP(A64,'Item inputs'!$A$5:$J$84,4,FALSE)</x:f>
        <x:v>25</x:v>
      </x:c>
      <x:c r="E64" s="1" t="n">
        <x:f>VLOOKUP(A64,'Item inputs'!$A$5:$J$84,5,FALSE)</x:f>
        <x:v>14</x:v>
      </x:c>
      <x:c r="F64" s="1" t="n">
        <x:f>VLOOKUP(A64,'Item inputs'!$A$5:$J$84,6,FALSE)</x:f>
        <x:v>2</x:v>
      </x:c>
      <x:c r="G64" s="1" t="n">
        <x:f>VLOOKUP(A64,'Item inputs'!$A$5:$J$84,7,FALSE)</x:f>
        <x:v>19</x:v>
      </x:c>
      <x:c r="H64" s="1" t="n">
        <x:f>VLOOKUP(A64,'Item inputs'!$A$5:$J$84,8,FALSE)</x:f>
        <x:v>79</x:v>
      </x:c>
      <x:c r="I64" s="10" t="n">
        <x:f>H64/90</x:f>
        <x:v>0.8777777777777778</x:v>
      </x:c>
      <x:c r="J64" s="1" t="n">
        <x:f>ROUNDUP(I64*(D64+$B$3),0)</x:f>
        <x:v>29</x:v>
      </x:c>
      <x:c r="K64" s="1" t="n">
        <x:f>E64-F64+G64</x:f>
        <x:v>31</x:v>
      </x:c>
      <x:c r="L64" s="9" t="n">
        <x:f>E64*C64</x:f>
        <x:v>1533.14</x:v>
      </x:c>
      <x:c r="M64" s="1" t="n">
        <x:f>ROUNDUP(I64*(D64+$B$3+$D$3),0)</x:f>
        <x:v>41</x:v>
      </x:c>
      <x:c r="N64" s="1" t="n">
        <x:f>IF(K64&lt;=J64,MAX(0,M64-K64),0)</x:f>
        <x:v>0</x:v>
      </x:c>
      <x:c r="O64" s="9" t="n">
        <x:f>N64*C64</x:f>
        <x:v>0</x:v>
      </x:c>
      <x:c r="P64" s="9" t="n">
        <x:f>H64*C64</x:f>
        <x:v>8651.29</x:v>
      </x:c>
      <x:c r="Q64" s="9" t="n">
        <x:f>VLOOKUP(A64,'Item inputs'!$A$5:$J$84,9,FALSE)*C64</x:f>
        <x:v>3186.7410000000004</x:v>
      </x:c>
      <x:c r="R64" s="1" t="str">
        <x:f>IF(N64&gt;0,"Review order","Monitor")</x:f>
        <x:v>Monitor</x:v>
      </x:c>
    </x:row>
    <x:row r="65" ht="23" customHeight="1">
      <x:c r="A65" s="1" t="str">
        <x:f>'Item inputs'!A64</x:f>
        <x:v>K0060</x:v>
      </x:c>
      <x:c r="B65" s="1" t="str">
        <x:f>VLOOKUP(A65,'Item inputs'!$A$5:$J$84,2,FALSE)</x:f>
        <x:v>Accessories</x:v>
      </x:c>
      <x:c r="C65" s="9" t="n">
        <x:f>VLOOKUP(A65,'Item inputs'!$A$5:$J$84,3,FALSE)</x:f>
        <x:v>202.29</x:v>
      </x:c>
      <x:c r="D65" s="1" t="n">
        <x:f>VLOOKUP(A65,'Item inputs'!$A$5:$J$84,4,FALSE)</x:f>
        <x:v>14</x:v>
      </x:c>
      <x:c r="E65" s="1" t="n">
        <x:f>VLOOKUP(A65,'Item inputs'!$A$5:$J$84,5,FALSE)</x:f>
        <x:v>151</x:v>
      </x:c>
      <x:c r="F65" s="1" t="n">
        <x:f>VLOOKUP(A65,'Item inputs'!$A$5:$J$84,6,FALSE)</x:f>
        <x:v>13</x:v>
      </x:c>
      <x:c r="G65" s="1" t="n">
        <x:f>VLOOKUP(A65,'Item inputs'!$A$5:$J$84,7,FALSE)</x:f>
        <x:v>16</x:v>
      </x:c>
      <x:c r="H65" s="1" t="n">
        <x:f>VLOOKUP(A65,'Item inputs'!$A$5:$J$84,8,FALSE)</x:f>
        <x:v>1191</x:v>
      </x:c>
      <x:c r="I65" s="10" t="n">
        <x:f>H65/90</x:f>
        <x:v>13.233333333333333</x:v>
      </x:c>
      <x:c r="J65" s="1" t="n">
        <x:f>ROUNDUP(I65*(D65+$B$3),0)</x:f>
        <x:v>278</x:v>
      </x:c>
      <x:c r="K65" s="1" t="n">
        <x:f>E65-F65+G65</x:f>
        <x:v>154</x:v>
      </x:c>
      <x:c r="L65" s="9" t="n">
        <x:f>E65*C65</x:f>
        <x:v>30545.789999999997</x:v>
      </x:c>
      <x:c r="M65" s="1" t="n">
        <x:f>ROUNDUP(I65*(D65+$B$3+$D$3),0)</x:f>
        <x:v>464</x:v>
      </x:c>
      <x:c r="N65" s="1" t="n">
        <x:f>IF(K65&lt;=J65,MAX(0,M65-K65),0)</x:f>
        <x:v>310</x:v>
      </x:c>
      <x:c r="O65" s="9" t="n">
        <x:f>N65*C65</x:f>
        <x:v>62709.899999999994</x:v>
      </x:c>
      <x:c r="P65" s="9" t="n">
        <x:f>H65*C65</x:f>
        <x:v>240927.38999999998</x:v>
      </x:c>
      <x:c r="Q65" s="9" t="n">
        <x:f>VLOOKUP(A65,'Item inputs'!$A$5:$J$84,9,FALSE)*C65</x:f>
        <x:v>40174.793999999994</x:v>
      </x:c>
      <x:c r="R65" s="1" t="str">
        <x:f>IF(N65&gt;0,"Review order","Monitor")</x:f>
        <x:v>Review order</x:v>
      </x:c>
    </x:row>
    <x:row r="66" ht="23" customHeight="1">
      <x:c r="A66" s="1" t="str">
        <x:f>'Item inputs'!A65</x:f>
        <x:v>K0061</x:v>
      </x:c>
      <x:c r="B66" s="1" t="str">
        <x:f>VLOOKUP(A66,'Item inputs'!$A$5:$J$84,2,FALSE)</x:f>
        <x:v>Sinks</x:v>
      </x:c>
      <x:c r="C66" s="9" t="n">
        <x:f>VLOOKUP(A66,'Item inputs'!$A$5:$J$84,3,FALSE)</x:f>
        <x:v>95.14</x:v>
      </x:c>
      <x:c r="D66" s="1" t="n">
        <x:f>VLOOKUP(A66,'Item inputs'!$A$5:$J$84,4,FALSE)</x:f>
        <x:v>7</x:v>
      </x:c>
      <x:c r="E66" s="1" t="n">
        <x:f>VLOOKUP(A66,'Item inputs'!$A$5:$J$84,5,FALSE)</x:f>
        <x:v>45</x:v>
      </x:c>
      <x:c r="F66" s="1" t="n">
        <x:f>VLOOKUP(A66,'Item inputs'!$A$5:$J$84,6,FALSE)</x:f>
        <x:v>6</x:v>
      </x:c>
      <x:c r="G66" s="1" t="n">
        <x:f>VLOOKUP(A66,'Item inputs'!$A$5:$J$84,7,FALSE)</x:f>
        <x:v>31</x:v>
      </x:c>
      <x:c r="H66" s="1" t="n">
        <x:f>VLOOKUP(A66,'Item inputs'!$A$5:$J$84,8,FALSE)</x:f>
        <x:v>141</x:v>
      </x:c>
      <x:c r="I66" s="10" t="n">
        <x:f>H66/90</x:f>
        <x:v>1.5666666666666667</x:v>
      </x:c>
      <x:c r="J66" s="1" t="n">
        <x:f>ROUNDUP(I66*(D66+$B$3),0)</x:f>
        <x:v>22</x:v>
      </x:c>
      <x:c r="K66" s="1" t="n">
        <x:f>E66-F66+G66</x:f>
        <x:v>70</x:v>
      </x:c>
      <x:c r="L66" s="9" t="n">
        <x:f>E66*C66</x:f>
        <x:v>4281.3</x:v>
      </x:c>
      <x:c r="M66" s="1" t="n">
        <x:f>ROUNDUP(I66*(D66+$B$3+$D$3),0)</x:f>
        <x:v>44</x:v>
      </x:c>
      <x:c r="N66" s="1" t="n">
        <x:f>IF(K66&lt;=J66,MAX(0,M66-K66),0)</x:f>
        <x:v>0</x:v>
      </x:c>
      <x:c r="O66" s="9" t="n">
        <x:f>N66*C66</x:f>
        <x:v>0</x:v>
      </x:c>
      <x:c r="P66" s="9" t="n">
        <x:f>H66*C66</x:f>
        <x:v>13414.74</x:v>
      </x:c>
      <x:c r="Q66" s="9" t="n">
        <x:f>VLOOKUP(A66,'Item inputs'!$A$5:$J$84,9,FALSE)*C66</x:f>
        <x:v>5594.232</x:v>
      </x:c>
      <x:c r="R66" s="1" t="str">
        <x:f>IF(N66&gt;0,"Review order","Monitor")</x:f>
        <x:v>Monitor</x:v>
      </x:c>
    </x:row>
    <x:row r="67" ht="23" customHeight="1">
      <x:c r="A67" s="1" t="str">
        <x:f>'Item inputs'!A66</x:f>
        <x:v>K0062</x:v>
      </x:c>
      <x:c r="B67" s="1" t="str">
        <x:f>VLOOKUP(A67,'Item inputs'!$A$5:$J$84,2,FALSE)</x:f>
        <x:v>Taps</x:v>
      </x:c>
      <x:c r="C67" s="9" t="n">
        <x:f>VLOOKUP(A67,'Item inputs'!$A$5:$J$84,3,FALSE)</x:f>
        <x:v>92.64</x:v>
      </x:c>
      <x:c r="D67" s="1" t="n">
        <x:f>VLOOKUP(A67,'Item inputs'!$A$5:$J$84,4,FALSE)</x:f>
        <x:v>12</x:v>
      </x:c>
      <x:c r="E67" s="1" t="n">
        <x:f>VLOOKUP(A67,'Item inputs'!$A$5:$J$84,5,FALSE)</x:f>
        <x:v>635</x:v>
      </x:c>
      <x:c r="F67" s="1" t="n">
        <x:f>VLOOKUP(A67,'Item inputs'!$A$5:$J$84,6,FALSE)</x:f>
        <x:v>4</x:v>
      </x:c>
      <x:c r="G67" s="1" t="n">
        <x:f>VLOOKUP(A67,'Item inputs'!$A$5:$J$84,7,FALSE)</x:f>
        <x:v>30</x:v>
      </x:c>
      <x:c r="H67" s="1" t="n">
        <x:f>VLOOKUP(A67,'Item inputs'!$A$5:$J$84,8,FALSE)</x:f>
        <x:v>892</x:v>
      </x:c>
      <x:c r="I67" s="10" t="n">
        <x:f>H67/90</x:f>
        <x:v>9.911111111111111</x:v>
      </x:c>
      <x:c r="J67" s="1" t="n">
        <x:f>ROUNDUP(I67*(D67+$B$3),0)</x:f>
        <x:v>189</x:v>
      </x:c>
      <x:c r="K67" s="1" t="n">
        <x:f>E67-F67+G67</x:f>
        <x:v>661</x:v>
      </x:c>
      <x:c r="L67" s="9" t="n">
        <x:f>E67*C67</x:f>
        <x:v>58826.4</x:v>
      </x:c>
      <x:c r="M67" s="1" t="n">
        <x:f>ROUNDUP(I67*(D67+$B$3+$D$3),0)</x:f>
        <x:v>328</x:v>
      </x:c>
      <x:c r="N67" s="1" t="n">
        <x:f>IF(K67&lt;=J67,MAX(0,M67-K67),0)</x:f>
        <x:v>0</x:v>
      </x:c>
      <x:c r="O67" s="9" t="n">
        <x:f>N67*C67</x:f>
        <x:v>0</x:v>
      </x:c>
      <x:c r="P67" s="9" t="n">
        <x:f>H67*C67</x:f>
        <x:v>82634.88</x:v>
      </x:c>
      <x:c r="Q67" s="9" t="n">
        <x:f>VLOOKUP(A67,'Item inputs'!$A$5:$J$84,9,FALSE)*C67</x:f>
        <x:v>40974.672</x:v>
      </x:c>
      <x:c r="R67" s="1" t="str">
        <x:f>IF(N67&gt;0,"Review order","Monitor")</x:f>
        <x:v>Monitor</x:v>
      </x:c>
    </x:row>
    <x:row r="68" ht="23" customHeight="1">
      <x:c r="A68" s="1" t="str">
        <x:f>'Item inputs'!A67</x:f>
        <x:v>K0063</x:v>
      </x:c>
      <x:c r="B68" s="1" t="str">
        <x:f>VLOOKUP(A68,'Item inputs'!$A$5:$J$84,2,FALSE)</x:f>
        <x:v>Hoods</x:v>
      </x:c>
      <x:c r="C68" s="9" t="n">
        <x:f>VLOOKUP(A68,'Item inputs'!$A$5:$J$84,3,FALSE)</x:f>
        <x:v>234.57</x:v>
      </x:c>
      <x:c r="D68" s="1" t="n">
        <x:f>VLOOKUP(A68,'Item inputs'!$A$5:$J$84,4,FALSE)</x:f>
        <x:v>16</x:v>
      </x:c>
      <x:c r="E68" s="1" t="n">
        <x:f>VLOOKUP(A68,'Item inputs'!$A$5:$J$84,5,FALSE)</x:f>
        <x:v>211</x:v>
      </x:c>
      <x:c r="F68" s="1" t="n">
        <x:f>VLOOKUP(A68,'Item inputs'!$A$5:$J$84,6,FALSE)</x:f>
        <x:v>0</x:v>
      </x:c>
      <x:c r="G68" s="1" t="n">
        <x:f>VLOOKUP(A68,'Item inputs'!$A$5:$J$84,7,FALSE)</x:f>
        <x:v>22</x:v>
      </x:c>
      <x:c r="H68" s="1" t="n">
        <x:f>VLOOKUP(A68,'Item inputs'!$A$5:$J$84,8,FALSE)</x:f>
        <x:v>422</x:v>
      </x:c>
      <x:c r="I68" s="10" t="n">
        <x:f>H68/90</x:f>
        <x:v>4.688888888888889</x:v>
      </x:c>
      <x:c r="J68" s="1" t="n">
        <x:f>ROUNDUP(I68*(D68+$B$3),0)</x:f>
        <x:v>108</x:v>
      </x:c>
      <x:c r="K68" s="1" t="n">
        <x:f>E68-F68+G68</x:f>
        <x:v>233</x:v>
      </x:c>
      <x:c r="L68" s="9" t="n">
        <x:f>E68*C68</x:f>
        <x:v>49494.27</x:v>
      </x:c>
      <x:c r="M68" s="1" t="n">
        <x:f>ROUNDUP(I68*(D68+$B$3+$D$3),0)</x:f>
        <x:v>174</x:v>
      </x:c>
      <x:c r="N68" s="1" t="n">
        <x:f>IF(K68&lt;=J68,MAX(0,M68-K68),0)</x:f>
        <x:v>0</x:v>
      </x:c>
      <x:c r="O68" s="9" t="n">
        <x:f>N68*C68</x:f>
        <x:v>0</x:v>
      </x:c>
      <x:c r="P68" s="9" t="n">
        <x:f>H68*C68</x:f>
        <x:v>98988.54</x:v>
      </x:c>
      <x:c r="Q68" s="9" t="n">
        <x:f>VLOOKUP(A68,'Item inputs'!$A$5:$J$84,9,FALSE)*C68</x:f>
        <x:v>44005.331999999995</x:v>
      </x:c>
      <x:c r="R68" s="1" t="str">
        <x:f>IF(N68&gt;0,"Review order","Monitor")</x:f>
        <x:v>Monitor</x:v>
      </x:c>
    </x:row>
    <x:row r="69" ht="23" customHeight="1">
      <x:c r="A69" s="1" t="str">
        <x:f>'Item inputs'!A68</x:f>
        <x:v>K0064</x:v>
      </x:c>
      <x:c r="B69" s="1" t="str">
        <x:f>VLOOKUP(A69,'Item inputs'!$A$5:$J$84,2,FALSE)</x:f>
        <x:v>Accessories</x:v>
      </x:c>
      <x:c r="C69" s="9" t="n">
        <x:f>VLOOKUP(A69,'Item inputs'!$A$5:$J$84,3,FALSE)</x:f>
        <x:v>87.74</x:v>
      </x:c>
      <x:c r="D69" s="1" t="n">
        <x:f>VLOOKUP(A69,'Item inputs'!$A$5:$J$84,4,FALSE)</x:f>
        <x:v>18</x:v>
      </x:c>
      <x:c r="E69" s="1" t="n">
        <x:f>VLOOKUP(A69,'Item inputs'!$A$5:$J$84,5,FALSE)</x:f>
        <x:v>685</x:v>
      </x:c>
      <x:c r="F69" s="1" t="n">
        <x:f>VLOOKUP(A69,'Item inputs'!$A$5:$J$84,6,FALSE)</x:f>
        <x:v>7</x:v>
      </x:c>
      <x:c r="G69" s="1" t="n">
        <x:f>VLOOKUP(A69,'Item inputs'!$A$5:$J$84,7,FALSE)</x:f>
        <x:v>34</x:v>
      </x:c>
      <x:c r="H69" s="1" t="n">
        <x:f>VLOOKUP(A69,'Item inputs'!$A$5:$J$84,8,FALSE)</x:f>
        <x:v>903</x:v>
      </x:c>
      <x:c r="I69" s="10" t="n">
        <x:f>H69/90</x:f>
        <x:v>10.033333333333333</x:v>
      </x:c>
      <x:c r="J69" s="1" t="n">
        <x:f>ROUNDUP(I69*(D69+$B$3),0)</x:f>
        <x:v>251</x:v>
      </x:c>
      <x:c r="K69" s="1" t="n">
        <x:f>E69-F69+G69</x:f>
        <x:v>712</x:v>
      </x:c>
      <x:c r="L69" s="9" t="n">
        <x:f>E69*C69</x:f>
        <x:v>60101.899999999994</x:v>
      </x:c>
      <x:c r="M69" s="1" t="n">
        <x:f>ROUNDUP(I69*(D69+$B$3+$D$3),0)</x:f>
        <x:v>392</x:v>
      </x:c>
      <x:c r="N69" s="1" t="n">
        <x:f>IF(K69&lt;=J69,MAX(0,M69-K69),0)</x:f>
        <x:v>0</x:v>
      </x:c>
      <x:c r="O69" s="9" t="n">
        <x:f>N69*C69</x:f>
        <x:v>0</x:v>
      </x:c>
      <x:c r="P69" s="9" t="n">
        <x:f>H69*C69</x:f>
        <x:v>79229.22</x:v>
      </x:c>
      <x:c r="Q69" s="9" t="n">
        <x:f>VLOOKUP(A69,'Item inputs'!$A$5:$J$84,9,FALSE)*C69</x:f>
        <x:v>16933.82</x:v>
      </x:c>
      <x:c r="R69" s="1" t="str">
        <x:f>IF(N69&gt;0,"Review order","Monitor")</x:f>
        <x:v>Monitor</x:v>
      </x:c>
    </x:row>
    <x:row r="70" ht="23" customHeight="1">
      <x:c r="A70" s="1" t="str">
        <x:f>'Item inputs'!A69</x:f>
        <x:v>K0065</x:v>
      </x:c>
      <x:c r="B70" s="1" t="str">
        <x:f>VLOOKUP(A70,'Item inputs'!$A$5:$J$84,2,FALSE)</x:f>
        <x:v>Sinks</x:v>
      </x:c>
      <x:c r="C70" s="9" t="n">
        <x:f>VLOOKUP(A70,'Item inputs'!$A$5:$J$84,3,FALSE)</x:f>
        <x:v>171.89</x:v>
      </x:c>
      <x:c r="D70" s="1" t="n">
        <x:f>VLOOKUP(A70,'Item inputs'!$A$5:$J$84,4,FALSE)</x:f>
        <x:v>25</x:v>
      </x:c>
      <x:c r="E70" s="1" t="n">
        <x:f>VLOOKUP(A70,'Item inputs'!$A$5:$J$84,5,FALSE)</x:f>
        <x:v>39</x:v>
      </x:c>
      <x:c r="F70" s="1" t="n">
        <x:f>VLOOKUP(A70,'Item inputs'!$A$5:$J$84,6,FALSE)</x:f>
        <x:v>15</x:v>
      </x:c>
      <x:c r="G70" s="1" t="n">
        <x:f>VLOOKUP(A70,'Item inputs'!$A$5:$J$84,7,FALSE)</x:f>
        <x:v>28</x:v>
      </x:c>
      <x:c r="H70" s="1" t="n">
        <x:f>VLOOKUP(A70,'Item inputs'!$A$5:$J$84,8,FALSE)</x:f>
        <x:v>843</x:v>
      </x:c>
      <x:c r="I70" s="10" t="n">
        <x:f>H70/90</x:f>
        <x:v>9.366666666666667</x:v>
      </x:c>
      <x:c r="J70" s="1" t="n">
        <x:f>ROUNDUP(I70*(D70+$B$3),0)</x:f>
        <x:v>300</x:v>
      </x:c>
      <x:c r="K70" s="1" t="n">
        <x:f>E70-F70+G70</x:f>
        <x:v>52</x:v>
      </x:c>
      <x:c r="L70" s="9" t="n">
        <x:f>E70*C70</x:f>
        <x:v>6703.709999999999</x:v>
      </x:c>
      <x:c r="M70" s="1" t="n">
        <x:f>ROUNDUP(I70*(D70+$B$3+$D$3),0)</x:f>
        <x:v>431</x:v>
      </x:c>
      <x:c r="N70" s="1" t="n">
        <x:f>IF(K70&lt;=J70,MAX(0,M70-K70),0)</x:f>
        <x:v>379</x:v>
      </x:c>
      <x:c r="O70" s="9" t="n">
        <x:f>N70*C70</x:f>
        <x:v>65146.31</x:v>
      </x:c>
      <x:c r="P70" s="9" t="n">
        <x:f>H70*C70</x:f>
        <x:v>144903.27</x:v>
      </x:c>
      <x:c r="Q70" s="9" t="n">
        <x:f>VLOOKUP(A70,'Item inputs'!$A$5:$J$84,9,FALSE)*C70</x:f>
        <x:v>33295.09299999999</x:v>
      </x:c>
      <x:c r="R70" s="1" t="str">
        <x:f>IF(N70&gt;0,"Review order","Monitor")</x:f>
        <x:v>Review order</x:v>
      </x:c>
    </x:row>
    <x:row r="71" ht="23" customHeight="1">
      <x:c r="A71" s="1" t="str">
        <x:f>'Item inputs'!A70</x:f>
        <x:v>K0066</x:v>
      </x:c>
      <x:c r="B71" s="1" t="str">
        <x:f>VLOOKUP(A71,'Item inputs'!$A$5:$J$84,2,FALSE)</x:f>
        <x:v>Taps</x:v>
      </x:c>
      <x:c r="C71" s="9" t="n">
        <x:f>VLOOKUP(A71,'Item inputs'!$A$5:$J$84,3,FALSE)</x:f>
        <x:v>221.41</x:v>
      </x:c>
      <x:c r="D71" s="1" t="n">
        <x:f>VLOOKUP(A71,'Item inputs'!$A$5:$J$84,4,FALSE)</x:f>
        <x:v>14</x:v>
      </x:c>
      <x:c r="E71" s="1" t="n">
        <x:f>VLOOKUP(A71,'Item inputs'!$A$5:$J$84,5,FALSE)</x:f>
        <x:v>312</x:v>
      </x:c>
      <x:c r="F71" s="1" t="n">
        <x:f>VLOOKUP(A71,'Item inputs'!$A$5:$J$84,6,FALSE)</x:f>
        <x:v>7</x:v>
      </x:c>
      <x:c r="G71" s="1" t="n">
        <x:f>VLOOKUP(A71,'Item inputs'!$A$5:$J$84,7,FALSE)</x:f>
        <x:v>28</x:v>
      </x:c>
      <x:c r="H71" s="1" t="n">
        <x:f>VLOOKUP(A71,'Item inputs'!$A$5:$J$84,8,FALSE)</x:f>
        <x:v>776</x:v>
      </x:c>
      <x:c r="I71" s="10" t="n">
        <x:f>H71/90</x:f>
        <x:v>8.622222222222222</x:v>
      </x:c>
      <x:c r="J71" s="1" t="n">
        <x:f>ROUNDUP(I71*(D71+$B$3),0)</x:f>
        <x:v>182</x:v>
      </x:c>
      <x:c r="K71" s="1" t="n">
        <x:f>E71-F71+G71</x:f>
        <x:v>333</x:v>
      </x:c>
      <x:c r="L71" s="9" t="n">
        <x:f>E71*C71</x:f>
        <x:v>69079.92</x:v>
      </x:c>
      <x:c r="M71" s="1" t="n">
        <x:f>ROUNDUP(I71*(D71+$B$3+$D$3),0)</x:f>
        <x:v>302</x:v>
      </x:c>
      <x:c r="N71" s="1" t="n">
        <x:f>IF(K71&lt;=J71,MAX(0,M71-K71),0)</x:f>
        <x:v>0</x:v>
      </x:c>
      <x:c r="O71" s="9" t="n">
        <x:f>N71*C71</x:f>
        <x:v>0</x:v>
      </x:c>
      <x:c r="P71" s="9" t="n">
        <x:f>H71*C71</x:f>
        <x:v>171814.16</x:v>
      </x:c>
      <x:c r="Q71" s="9" t="n">
        <x:f>VLOOKUP(A71,'Item inputs'!$A$5:$J$84,9,FALSE)*C71</x:f>
        <x:v>27388.417</x:v>
      </x:c>
      <x:c r="R71" s="1" t="str">
        <x:f>IF(N71&gt;0,"Review order","Monitor")</x:f>
        <x:v>Monitor</x:v>
      </x:c>
    </x:row>
    <x:row r="72" ht="23" customHeight="1">
      <x:c r="A72" s="1" t="str">
        <x:f>'Item inputs'!A71</x:f>
        <x:v>K0067</x:v>
      </x:c>
      <x:c r="B72" s="1" t="str">
        <x:f>VLOOKUP(A72,'Item inputs'!$A$5:$J$84,2,FALSE)</x:f>
        <x:v>Hoods</x:v>
      </x:c>
      <x:c r="C72" s="9" t="n">
        <x:f>VLOOKUP(A72,'Item inputs'!$A$5:$J$84,3,FALSE)</x:f>
        <x:v>56.03</x:v>
      </x:c>
      <x:c r="D72" s="1" t="n">
        <x:f>VLOOKUP(A72,'Item inputs'!$A$5:$J$84,4,FALSE)</x:f>
        <x:v>7</x:v>
      </x:c>
      <x:c r="E72" s="1" t="n">
        <x:f>VLOOKUP(A72,'Item inputs'!$A$5:$J$84,5,FALSE)</x:f>
        <x:v>285</x:v>
      </x:c>
      <x:c r="F72" s="1" t="n">
        <x:f>VLOOKUP(A72,'Item inputs'!$A$5:$J$84,6,FALSE)</x:f>
        <x:v>2</x:v>
      </x:c>
      <x:c r="G72" s="1" t="n">
        <x:f>VLOOKUP(A72,'Item inputs'!$A$5:$J$84,7,FALSE)</x:f>
        <x:v>35</x:v>
      </x:c>
      <x:c r="H72" s="1" t="n">
        <x:f>VLOOKUP(A72,'Item inputs'!$A$5:$J$84,8,FALSE)</x:f>
        <x:v>732</x:v>
      </x:c>
      <x:c r="I72" s="10" t="n">
        <x:f>H72/90</x:f>
        <x:v>8.133333333333333</x:v>
      </x:c>
      <x:c r="J72" s="1" t="n">
        <x:f>ROUNDUP(I72*(D72+$B$3),0)</x:f>
        <x:v>114</x:v>
      </x:c>
      <x:c r="K72" s="1" t="n">
        <x:f>E72-F72+G72</x:f>
        <x:v>318</x:v>
      </x:c>
      <x:c r="L72" s="9" t="n">
        <x:f>E72*C72</x:f>
        <x:v>15968.550000000001</x:v>
      </x:c>
      <x:c r="M72" s="1" t="n">
        <x:f>ROUNDUP(I72*(D72+$B$3+$D$3),0)</x:f>
        <x:v>228</x:v>
      </x:c>
      <x:c r="N72" s="1" t="n">
        <x:f>IF(K72&lt;=J72,MAX(0,M72-K72),0)</x:f>
        <x:v>0</x:v>
      </x:c>
      <x:c r="O72" s="9" t="n">
        <x:f>N72*C72</x:f>
        <x:v>0</x:v>
      </x:c>
      <x:c r="P72" s="9" t="n">
        <x:f>H72*C72</x:f>
        <x:v>41013.96</x:v>
      </x:c>
      <x:c r="Q72" s="9" t="n">
        <x:f>VLOOKUP(A72,'Item inputs'!$A$5:$J$84,9,FALSE)*C72</x:f>
        <x:v>11911.978</x:v>
      </x:c>
      <x:c r="R72" s="1" t="str">
        <x:f>IF(N72&gt;0,"Review order","Monitor")</x:f>
        <x:v>Monitor</x:v>
      </x:c>
    </x:row>
    <x:row r="73" ht="23" customHeight="1">
      <x:c r="A73" s="1" t="str">
        <x:f>'Item inputs'!A72</x:f>
        <x:v>K0068</x:v>
      </x:c>
      <x:c r="B73" s="1" t="str">
        <x:f>VLOOKUP(A73,'Item inputs'!$A$5:$J$84,2,FALSE)</x:f>
        <x:v>Accessories</x:v>
      </x:c>
      <x:c r="C73" s="9" t="n">
        <x:f>VLOOKUP(A73,'Item inputs'!$A$5:$J$84,3,FALSE)</x:f>
        <x:v>128.14</x:v>
      </x:c>
      <x:c r="D73" s="1" t="n">
        <x:f>VLOOKUP(A73,'Item inputs'!$A$5:$J$84,4,FALSE)</x:f>
        <x:v>12</x:v>
      </x:c>
      <x:c r="E73" s="1" t="n">
        <x:f>VLOOKUP(A73,'Item inputs'!$A$5:$J$84,5,FALSE)</x:f>
        <x:v>339</x:v>
      </x:c>
      <x:c r="F73" s="1" t="n">
        <x:f>VLOOKUP(A73,'Item inputs'!$A$5:$J$84,6,FALSE)</x:f>
        <x:v>0</x:v>
      </x:c>
      <x:c r="G73" s="1" t="n">
        <x:f>VLOOKUP(A73,'Item inputs'!$A$5:$J$84,7,FALSE)</x:f>
        <x:v>14</x:v>
      </x:c>
      <x:c r="H73" s="1" t="n">
        <x:f>VLOOKUP(A73,'Item inputs'!$A$5:$J$84,8,FALSE)</x:f>
        <x:v>1158</x:v>
      </x:c>
      <x:c r="I73" s="10" t="n">
        <x:f>H73/90</x:f>
        <x:v>12.866666666666667</x:v>
      </x:c>
      <x:c r="J73" s="1" t="n">
        <x:f>ROUNDUP(I73*(D73+$B$3),0)</x:f>
        <x:v>245</x:v>
      </x:c>
      <x:c r="K73" s="1" t="n">
        <x:f>E73-F73+G73</x:f>
        <x:v>353</x:v>
      </x:c>
      <x:c r="L73" s="9" t="n">
        <x:f>E73*C73</x:f>
        <x:v>43439.45999999999</x:v>
      </x:c>
      <x:c r="M73" s="1" t="n">
        <x:f>ROUNDUP(I73*(D73+$B$3+$D$3),0)</x:f>
        <x:v>425</x:v>
      </x:c>
      <x:c r="N73" s="1" t="n">
        <x:f>IF(K73&lt;=J73,MAX(0,M73-K73),0)</x:f>
        <x:v>0</x:v>
      </x:c>
      <x:c r="O73" s="9" t="n">
        <x:f>N73*C73</x:f>
        <x:v>0</x:v>
      </x:c>
      <x:c r="P73" s="9" t="n">
        <x:f>H73*C73</x:f>
        <x:v>148386.12</x:v>
      </x:c>
      <x:c r="Q73" s="9" t="n">
        <x:f>VLOOKUP(A73,'Item inputs'!$A$5:$J$84,9,FALSE)*C73</x:f>
        <x:v>74308.38599999998</x:v>
      </x:c>
      <x:c r="R73" s="1" t="str">
        <x:f>IF(N73&gt;0,"Review order","Monitor")</x:f>
        <x:v>Monitor</x:v>
      </x:c>
    </x:row>
    <x:row r="74" ht="23" customHeight="1">
      <x:c r="A74" s="1" t="str">
        <x:f>'Item inputs'!A73</x:f>
        <x:v>K0069</x:v>
      </x:c>
      <x:c r="B74" s="1" t="str">
        <x:f>VLOOKUP(A74,'Item inputs'!$A$5:$J$84,2,FALSE)</x:f>
        <x:v>Sinks</x:v>
      </x:c>
      <x:c r="C74" s="9" t="n">
        <x:f>VLOOKUP(A74,'Item inputs'!$A$5:$J$84,3,FALSE)</x:f>
        <x:v>71.56</x:v>
      </x:c>
      <x:c r="D74" s="1" t="n">
        <x:f>VLOOKUP(A74,'Item inputs'!$A$5:$J$84,4,FALSE)</x:f>
        <x:v>16</x:v>
      </x:c>
      <x:c r="E74" s="1" t="n">
        <x:f>VLOOKUP(A74,'Item inputs'!$A$5:$J$84,5,FALSE)</x:f>
        <x:v>19</x:v>
      </x:c>
      <x:c r="F74" s="1" t="n">
        <x:f>VLOOKUP(A74,'Item inputs'!$A$5:$J$84,6,FALSE)</x:f>
        <x:v>3</x:v>
      </x:c>
      <x:c r="G74" s="1" t="n">
        <x:f>VLOOKUP(A74,'Item inputs'!$A$5:$J$84,7,FALSE)</x:f>
        <x:v>76</x:v>
      </x:c>
      <x:c r="H74" s="1" t="n">
        <x:f>VLOOKUP(A74,'Item inputs'!$A$5:$J$84,8,FALSE)</x:f>
        <x:v>603</x:v>
      </x:c>
      <x:c r="I74" s="10" t="n">
        <x:f>H74/90</x:f>
        <x:v>6.7</x:v>
      </x:c>
      <x:c r="J74" s="1" t="n">
        <x:f>ROUNDUP(I74*(D74+$B$3),0)</x:f>
        <x:v>155</x:v>
      </x:c>
      <x:c r="K74" s="1" t="n">
        <x:f>E74-F74+G74</x:f>
        <x:v>92</x:v>
      </x:c>
      <x:c r="L74" s="9" t="n">
        <x:f>E74*C74</x:f>
        <x:v>1359.64</x:v>
      </x:c>
      <x:c r="M74" s="1" t="n">
        <x:f>ROUNDUP(I74*(D74+$B$3+$D$3),0)</x:f>
        <x:v>248</x:v>
      </x:c>
      <x:c r="N74" s="1" t="n">
        <x:f>IF(K74&lt;=J74,MAX(0,M74-K74),0)</x:f>
        <x:v>156</x:v>
      </x:c>
      <x:c r="O74" s="9" t="n">
        <x:f>N74*C74</x:f>
        <x:v>11163.36</x:v>
      </x:c>
      <x:c r="P74" s="9" t="n">
        <x:f>H74*C74</x:f>
        <x:v>43150.68</x:v>
      </x:c>
      <x:c r="Q74" s="9" t="n">
        <x:f>VLOOKUP(A74,'Item inputs'!$A$5:$J$84,9,FALSE)*C74</x:f>
        <x:v>13975.668000000001</x:v>
      </x:c>
      <x:c r="R74" s="1" t="str">
        <x:f>IF(N74&gt;0,"Review order","Monitor")</x:f>
        <x:v>Review order</x:v>
      </x:c>
    </x:row>
    <x:row r="75" ht="23" customHeight="1">
      <x:c r="A75" s="1" t="str">
        <x:f>'Item inputs'!A74</x:f>
        <x:v>K0070</x:v>
      </x:c>
      <x:c r="B75" s="1" t="str">
        <x:f>VLOOKUP(A75,'Item inputs'!$A$5:$J$84,2,FALSE)</x:f>
        <x:v>Taps</x:v>
      </x:c>
      <x:c r="C75" s="9" t="n">
        <x:f>VLOOKUP(A75,'Item inputs'!$A$5:$J$84,3,FALSE)</x:f>
        <x:v>178.11</x:v>
      </x:c>
      <x:c r="D75" s="1" t="n">
        <x:f>VLOOKUP(A75,'Item inputs'!$A$5:$J$84,4,FALSE)</x:f>
        <x:v>18</x:v>
      </x:c>
      <x:c r="E75" s="1" t="n">
        <x:f>VLOOKUP(A75,'Item inputs'!$A$5:$J$84,5,FALSE)</x:f>
        <x:v>446</x:v>
      </x:c>
      <x:c r="F75" s="1" t="n">
        <x:f>VLOOKUP(A75,'Item inputs'!$A$5:$J$84,6,FALSE)</x:f>
        <x:v>19</x:v>
      </x:c>
      <x:c r="G75" s="1" t="n">
        <x:f>VLOOKUP(A75,'Item inputs'!$A$5:$J$84,7,FALSE)</x:f>
        <x:v>65</x:v>
      </x:c>
      <x:c r="H75" s="1" t="n">
        <x:f>VLOOKUP(A75,'Item inputs'!$A$5:$J$84,8,FALSE)</x:f>
        <x:v>702</x:v>
      </x:c>
      <x:c r="I75" s="10" t="n">
        <x:f>H75/90</x:f>
        <x:v>7.8</x:v>
      </x:c>
      <x:c r="J75" s="1" t="n">
        <x:f>ROUNDUP(I75*(D75+$B$3),0)</x:f>
        <x:v>195</x:v>
      </x:c>
      <x:c r="K75" s="1" t="n">
        <x:f>E75-F75+G75</x:f>
        <x:v>492</x:v>
      </x:c>
      <x:c r="L75" s="9" t="n">
        <x:f>E75*C75</x:f>
        <x:v>79437.06000000001</x:v>
      </x:c>
      <x:c r="M75" s="1" t="n">
        <x:f>ROUNDUP(I75*(D75+$B$3+$D$3),0)</x:f>
        <x:v>305</x:v>
      </x:c>
      <x:c r="N75" s="1" t="n">
        <x:f>IF(K75&lt;=J75,MAX(0,M75-K75),0)</x:f>
        <x:v>0</x:v>
      </x:c>
      <x:c r="O75" s="9" t="n">
        <x:f>N75*C75</x:f>
        <x:v>0</x:v>
      </x:c>
      <x:c r="P75" s="9" t="n">
        <x:f>H75*C75</x:f>
        <x:v>125033.22000000002</x:v>
      </x:c>
      <x:c r="Q75" s="9" t="n">
        <x:f>VLOOKUP(A75,'Item inputs'!$A$5:$J$84,9,FALSE)*C75</x:f>
        <x:v>24543.558000000005</x:v>
      </x:c>
      <x:c r="R75" s="1" t="str">
        <x:f>IF(N75&gt;0,"Review order","Monitor")</x:f>
        <x:v>Monitor</x:v>
      </x:c>
    </x:row>
    <x:row r="76" ht="23" customHeight="1">
      <x:c r="A76" s="1" t="str">
        <x:f>'Item inputs'!A75</x:f>
        <x:v>K0071</x:v>
      </x:c>
      <x:c r="B76" s="1" t="str">
        <x:f>VLOOKUP(A76,'Item inputs'!$A$5:$J$84,2,FALSE)</x:f>
        <x:v>Hoods</x:v>
      </x:c>
      <x:c r="C76" s="9" t="n">
        <x:f>VLOOKUP(A76,'Item inputs'!$A$5:$J$84,3,FALSE)</x:f>
        <x:v>217.09</x:v>
      </x:c>
      <x:c r="D76" s="1" t="n">
        <x:f>VLOOKUP(A76,'Item inputs'!$A$5:$J$84,4,FALSE)</x:f>
        <x:v>25</x:v>
      </x:c>
      <x:c r="E76" s="1" t="n">
        <x:f>VLOOKUP(A76,'Item inputs'!$A$5:$J$84,5,FALSE)</x:f>
        <x:v>130</x:v>
      </x:c>
      <x:c r="F76" s="1" t="n">
        <x:f>VLOOKUP(A76,'Item inputs'!$A$5:$J$84,6,FALSE)</x:f>
        <x:v>1</x:v>
      </x:c>
      <x:c r="G76" s="1" t="n">
        <x:f>VLOOKUP(A76,'Item inputs'!$A$5:$J$84,7,FALSE)</x:f>
        <x:v>55</x:v>
      </x:c>
      <x:c r="H76" s="1" t="n">
        <x:f>VLOOKUP(A76,'Item inputs'!$A$5:$J$84,8,FALSE)</x:f>
        <x:v>449</x:v>
      </x:c>
      <x:c r="I76" s="10" t="n">
        <x:f>H76/90</x:f>
        <x:v>4.988888888888889</x:v>
      </x:c>
      <x:c r="J76" s="1" t="n">
        <x:f>ROUNDUP(I76*(D76+$B$3),0)</x:f>
        <x:v>160</x:v>
      </x:c>
      <x:c r="K76" s="1" t="n">
        <x:f>E76-F76+G76</x:f>
        <x:v>184</x:v>
      </x:c>
      <x:c r="L76" s="9" t="n">
        <x:f>E76*C76</x:f>
        <x:v>28221.7</x:v>
      </x:c>
      <x:c r="M76" s="1" t="n">
        <x:f>ROUNDUP(I76*(D76+$B$3+$D$3),0)</x:f>
        <x:v>230</x:v>
      </x:c>
      <x:c r="N76" s="1" t="n">
        <x:f>IF(K76&lt;=J76,MAX(0,M76-K76),0)</x:f>
        <x:v>0</x:v>
      </x:c>
      <x:c r="O76" s="9" t="n">
        <x:f>N76*C76</x:f>
        <x:v>0</x:v>
      </x:c>
      <x:c r="P76" s="9" t="n">
        <x:f>H76*C76</x:f>
        <x:v>97473.41</x:v>
      </x:c>
      <x:c r="Q76" s="9" t="n">
        <x:f>VLOOKUP(A76,'Item inputs'!$A$5:$J$84,9,FALSE)*C76</x:f>
        <x:v>14696.993</x:v>
      </x:c>
      <x:c r="R76" s="1" t="str">
        <x:f>IF(N76&gt;0,"Review order","Monitor")</x:f>
        <x:v>Monitor</x:v>
      </x:c>
    </x:row>
    <x:row r="77" ht="23" customHeight="1">
      <x:c r="A77" s="1" t="str">
        <x:f>'Item inputs'!A76</x:f>
        <x:v>K0072</x:v>
      </x:c>
      <x:c r="B77" s="1" t="str">
        <x:f>VLOOKUP(A77,'Item inputs'!$A$5:$J$84,2,FALSE)</x:f>
        <x:v>Accessories</x:v>
      </x:c>
      <x:c r="C77" s="9" t="n">
        <x:f>VLOOKUP(A77,'Item inputs'!$A$5:$J$84,3,FALSE)</x:f>
        <x:v>223.03</x:v>
      </x:c>
      <x:c r="D77" s="1" t="n">
        <x:f>VLOOKUP(A77,'Item inputs'!$A$5:$J$84,4,FALSE)</x:f>
        <x:v>14</x:v>
      </x:c>
      <x:c r="E77" s="1" t="n">
        <x:f>VLOOKUP(A77,'Item inputs'!$A$5:$J$84,5,FALSE)</x:f>
        <x:v>703</x:v>
      </x:c>
      <x:c r="F77" s="1" t="n">
        <x:f>VLOOKUP(A77,'Item inputs'!$A$5:$J$84,6,FALSE)</x:f>
        <x:v>6</x:v>
      </x:c>
      <x:c r="G77" s="1" t="n">
        <x:f>VLOOKUP(A77,'Item inputs'!$A$5:$J$84,7,FALSE)</x:f>
        <x:v>46</x:v>
      </x:c>
      <x:c r="H77" s="1" t="n">
        <x:f>VLOOKUP(A77,'Item inputs'!$A$5:$J$84,8,FALSE)</x:f>
        <x:v>1162</x:v>
      </x:c>
      <x:c r="I77" s="10" t="n">
        <x:f>H77/90</x:f>
        <x:v>12.911111111111111</x:v>
      </x:c>
      <x:c r="J77" s="1" t="n">
        <x:f>ROUNDUP(I77*(D77+$B$3),0)</x:f>
        <x:v>272</x:v>
      </x:c>
      <x:c r="K77" s="1" t="n">
        <x:f>E77-F77+G77</x:f>
        <x:v>743</x:v>
      </x:c>
      <x:c r="L77" s="9" t="n">
        <x:f>E77*C77</x:f>
        <x:v>156790.09</x:v>
      </x:c>
      <x:c r="M77" s="1" t="n">
        <x:f>ROUNDUP(I77*(D77+$B$3+$D$3),0)</x:f>
        <x:v>452</x:v>
      </x:c>
      <x:c r="N77" s="1" t="n">
        <x:f>IF(K77&lt;=J77,MAX(0,M77-K77),0)</x:f>
        <x:v>0</x:v>
      </x:c>
      <x:c r="O77" s="9" t="n">
        <x:f>N77*C77</x:f>
        <x:v>0</x:v>
      </x:c>
      <x:c r="P77" s="9" t="n">
        <x:f>H77*C77</x:f>
        <x:v>259160.86000000002</x:v>
      </x:c>
      <x:c r="Q77" s="9" t="n">
        <x:f>VLOOKUP(A77,'Item inputs'!$A$5:$J$84,9,FALSE)*C77</x:f>
        <x:v>83591.644</x:v>
      </x:c>
      <x:c r="R77" s="1" t="str">
        <x:f>IF(N77&gt;0,"Review order","Monitor")</x:f>
        <x:v>Monitor</x:v>
      </x:c>
    </x:row>
    <x:row r="78" ht="23" customHeight="1">
      <x:c r="A78" s="1" t="str">
        <x:f>'Item inputs'!A77</x:f>
        <x:v>K0073</x:v>
      </x:c>
      <x:c r="B78" s="1" t="str">
        <x:f>VLOOKUP(A78,'Item inputs'!$A$5:$J$84,2,FALSE)</x:f>
        <x:v>Sinks</x:v>
      </x:c>
      <x:c r="C78" s="9" t="n">
        <x:f>VLOOKUP(A78,'Item inputs'!$A$5:$J$84,3,FALSE)</x:f>
        <x:v>228.34</x:v>
      </x:c>
      <x:c r="D78" s="1" t="n">
        <x:f>VLOOKUP(A78,'Item inputs'!$A$5:$J$84,4,FALSE)</x:f>
        <x:v>7</x:v>
      </x:c>
      <x:c r="E78" s="1" t="n">
        <x:f>VLOOKUP(A78,'Item inputs'!$A$5:$J$84,5,FALSE)</x:f>
        <x:v>321</x:v>
      </x:c>
      <x:c r="F78" s="1" t="n">
        <x:f>VLOOKUP(A78,'Item inputs'!$A$5:$J$84,6,FALSE)</x:f>
        <x:v>3</x:v>
      </x:c>
      <x:c r="G78" s="1" t="n">
        <x:f>VLOOKUP(A78,'Item inputs'!$A$5:$J$84,7,FALSE)</x:f>
        <x:v>38</x:v>
      </x:c>
      <x:c r="H78" s="1" t="n">
        <x:f>VLOOKUP(A78,'Item inputs'!$A$5:$J$84,8,FALSE)</x:f>
        <x:v>736</x:v>
      </x:c>
      <x:c r="I78" s="10" t="n">
        <x:f>H78/90</x:f>
        <x:v>8.177777777777777</x:v>
      </x:c>
      <x:c r="J78" s="1" t="n">
        <x:f>ROUNDUP(I78*(D78+$B$3),0)</x:f>
        <x:v>115</x:v>
      </x:c>
      <x:c r="K78" s="1" t="n">
        <x:f>E78-F78+G78</x:f>
        <x:v>356</x:v>
      </x:c>
      <x:c r="L78" s="9" t="n">
        <x:f>E78*C78</x:f>
        <x:v>73297.14</x:v>
      </x:c>
      <x:c r="M78" s="1" t="n">
        <x:f>ROUNDUP(I78*(D78+$B$3+$D$3),0)</x:f>
        <x:v>229</x:v>
      </x:c>
      <x:c r="N78" s="1" t="n">
        <x:f>IF(K78&lt;=J78,MAX(0,M78-K78),0)</x:f>
        <x:v>0</x:v>
      </x:c>
      <x:c r="O78" s="9" t="n">
        <x:f>N78*C78</x:f>
        <x:v>0</x:v>
      </x:c>
      <x:c r="P78" s="9" t="n">
        <x:f>H78*C78</x:f>
        <x:v>168058.24</x:v>
      </x:c>
      <x:c r="Q78" s="9" t="n">
        <x:f>VLOOKUP(A78,'Item inputs'!$A$5:$J$84,9,FALSE)*C78</x:f>
        <x:v>59299.898</x:v>
      </x:c>
      <x:c r="R78" s="1" t="str">
        <x:f>IF(N78&gt;0,"Review order","Monitor")</x:f>
        <x:v>Monitor</x:v>
      </x:c>
    </x:row>
    <x:row r="79" ht="23" customHeight="1">
      <x:c r="A79" s="1" t="str">
        <x:f>'Item inputs'!A78</x:f>
        <x:v>K0074</x:v>
      </x:c>
      <x:c r="B79" s="1" t="str">
        <x:f>VLOOKUP(A79,'Item inputs'!$A$5:$J$84,2,FALSE)</x:f>
        <x:v>Taps</x:v>
      </x:c>
      <x:c r="C79" s="9" t="n">
        <x:f>VLOOKUP(A79,'Item inputs'!$A$5:$J$84,3,FALSE)</x:f>
        <x:v>164.05</x:v>
      </x:c>
      <x:c r="D79" s="1" t="n">
        <x:f>VLOOKUP(A79,'Item inputs'!$A$5:$J$84,4,FALSE)</x:f>
        <x:v>12</x:v>
      </x:c>
      <x:c r="E79" s="1" t="n">
        <x:f>VLOOKUP(A79,'Item inputs'!$A$5:$J$84,5,FALSE)</x:f>
        <x:v>412</x:v>
      </x:c>
      <x:c r="F79" s="1" t="n">
        <x:f>VLOOKUP(A79,'Item inputs'!$A$5:$J$84,6,FALSE)</x:f>
        <x:v>9</x:v>
      </x:c>
      <x:c r="G79" s="1" t="n">
        <x:f>VLOOKUP(A79,'Item inputs'!$A$5:$J$84,7,FALSE)</x:f>
        <x:v>70</x:v>
      </x:c>
      <x:c r="H79" s="1" t="n">
        <x:f>VLOOKUP(A79,'Item inputs'!$A$5:$J$84,8,FALSE)</x:f>
        <x:v>728</x:v>
      </x:c>
      <x:c r="I79" s="10" t="n">
        <x:f>H79/90</x:f>
        <x:v>8.088888888888889</x:v>
      </x:c>
      <x:c r="J79" s="1" t="n">
        <x:f>ROUNDUP(I79*(D79+$B$3),0)</x:f>
        <x:v>154</x:v>
      </x:c>
      <x:c r="K79" s="1" t="n">
        <x:f>E79-F79+G79</x:f>
        <x:v>473</x:v>
      </x:c>
      <x:c r="L79" s="9" t="n">
        <x:f>E79*C79</x:f>
        <x:v>67588.6</x:v>
      </x:c>
      <x:c r="M79" s="1" t="n">
        <x:f>ROUNDUP(I79*(D79+$B$3+$D$3),0)</x:f>
        <x:v>267</x:v>
      </x:c>
      <x:c r="N79" s="1" t="n">
        <x:f>IF(K79&lt;=J79,MAX(0,M79-K79),0)</x:f>
        <x:v>0</x:v>
      </x:c>
      <x:c r="O79" s="9" t="n">
        <x:f>N79*C79</x:f>
        <x:v>0</x:v>
      </x:c>
      <x:c r="P79" s="9" t="n">
        <x:f>H79*C79</x:f>
        <x:v>119428.40000000001</x:v>
      </x:c>
      <x:c r="Q79" s="9" t="n">
        <x:f>VLOOKUP(A79,'Item inputs'!$A$5:$J$84,9,FALSE)*C79</x:f>
        <x:v>24000.515000000003</x:v>
      </x:c>
      <x:c r="R79" s="1" t="str">
        <x:f>IF(N79&gt;0,"Review order","Monitor")</x:f>
        <x:v>Monitor</x:v>
      </x:c>
    </x:row>
    <x:row r="80" ht="23" customHeight="1">
      <x:c r="A80" s="1" t="str">
        <x:f>'Item inputs'!A79</x:f>
        <x:v>K0075</x:v>
      </x:c>
      <x:c r="B80" s="1" t="str">
        <x:f>VLOOKUP(A80,'Item inputs'!$A$5:$J$84,2,FALSE)</x:f>
        <x:v>Hoods</x:v>
      </x:c>
      <x:c r="C80" s="9" t="n">
        <x:f>VLOOKUP(A80,'Item inputs'!$A$5:$J$84,3,FALSE)</x:f>
        <x:v>107.86</x:v>
      </x:c>
      <x:c r="D80" s="1" t="n">
        <x:f>VLOOKUP(A80,'Item inputs'!$A$5:$J$84,4,FALSE)</x:f>
        <x:v>16</x:v>
      </x:c>
      <x:c r="E80" s="1" t="n">
        <x:f>VLOOKUP(A80,'Item inputs'!$A$5:$J$84,5,FALSE)</x:f>
        <x:v>178</x:v>
      </x:c>
      <x:c r="F80" s="1" t="n">
        <x:f>VLOOKUP(A80,'Item inputs'!$A$5:$J$84,6,FALSE)</x:f>
        <x:v>19</x:v>
      </x:c>
      <x:c r="G80" s="1" t="n">
        <x:f>VLOOKUP(A80,'Item inputs'!$A$5:$J$84,7,FALSE)</x:f>
        <x:v>72</x:v>
      </x:c>
      <x:c r="H80" s="1" t="n">
        <x:f>VLOOKUP(A80,'Item inputs'!$A$5:$J$84,8,FALSE)</x:f>
        <x:v>836</x:v>
      </x:c>
      <x:c r="I80" s="10" t="n">
        <x:f>H80/90</x:f>
        <x:v>9.28888888888889</x:v>
      </x:c>
      <x:c r="J80" s="1" t="n">
        <x:f>ROUNDUP(I80*(D80+$B$3),0)</x:f>
        <x:v>214</x:v>
      </x:c>
      <x:c r="K80" s="1" t="n">
        <x:f>E80-F80+G80</x:f>
        <x:v>231</x:v>
      </x:c>
      <x:c r="L80" s="9" t="n">
        <x:f>E80*C80</x:f>
        <x:v>19199.079999999998</x:v>
      </x:c>
      <x:c r="M80" s="1" t="n">
        <x:f>ROUNDUP(I80*(D80+$B$3+$D$3),0)</x:f>
        <x:v>344</x:v>
      </x:c>
      <x:c r="N80" s="1" t="n">
        <x:f>IF(K80&lt;=J80,MAX(0,M80-K80),0)</x:f>
        <x:v>0</x:v>
      </x:c>
      <x:c r="O80" s="9" t="n">
        <x:f>N80*C80</x:f>
        <x:v>0</x:v>
      </x:c>
      <x:c r="P80" s="9" t="n">
        <x:f>H80*C80</x:f>
        <x:v>90170.96</x:v>
      </x:c>
      <x:c r="Q80" s="9" t="n">
        <x:f>VLOOKUP(A80,'Item inputs'!$A$5:$J$84,9,FALSE)*C80</x:f>
        <x:v>24376.36</x:v>
      </x:c>
      <x:c r="R80" s="1" t="str">
        <x:f>IF(N80&gt;0,"Review order","Monitor")</x:f>
        <x:v>Monitor</x:v>
      </x:c>
    </x:row>
    <x:row r="81" ht="23" customHeight="1">
      <x:c r="A81" s="1" t="str">
        <x:f>'Item inputs'!A80</x:f>
        <x:v>K0076</x:v>
      </x:c>
      <x:c r="B81" s="1" t="str">
        <x:f>VLOOKUP(A81,'Item inputs'!$A$5:$J$84,2,FALSE)</x:f>
        <x:v>Accessories</x:v>
      </x:c>
      <x:c r="C81" s="9" t="n">
        <x:f>VLOOKUP(A81,'Item inputs'!$A$5:$J$84,3,FALSE)</x:f>
        <x:v>136.93</x:v>
      </x:c>
      <x:c r="D81" s="1" t="n">
        <x:f>VLOOKUP(A81,'Item inputs'!$A$5:$J$84,4,FALSE)</x:f>
        <x:v>18</x:v>
      </x:c>
      <x:c r="E81" s="1" t="n">
        <x:f>VLOOKUP(A81,'Item inputs'!$A$5:$J$84,5,FALSE)</x:f>
        <x:v>19</x:v>
      </x:c>
      <x:c r="F81" s="1" t="n">
        <x:f>VLOOKUP(A81,'Item inputs'!$A$5:$J$84,6,FALSE)</x:f>
        <x:v>9</x:v>
      </x:c>
      <x:c r="G81" s="1" t="n">
        <x:f>VLOOKUP(A81,'Item inputs'!$A$5:$J$84,7,FALSE)</x:f>
        <x:v>26</x:v>
      </x:c>
      <x:c r="H81" s="1" t="n">
        <x:f>VLOOKUP(A81,'Item inputs'!$A$5:$J$84,8,FALSE)</x:f>
        <x:v>60</x:v>
      </x:c>
      <x:c r="I81" s="10" t="n">
        <x:f>H81/90</x:f>
        <x:v>0.6666666666666666</x:v>
      </x:c>
      <x:c r="J81" s="1" t="n">
        <x:f>ROUNDUP(I81*(D81+$B$3),0)</x:f>
        <x:v>17</x:v>
      </x:c>
      <x:c r="K81" s="1" t="n">
        <x:f>E81-F81+G81</x:f>
        <x:v>36</x:v>
      </x:c>
      <x:c r="L81" s="9" t="n">
        <x:f>E81*C81</x:f>
        <x:v>2601.67</x:v>
      </x:c>
      <x:c r="M81" s="1" t="n">
        <x:f>ROUNDUP(I81*(D81+$B$3+$D$3),0)</x:f>
        <x:v>26</x:v>
      </x:c>
      <x:c r="N81" s="1" t="n">
        <x:f>IF(K81&lt;=J81,MAX(0,M81-K81),0)</x:f>
        <x:v>0</x:v>
      </x:c>
      <x:c r="O81" s="9" t="n">
        <x:f>N81*C81</x:f>
        <x:v>0</x:v>
      </x:c>
      <x:c r="P81" s="9" t="n">
        <x:f>H81*C81</x:f>
        <x:v>8215.800000000001</x:v>
      </x:c>
      <x:c r="Q81" s="9" t="n">
        <x:f>VLOOKUP(A81,'Item inputs'!$A$5:$J$84,9,FALSE)*C81</x:f>
        <x:v>2642.7490000000003</x:v>
      </x:c>
      <x:c r="R81" s="1" t="str">
        <x:f>IF(N81&gt;0,"Review order","Monitor")</x:f>
        <x:v>Monitor</x:v>
      </x:c>
    </x:row>
    <x:row r="82" ht="23" customHeight="1">
      <x:c r="A82" s="1" t="str">
        <x:f>'Item inputs'!A81</x:f>
        <x:v>K0077</x:v>
      </x:c>
      <x:c r="B82" s="1" t="str">
        <x:f>VLOOKUP(A82,'Item inputs'!$A$5:$J$84,2,FALSE)</x:f>
        <x:v>Sinks</x:v>
      </x:c>
      <x:c r="C82" s="9" t="n">
        <x:f>VLOOKUP(A82,'Item inputs'!$A$5:$J$84,3,FALSE)</x:f>
        <x:v>144.24</x:v>
      </x:c>
      <x:c r="D82" s="1" t="n">
        <x:f>VLOOKUP(A82,'Item inputs'!$A$5:$J$84,4,FALSE)</x:f>
        <x:v>25</x:v>
      </x:c>
      <x:c r="E82" s="1" t="n">
        <x:f>VLOOKUP(A82,'Item inputs'!$A$5:$J$84,5,FALSE)</x:f>
        <x:v>476</x:v>
      </x:c>
      <x:c r="F82" s="1" t="n">
        <x:f>VLOOKUP(A82,'Item inputs'!$A$5:$J$84,6,FALSE)</x:f>
        <x:v>14</x:v>
      </x:c>
      <x:c r="G82" s="1" t="n">
        <x:f>VLOOKUP(A82,'Item inputs'!$A$5:$J$84,7,FALSE)</x:f>
        <x:v>56</x:v>
      </x:c>
      <x:c r="H82" s="1" t="n">
        <x:f>VLOOKUP(A82,'Item inputs'!$A$5:$J$84,8,FALSE)</x:f>
        <x:v>719</x:v>
      </x:c>
      <x:c r="I82" s="10" t="n">
        <x:f>H82/90</x:f>
        <x:v>7.988888888888889</x:v>
      </x:c>
      <x:c r="J82" s="1" t="n">
        <x:f>ROUNDUP(I82*(D82+$B$3),0)</x:f>
        <x:v>256</x:v>
      </x:c>
      <x:c r="K82" s="1" t="n">
        <x:f>E82-F82+G82</x:f>
        <x:v>518</x:v>
      </x:c>
      <x:c r="L82" s="9" t="n">
        <x:f>E82*C82</x:f>
        <x:v>68658.24</x:v>
      </x:c>
      <x:c r="M82" s="1" t="n">
        <x:f>ROUNDUP(I82*(D82+$B$3+$D$3),0)</x:f>
        <x:v>368</x:v>
      </x:c>
      <x:c r="N82" s="1" t="n">
        <x:f>IF(K82&lt;=J82,MAX(0,M82-K82),0)</x:f>
        <x:v>0</x:v>
      </x:c>
      <x:c r="O82" s="9" t="n">
        <x:f>N82*C82</x:f>
        <x:v>0</x:v>
      </x:c>
      <x:c r="P82" s="9" t="n">
        <x:f>H82*C82</x:f>
        <x:v>103708.56000000001</x:v>
      </x:c>
      <x:c r="Q82" s="9" t="n">
        <x:f>VLOOKUP(A82,'Item inputs'!$A$5:$J$84,9,FALSE)*C82</x:f>
        <x:v>43589.328</x:v>
      </x:c>
      <x:c r="R82" s="1" t="str">
        <x:f>IF(N82&gt;0,"Review order","Monitor")</x:f>
        <x:v>Monitor</x:v>
      </x:c>
    </x:row>
    <x:row r="83" ht="23" customHeight="1">
      <x:c r="A83" s="1" t="str">
        <x:f>'Item inputs'!A82</x:f>
        <x:v>K0078</x:v>
      </x:c>
      <x:c r="B83" s="1" t="str">
        <x:f>VLOOKUP(A83,'Item inputs'!$A$5:$J$84,2,FALSE)</x:f>
        <x:v>Taps</x:v>
      </x:c>
      <x:c r="C83" s="9" t="n">
        <x:f>VLOOKUP(A83,'Item inputs'!$A$5:$J$84,3,FALSE)</x:f>
        <x:v>128.55</x:v>
      </x:c>
      <x:c r="D83" s="1" t="n">
        <x:f>VLOOKUP(A83,'Item inputs'!$A$5:$J$84,4,FALSE)</x:f>
        <x:v>14</x:v>
      </x:c>
      <x:c r="E83" s="1" t="n">
        <x:f>VLOOKUP(A83,'Item inputs'!$A$5:$J$84,5,FALSE)</x:f>
        <x:v>43</x:v>
      </x:c>
      <x:c r="F83" s="1" t="n">
        <x:f>VLOOKUP(A83,'Item inputs'!$A$5:$J$84,6,FALSE)</x:f>
        <x:v>9</x:v>
      </x:c>
      <x:c r="G83" s="1" t="n">
        <x:f>VLOOKUP(A83,'Item inputs'!$A$5:$J$84,7,FALSE)</x:f>
        <x:v>65</x:v>
      </x:c>
      <x:c r="H83" s="1" t="n">
        <x:f>VLOOKUP(A83,'Item inputs'!$A$5:$J$84,8,FALSE)</x:f>
        <x:v>407</x:v>
      </x:c>
      <x:c r="I83" s="10" t="n">
        <x:f>H83/90</x:f>
        <x:v>4.522222222222222</x:v>
      </x:c>
      <x:c r="J83" s="1" t="n">
        <x:f>ROUNDUP(I83*(D83+$B$3),0)</x:f>
        <x:v>95</x:v>
      </x:c>
      <x:c r="K83" s="1" t="n">
        <x:f>E83-F83+G83</x:f>
        <x:v>99</x:v>
      </x:c>
      <x:c r="L83" s="9" t="n">
        <x:f>E83*C83</x:f>
        <x:v>5527.650000000001</x:v>
      </x:c>
      <x:c r="M83" s="1" t="n">
        <x:f>ROUNDUP(I83*(D83+$B$3+$D$3),0)</x:f>
        <x:v>159</x:v>
      </x:c>
      <x:c r="N83" s="1" t="n">
        <x:f>IF(K83&lt;=J83,MAX(0,M83-K83),0)</x:f>
        <x:v>0</x:v>
      </x:c>
      <x:c r="O83" s="9" t="n">
        <x:f>N83*C83</x:f>
        <x:v>0</x:v>
      </x:c>
      <x:c r="P83" s="9" t="n">
        <x:f>H83*C83</x:f>
        <x:v>52319.850000000006</x:v>
      </x:c>
      <x:c r="Q83" s="9" t="n">
        <x:f>VLOOKUP(A83,'Item inputs'!$A$5:$J$84,9,FALSE)*C83</x:f>
        <x:v>21737.805</x:v>
      </x:c>
      <x:c r="R83" s="1" t="str">
        <x:f>IF(N83&gt;0,"Review order","Monitor")</x:f>
        <x:v>Monitor</x:v>
      </x:c>
    </x:row>
    <x:row r="84" ht="23" customHeight="1">
      <x:c r="A84" s="1" t="str">
        <x:f>'Item inputs'!A83</x:f>
        <x:v>K0079</x:v>
      </x:c>
      <x:c r="B84" s="1" t="str">
        <x:f>VLOOKUP(A84,'Item inputs'!$A$5:$J$84,2,FALSE)</x:f>
        <x:v>Hoods</x:v>
      </x:c>
      <x:c r="C84" s="9" t="n">
        <x:f>VLOOKUP(A84,'Item inputs'!$A$5:$J$84,3,FALSE)</x:f>
        <x:v>153.19</x:v>
      </x:c>
      <x:c r="D84" s="1" t="n">
        <x:f>VLOOKUP(A84,'Item inputs'!$A$5:$J$84,4,FALSE)</x:f>
        <x:v>7</x:v>
      </x:c>
      <x:c r="E84" s="1" t="n">
        <x:f>VLOOKUP(A84,'Item inputs'!$A$5:$J$84,5,FALSE)</x:f>
        <x:v>192</x:v>
      </x:c>
      <x:c r="F84" s="1" t="n">
        <x:f>VLOOKUP(A84,'Item inputs'!$A$5:$J$84,6,FALSE)</x:f>
        <x:v>7</x:v>
      </x:c>
      <x:c r="G84" s="1" t="n">
        <x:f>VLOOKUP(A84,'Item inputs'!$A$5:$J$84,7,FALSE)</x:f>
        <x:v>39</x:v>
      </x:c>
      <x:c r="H84" s="1" t="n">
        <x:f>VLOOKUP(A84,'Item inputs'!$A$5:$J$84,8,FALSE)</x:f>
        <x:v>251</x:v>
      </x:c>
      <x:c r="I84" s="10" t="n">
        <x:f>H84/90</x:f>
        <x:v>2.7888888888888888</x:v>
      </x:c>
      <x:c r="J84" s="1" t="n">
        <x:f>ROUNDUP(I84*(D84+$B$3),0)</x:f>
        <x:v>40</x:v>
      </x:c>
      <x:c r="K84" s="1" t="n">
        <x:f>E84-F84+G84</x:f>
        <x:v>224</x:v>
      </x:c>
      <x:c r="L84" s="9" t="n">
        <x:f>E84*C84</x:f>
        <x:v>29412.48</x:v>
      </x:c>
      <x:c r="M84" s="1" t="n">
        <x:f>ROUNDUP(I84*(D84+$B$3+$D$3),0)</x:f>
        <x:v>79</x:v>
      </x:c>
      <x:c r="N84" s="1" t="n">
        <x:f>IF(K84&lt;=J84,MAX(0,M84-K84),0)</x:f>
        <x:v>0</x:v>
      </x:c>
      <x:c r="O84" s="9" t="n">
        <x:f>N84*C84</x:f>
        <x:v>0</x:v>
      </x:c>
      <x:c r="P84" s="9" t="n">
        <x:f>H84*C84</x:f>
        <x:v>38450.69</x:v>
      </x:c>
      <x:c r="Q84" s="9" t="n">
        <x:f>VLOOKUP(A84,'Item inputs'!$A$5:$J$84,9,FALSE)*C84</x:f>
        <x:v>9222.038</x:v>
      </x:c>
      <x:c r="R84" s="1" t="str">
        <x:f>IF(N84&gt;0,"Review order","Monitor")</x:f>
        <x:v>Monitor</x:v>
      </x:c>
    </x:row>
    <x:row r="85" ht="23" customHeight="1">
      <x:c r="A85" s="1" t="str">
        <x:f>'Item inputs'!A84</x:f>
        <x:v>K0080</x:v>
      </x:c>
      <x:c r="B85" s="1" t="str">
        <x:f>VLOOKUP(A85,'Item inputs'!$A$5:$J$84,2,FALSE)</x:f>
        <x:v>Accessories</x:v>
      </x:c>
      <x:c r="C85" s="9" t="n">
        <x:f>VLOOKUP(A85,'Item inputs'!$A$5:$J$84,3,FALSE)</x:f>
        <x:v>57.4</x:v>
      </x:c>
      <x:c r="D85" s="1" t="n">
        <x:f>VLOOKUP(A85,'Item inputs'!$A$5:$J$84,4,FALSE)</x:f>
        <x:v>12</x:v>
      </x:c>
      <x:c r="E85" s="1" t="n">
        <x:f>VLOOKUP(A85,'Item inputs'!$A$5:$J$84,5,FALSE)</x:f>
        <x:v>5</x:v>
      </x:c>
      <x:c r="F85" s="1" t="n">
        <x:f>VLOOKUP(A85,'Item inputs'!$A$5:$J$84,6,FALSE)</x:f>
        <x:v>7</x:v>
      </x:c>
      <x:c r="G85" s="1" t="n">
        <x:f>VLOOKUP(A85,'Item inputs'!$A$5:$J$84,7,FALSE)</x:f>
        <x:v>60</x:v>
      </x:c>
      <x:c r="H85" s="1" t="n">
        <x:f>VLOOKUP(A85,'Item inputs'!$A$5:$J$84,8,FALSE)</x:f>
        <x:v>110</x:v>
      </x:c>
      <x:c r="I85" s="10" t="n">
        <x:f>H85/90</x:f>
        <x:v>1.2222222222222223</x:v>
      </x:c>
      <x:c r="J85" s="1" t="n">
        <x:f>ROUNDUP(I85*(D85+$B$3),0)</x:f>
        <x:v>24</x:v>
      </x:c>
      <x:c r="K85" s="1" t="n">
        <x:f>E85-F85+G85</x:f>
        <x:v>58</x:v>
      </x:c>
      <x:c r="L85" s="9" t="n">
        <x:f>E85*C85</x:f>
        <x:v>287</x:v>
      </x:c>
      <x:c r="M85" s="1" t="n">
        <x:f>ROUNDUP(I85*(D85+$B$3+$D$3),0)</x:f>
        <x:v>41</x:v>
      </x:c>
      <x:c r="N85" s="1" t="n">
        <x:f>IF(K85&lt;=J85,MAX(0,M85-K85),0)</x:f>
        <x:v>0</x:v>
      </x:c>
      <x:c r="O85" s="9" t="n">
        <x:f>N85*C85</x:f>
        <x:v>0</x:v>
      </x:c>
      <x:c r="P85" s="9" t="n">
        <x:f>H85*C85</x:f>
        <x:v>6314</x:v>
      </x:c>
      <x:c r="Q85" s="9" t="n">
        <x:f>VLOOKUP(A85,'Item inputs'!$A$5:$J$84,9,FALSE)*C85</x:f>
        <x:v>2491.16</x:v>
      </x:c>
      <x:c r="R85" s="1" t="str">
        <x:f>IF(N85&gt;0,"Review order","Monitor")</x:f>
        <x:v>Monitor</x:v>
      </x:c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</x:sheetData>
  <x:conditionalFormatting sqref="N6:N85">
    <x:cfRule type="cellIs" dxfId="0" priority="1" operator="greaterThan">
      <x:formula>0</x:formula>
    </x:cfRule>
  </x:conditionalFormatting>
  <x:dataValidations count="2">
    <x:dataValidation type="whole" operator="between" sqref="B3">
      <x:formula1>0</x:formula1>
      <x:formula2>90</x:formula2>
    </x:dataValidation>
    <x:dataValidation type="whole" operator="between" sqref="D3">
      <x:formula1>0</x:formula1>
      <x:formula2>90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586cb49dc041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 t="str">
        <x:v>Source: generated synthetic data, seed 42. Not Franke or live SAP data.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8" customHeight="1">
      <x:c r="A4" s="5" t="str">
        <x:v>Item</x:v>
      </x:c>
      <x:c r="B4" s="5" t="str">
        <x:v>Category</x:v>
      </x:c>
      <x:c r="C4" s="5" t="str">
        <x:v>Unit cost GBP</x:v>
      </x:c>
      <x:c r="D4" s="5" t="str">
        <x:v>Lead days</x:v>
      </x:c>
      <x:c r="E4" s="5" t="str">
        <x:v>On hand</x:v>
      </x:c>
      <x:c r="F4" s="5" t="str">
        <x:v>Allocated</x:v>
      </x:c>
      <x:c r="G4" s="5" t="str">
        <x:v>On order</x:v>
      </x:c>
      <x:c r="H4" s="5" t="str">
        <x:v>Demand 90d</x:v>
      </x:c>
      <x:c r="I4" s="5" t="str">
        <x:v>Avg stock 90d</x:v>
      </x:c>
      <x:c r="J4" s="5" t="str">
        <x:v>Supplier</x:v>
      </x:c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 t="str">
        <x:v>K0001</x:v>
      </x:c>
      <x:c r="B5" s="1" t="str">
        <x:v>Sinks</x:v>
      </x:c>
      <x:c r="C5" s="9" t="n">
        <x:v>157.79</x:v>
      </x:c>
      <x:c r="D5" s="1" t="n">
        <x:v>7</x:v>
      </x:c>
      <x:c r="E5" s="1" t="n">
        <x:v>35</x:v>
      </x:c>
      <x:c r="F5" s="1" t="n">
        <x:v>7</x:v>
      </x:c>
      <x:c r="G5" s="1" t="n">
        <x:v>28</x:v>
      </x:c>
      <x:c r="H5" s="1" t="n">
        <x:v>111</x:v>
      </x:c>
      <x:c r="I5" s="10" t="n">
        <x:v>22.8</x:v>
      </x:c>
      <x:c r="J5" s="1" t="str">
        <x:v>S001</x:v>
      </x:c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 t="str">
        <x:v>K0002</x:v>
      </x:c>
      <x:c r="B6" s="1" t="str">
        <x:v>Taps</x:v>
      </x:c>
      <x:c r="C6" s="9" t="n">
        <x:v>35.37</x:v>
      </x:c>
      <x:c r="D6" s="1" t="n">
        <x:v>12</x:v>
      </x:c>
      <x:c r="E6" s="1" t="n">
        <x:v>89</x:v>
      </x:c>
      <x:c r="F6" s="1" t="n">
        <x:v>18</x:v>
      </x:c>
      <x:c r="G6" s="1" t="n">
        <x:v>54</x:v>
      </x:c>
      <x:c r="H6" s="1" t="n">
        <x:v>1176</x:v>
      </x:c>
      <x:c r="I6" s="10" t="n">
        <x:v>191.4</x:v>
      </x:c>
      <x:c r="J6" s="1" t="str">
        <x:v>S002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 t="str">
        <x:v>K0003</x:v>
      </x:c>
      <x:c r="B7" s="1" t="str">
        <x:v>Hoods</x:v>
      </x:c>
      <x:c r="C7" s="9" t="n">
        <x:v>33.36</x:v>
      </x:c>
      <x:c r="D7" s="1" t="n">
        <x:v>16</x:v>
      </x:c>
      <x:c r="E7" s="1" t="n">
        <x:v>258</x:v>
      </x:c>
      <x:c r="F7" s="1" t="n">
        <x:v>19</x:v>
      </x:c>
      <x:c r="G7" s="1" t="n">
        <x:v>3</x:v>
      </x:c>
      <x:c r="H7" s="1" t="n">
        <x:v>536</x:v>
      </x:c>
      <x:c r="I7" s="10" t="n">
        <x:v>200.7</x:v>
      </x:c>
      <x:c r="J7" s="1" t="str">
        <x:v>S003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" t="str">
        <x:v>K0004</x:v>
      </x:c>
      <x:c r="B8" s="1" t="str">
        <x:v>Accessories</x:v>
      </x:c>
      <x:c r="C8" s="9" t="n">
        <x:v>175.25</x:v>
      </x:c>
      <x:c r="D8" s="1" t="n">
        <x:v>18</x:v>
      </x:c>
      <x:c r="E8" s="1" t="n">
        <x:v>429</x:v>
      </x:c>
      <x:c r="F8" s="1" t="n">
        <x:v>7</x:v>
      </x:c>
      <x:c r="G8" s="1" t="n">
        <x:v>57</x:v>
      </x:c>
      <x:c r="H8" s="1" t="n">
        <x:v>1176</x:v>
      </x:c>
      <x:c r="I8" s="10" t="n">
        <x:v>453.6</x:v>
      </x:c>
      <x:c r="J8" s="1" t="str">
        <x:v>S004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" t="str">
        <x:v>K0005</x:v>
      </x:c>
      <x:c r="B9" s="1" t="str">
        <x:v>Sinks</x:v>
      </x:c>
      <x:c r="C9" s="9" t="n">
        <x:v>196.55</x:v>
      </x:c>
      <x:c r="D9" s="1" t="n">
        <x:v>25</x:v>
      </x:c>
      <x:c r="E9" s="1" t="n">
        <x:v>48</x:v>
      </x:c>
      <x:c r="F9" s="1" t="n">
        <x:v>5</x:v>
      </x:c>
      <x:c r="G9" s="1" t="n">
        <x:v>54</x:v>
      </x:c>
      <x:c r="H9" s="1" t="n">
        <x:v>73</x:v>
      </x:c>
      <x:c r="I9" s="10" t="n">
        <x:v>20.9</x:v>
      </x:c>
      <x:c r="J9" s="1" t="str">
        <x:v>S005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 t="str">
        <x:v>K0006</x:v>
      </x:c>
      <x:c r="B10" s="1" t="str">
        <x:v>Taps</x:v>
      </x:c>
      <x:c r="C10" s="9" t="n">
        <x:v>47.45</x:v>
      </x:c>
      <x:c r="D10" s="1" t="n">
        <x:v>14</x:v>
      </x:c>
      <x:c r="E10" s="1" t="n">
        <x:v>104</x:v>
      </x:c>
      <x:c r="F10" s="1" t="n">
        <x:v>2</x:v>
      </x:c>
      <x:c r="G10" s="1" t="n">
        <x:v>48</x:v>
      </x:c>
      <x:c r="H10" s="1" t="n">
        <x:v>749</x:v>
      </x:c>
      <x:c r="I10" s="10" t="n">
        <x:v>141.3</x:v>
      </x:c>
      <x:c r="J10" s="1" t="str">
        <x:v>S006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" t="str">
        <x:v>K0007</x:v>
      </x:c>
      <x:c r="B11" s="1" t="str">
        <x:v>Hoods</x:v>
      </x:c>
      <x:c r="C11" s="9" t="n">
        <x:v>205.23</x:v>
      </x:c>
      <x:c r="D11" s="1" t="n">
        <x:v>7</x:v>
      </x:c>
      <x:c r="E11" s="1" t="n">
        <x:v>413</x:v>
      </x:c>
      <x:c r="F11" s="1" t="n">
        <x:v>1</x:v>
      </x:c>
      <x:c r="G11" s="1" t="n">
        <x:v>58</x:v>
      </x:c>
      <x:c r="H11" s="1" t="n">
        <x:v>601</x:v>
      </x:c>
      <x:c r="I11" s="10" t="n">
        <x:v>219.1</x:v>
      </x:c>
      <x:c r="J11" s="1" t="str">
        <x:v>S001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" t="str">
        <x:v>K0008</x:v>
      </x:c>
      <x:c r="B12" s="1" t="str">
        <x:v>Accessories</x:v>
      </x:c>
      <x:c r="C12" s="9" t="n">
        <x:v>233.87</x:v>
      </x:c>
      <x:c r="D12" s="1" t="n">
        <x:v>12</x:v>
      </x:c>
      <x:c r="E12" s="1" t="n">
        <x:v>80</x:v>
      </x:c>
      <x:c r="F12" s="1" t="n">
        <x:v>17</x:v>
      </x:c>
      <x:c r="G12" s="1" t="n">
        <x:v>37</x:v>
      </x:c>
      <x:c r="H12" s="1" t="n">
        <x:v>835</x:v>
      </x:c>
      <x:c r="I12" s="10" t="n">
        <x:v>402.3</x:v>
      </x:c>
      <x:c r="J12" s="1" t="str">
        <x:v>S002</x:v>
      </x:c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 t="str">
        <x:v>K0009</x:v>
      </x:c>
      <x:c r="B13" s="1" t="str">
        <x:v>Sinks</x:v>
      </x:c>
      <x:c r="C13" s="9" t="n">
        <x:v>153.02</x:v>
      </x:c>
      <x:c r="D13" s="1" t="n">
        <x:v>16</x:v>
      </x:c>
      <x:c r="E13" s="1" t="n">
        <x:v>591</x:v>
      </x:c>
      <x:c r="F13" s="1" t="n">
        <x:v>6</x:v>
      </x:c>
      <x:c r="G13" s="1" t="n">
        <x:v>8</x:v>
      </x:c>
      <x:c r="H13" s="1" t="n">
        <x:v>800</x:v>
      </x:c>
      <x:c r="I13" s="10" t="n">
        <x:v>134.7</x:v>
      </x:c>
      <x:c r="J13" s="1" t="str">
        <x:v>S003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 t="str">
        <x:v>K0010</x:v>
      </x:c>
      <x:c r="B14" s="1" t="str">
        <x:v>Taps</x:v>
      </x:c>
      <x:c r="C14" s="9" t="n">
        <x:v>63.96</x:v>
      </x:c>
      <x:c r="D14" s="1" t="n">
        <x:v>18</x:v>
      </x:c>
      <x:c r="E14" s="1" t="n">
        <x:v>81</x:v>
      </x:c>
      <x:c r="F14" s="1" t="n">
        <x:v>7</x:v>
      </x:c>
      <x:c r="G14" s="1" t="n">
        <x:v>12</x:v>
      </x:c>
      <x:c r="H14" s="1" t="n">
        <x:v>652</x:v>
      </x:c>
      <x:c r="I14" s="10" t="n">
        <x:v>196.9</x:v>
      </x:c>
      <x:c r="J14" s="1" t="str">
        <x:v>S004</x:v>
      </x:c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 t="str">
        <x:v>K0011</x:v>
      </x:c>
      <x:c r="B15" s="1" t="str">
        <x:v>Hoods</x:v>
      </x:c>
      <x:c r="C15" s="9" t="n">
        <x:v>115.38</x:v>
      </x:c>
      <x:c r="D15" s="1" t="n">
        <x:v>25</x:v>
      </x:c>
      <x:c r="E15" s="1" t="n">
        <x:v>166</x:v>
      </x:c>
      <x:c r="F15" s="1" t="n">
        <x:v>11</x:v>
      </x:c>
      <x:c r="G15" s="1" t="n">
        <x:v>45</x:v>
      </x:c>
      <x:c r="H15" s="1" t="n">
        <x:v>807</x:v>
      </x:c>
      <x:c r="I15" s="10" t="n">
        <x:v>188.7</x:v>
      </x:c>
      <x:c r="J15" s="1" t="str">
        <x:v>S005</x:v>
      </x:c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 t="str">
        <x:v>K0012</x:v>
      </x:c>
      <x:c r="B16" s="1" t="str">
        <x:v>Accessories</x:v>
      </x:c>
      <x:c r="C16" s="9" t="n">
        <x:v>72.87</x:v>
      </x:c>
      <x:c r="D16" s="1" t="n">
        <x:v>14</x:v>
      </x:c>
      <x:c r="E16" s="1" t="n">
        <x:v>155</x:v>
      </x:c>
      <x:c r="F16" s="1" t="n">
        <x:v>20</x:v>
      </x:c>
      <x:c r="G16" s="1" t="n">
        <x:v>21</x:v>
      </x:c>
      <x:c r="H16" s="1" t="n">
        <x:v>206</x:v>
      </x:c>
      <x:c r="I16" s="10" t="n">
        <x:v>74.9</x:v>
      </x:c>
      <x:c r="J16" s="1" t="str">
        <x:v>S006</x:v>
      </x:c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 t="str">
        <x:v>K0013</x:v>
      </x:c>
      <x:c r="B17" s="1" t="str">
        <x:v>Sinks</x:v>
      </x:c>
      <x:c r="C17" s="9" t="n">
        <x:v>67.82</x:v>
      </x:c>
      <x:c r="D17" s="1" t="n">
        <x:v>7</x:v>
      </x:c>
      <x:c r="E17" s="1" t="n">
        <x:v>388</x:v>
      </x:c>
      <x:c r="F17" s="1" t="n">
        <x:v>8</x:v>
      </x:c>
      <x:c r="G17" s="1" t="n">
        <x:v>71</x:v>
      </x:c>
      <x:c r="H17" s="1" t="n">
        <x:v>1006</x:v>
      </x:c>
      <x:c r="I17" s="10" t="n">
        <x:v>239.3</x:v>
      </x:c>
      <x:c r="J17" s="1" t="str">
        <x:v>S001</x:v>
      </x:c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 t="str">
        <x:v>K0014</x:v>
      </x:c>
      <x:c r="B18" s="1" t="str">
        <x:v>Taps</x:v>
      </x:c>
      <x:c r="C18" s="9" t="n">
        <x:v>85.94</x:v>
      </x:c>
      <x:c r="D18" s="1" t="n">
        <x:v>12</x:v>
      </x:c>
      <x:c r="E18" s="1" t="n">
        <x:v>58</x:v>
      </x:c>
      <x:c r="F18" s="1" t="n">
        <x:v>1</x:v>
      </x:c>
      <x:c r="G18" s="1" t="n">
        <x:v>40</x:v>
      </x:c>
      <x:c r="H18" s="1" t="n">
        <x:v>174</x:v>
      </x:c>
      <x:c r="I18" s="10" t="n">
        <x:v>54</x:v>
      </x:c>
      <x:c r="J18" s="1" t="str">
        <x:v>S002</x:v>
      </x:c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 t="str">
        <x:v>K0015</x:v>
      </x:c>
      <x:c r="B19" s="1" t="str">
        <x:v>Hoods</x:v>
      </x:c>
      <x:c r="C19" s="9" t="n">
        <x:v>27.09</x:v>
      </x:c>
      <x:c r="D19" s="1" t="n">
        <x:v>16</x:v>
      </x:c>
      <x:c r="E19" s="1" t="n">
        <x:v>217</x:v>
      </x:c>
      <x:c r="F19" s="1" t="n">
        <x:v>20</x:v>
      </x:c>
      <x:c r="G19" s="1" t="n">
        <x:v>63</x:v>
      </x:c>
      <x:c r="H19" s="1" t="n">
        <x:v>704</x:v>
      </x:c>
      <x:c r="I19" s="10" t="n">
        <x:v>217</x:v>
      </x:c>
      <x:c r="J19" s="1" t="str">
        <x:v>S003</x:v>
      </x:c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 t="str">
        <x:v>K0016</x:v>
      </x:c>
      <x:c r="B20" s="1" t="str">
        <x:v>Accessories</x:v>
      </x:c>
      <x:c r="C20" s="9" t="n">
        <x:v>220.52</x:v>
      </x:c>
      <x:c r="D20" s="1" t="n">
        <x:v>18</x:v>
      </x:c>
      <x:c r="E20" s="1" t="n">
        <x:v>146</x:v>
      </x:c>
      <x:c r="F20" s="1" t="n">
        <x:v>8</x:v>
      </x:c>
      <x:c r="G20" s="1" t="n">
        <x:v>17</x:v>
      </x:c>
      <x:c r="H20" s="1" t="n">
        <x:v>999</x:v>
      </x:c>
      <x:c r="I20" s="10" t="n">
        <x:v>248.4</x:v>
      </x:c>
      <x:c r="J20" s="1" t="str">
        <x:v>S004</x:v>
      </x:c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 t="str">
        <x:v>K0017</x:v>
      </x:c>
      <x:c r="B21" s="1" t="str">
        <x:v>Sinks</x:v>
      </x:c>
      <x:c r="C21" s="9" t="n">
        <x:v>139.99</x:v>
      </x:c>
      <x:c r="D21" s="1" t="n">
        <x:v>25</x:v>
      </x:c>
      <x:c r="E21" s="1" t="n">
        <x:v>382</x:v>
      </x:c>
      <x:c r="F21" s="1" t="n">
        <x:v>18</x:v>
      </x:c>
      <x:c r="G21" s="1" t="n">
        <x:v>54</x:v>
      </x:c>
      <x:c r="H21" s="1" t="n">
        <x:v>598</x:v>
      </x:c>
      <x:c r="I21" s="10" t="n">
        <x:v>304.5</x:v>
      </x:c>
      <x:c r="J21" s="1" t="str">
        <x:v>S005</x:v>
      </x:c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1" t="str">
        <x:v>K0018</x:v>
      </x:c>
      <x:c r="B22" s="1" t="str">
        <x:v>Taps</x:v>
      </x:c>
      <x:c r="C22" s="9" t="n">
        <x:v>103.06</x:v>
      </x:c>
      <x:c r="D22" s="1" t="n">
        <x:v>14</x:v>
      </x:c>
      <x:c r="E22" s="1" t="n">
        <x:v>70</x:v>
      </x:c>
      <x:c r="F22" s="1" t="n">
        <x:v>16</x:v>
      </x:c>
      <x:c r="G22" s="1" t="n">
        <x:v>63</x:v>
      </x:c>
      <x:c r="H22" s="1" t="n">
        <x:v>509</x:v>
      </x:c>
      <x:c r="I22" s="10" t="n">
        <x:v>94.9</x:v>
      </x:c>
      <x:c r="J22" s="1" t="str">
        <x:v>S006</x:v>
      </x:c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 t="str">
        <x:v>K0019</x:v>
      </x:c>
      <x:c r="B23" s="1" t="str">
        <x:v>Hoods</x:v>
      </x:c>
      <x:c r="C23" s="9" t="n">
        <x:v>22.74</x:v>
      </x:c>
      <x:c r="D23" s="1" t="n">
        <x:v>7</x:v>
      </x:c>
      <x:c r="E23" s="1" t="n">
        <x:v>39</x:v>
      </x:c>
      <x:c r="F23" s="1" t="n">
        <x:v>20</x:v>
      </x:c>
      <x:c r="G23" s="1" t="n">
        <x:v>20</x:v>
      </x:c>
      <x:c r="H23" s="1" t="n">
        <x:v>284</x:v>
      </x:c>
      <x:c r="I23" s="10" t="n">
        <x:v>132.6</x:v>
      </x:c>
      <x:c r="J23" s="1" t="str">
        <x:v>S001</x:v>
      </x:c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 t="str">
        <x:v>K0020</x:v>
      </x:c>
      <x:c r="B24" s="1" t="str">
        <x:v>Accessories</x:v>
      </x:c>
      <x:c r="C24" s="9" t="n">
        <x:v>108.25</x:v>
      </x:c>
      <x:c r="D24" s="1" t="n">
        <x:v>12</x:v>
      </x:c>
      <x:c r="E24" s="1" t="n">
        <x:v>98</x:v>
      </x:c>
      <x:c r="F24" s="1" t="n">
        <x:v>12</x:v>
      </x:c>
      <x:c r="G24" s="1" t="n">
        <x:v>76</x:v>
      </x:c>
      <x:c r="H24" s="1" t="n">
        <x:v>190</x:v>
      </x:c>
      <x:c r="I24" s="10" t="n">
        <x:v>104.2</x:v>
      </x:c>
      <x:c r="J24" s="1" t="str">
        <x:v>S002</x:v>
      </x:c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 t="str">
        <x:v>K0021</x:v>
      </x:c>
      <x:c r="B25" s="1" t="str">
        <x:v>Sinks</x:v>
      </x:c>
      <x:c r="C25" s="9" t="n">
        <x:v>132.64</x:v>
      </x:c>
      <x:c r="D25" s="1" t="n">
        <x:v>16</x:v>
      </x:c>
      <x:c r="E25" s="1" t="n">
        <x:v>881</x:v>
      </x:c>
      <x:c r="F25" s="1" t="n">
        <x:v>0</x:v>
      </x:c>
      <x:c r="G25" s="1" t="n">
        <x:v>14</x:v>
      </x:c>
      <x:c r="H25" s="1" t="n">
        <x:v>1193</x:v>
      </x:c>
      <x:c r="I25" s="10" t="n">
        <x:v>504.3</x:v>
      </x:c>
      <x:c r="J25" s="1" t="str">
        <x:v>S003</x:v>
      </x:c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 t="str">
        <x:v>K0022</x:v>
      </x:c>
      <x:c r="B26" s="1" t="str">
        <x:v>Taps</x:v>
      </x:c>
      <x:c r="C26" s="9" t="n">
        <x:v>134.43</x:v>
      </x:c>
      <x:c r="D26" s="1" t="n">
        <x:v>18</x:v>
      </x:c>
      <x:c r="E26" s="1" t="n">
        <x:v>393</x:v>
      </x:c>
      <x:c r="F26" s="1" t="n">
        <x:v>20</x:v>
      </x:c>
      <x:c r="G26" s="1" t="n">
        <x:v>43</x:v>
      </x:c>
      <x:c r="H26" s="1" t="n">
        <x:v>606</x:v>
      </x:c>
      <x:c r="I26" s="10" t="n">
        <x:v>117.9</x:v>
      </x:c>
      <x:c r="J26" s="1" t="str">
        <x:v>S004</x:v>
      </x:c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 t="str">
        <x:v>K0023</x:v>
      </x:c>
      <x:c r="B27" s="1" t="str">
        <x:v>Hoods</x:v>
      </x:c>
      <x:c r="C27" s="9" t="n">
        <x:v>111.13</x:v>
      </x:c>
      <x:c r="D27" s="1" t="n">
        <x:v>25</x:v>
      </x:c>
      <x:c r="E27" s="1" t="n">
        <x:v>3</x:v>
      </x:c>
      <x:c r="F27" s="1" t="n">
        <x:v>8</x:v>
      </x:c>
      <x:c r="G27" s="1" t="n">
        <x:v>64</x:v>
      </x:c>
      <x:c r="H27" s="1" t="n">
        <x:v>989</x:v>
      </x:c>
      <x:c r="I27" s="10" t="n">
        <x:v>449.8</x:v>
      </x:c>
      <x:c r="J27" s="1" t="str">
        <x:v>S005</x:v>
      </x:c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 t="str">
        <x:v>K0024</x:v>
      </x:c>
      <x:c r="B28" s="1" t="str">
        <x:v>Accessories</x:v>
      </x:c>
      <x:c r="C28" s="9" t="n">
        <x:v>127.75</x:v>
      </x:c>
      <x:c r="D28" s="1" t="n">
        <x:v>14</x:v>
      </x:c>
      <x:c r="E28" s="1" t="n">
        <x:v>160</x:v>
      </x:c>
      <x:c r="F28" s="1" t="n">
        <x:v>9</x:v>
      </x:c>
      <x:c r="G28" s="1" t="n">
        <x:v>64</x:v>
      </x:c>
      <x:c r="H28" s="1" t="n">
        <x:v>277</x:v>
      </x:c>
      <x:c r="I28" s="10" t="n">
        <x:v>109</x:v>
      </x:c>
      <x:c r="J28" s="1" t="str">
        <x:v>S006</x:v>
      </x:c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 t="str">
        <x:v>K0025</x:v>
      </x:c>
      <x:c r="B29" s="1" t="str">
        <x:v>Sinks</x:v>
      </x:c>
      <x:c r="C29" s="9" t="n">
        <x:v>46.85</x:v>
      </x:c>
      <x:c r="D29" s="1" t="n">
        <x:v>7</x:v>
      </x:c>
      <x:c r="E29" s="1" t="n">
        <x:v>276</x:v>
      </x:c>
      <x:c r="F29" s="1" t="n">
        <x:v>16</x:v>
      </x:c>
      <x:c r="G29" s="1" t="n">
        <x:v>0</x:v>
      </x:c>
      <x:c r="H29" s="1" t="n">
        <x:v>390</x:v>
      </x:c>
      <x:c r="I29" s="10" t="n">
        <x:v>151.9</x:v>
      </x:c>
      <x:c r="J29" s="1" t="str">
        <x:v>S001</x:v>
      </x:c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 t="str">
        <x:v>K0026</x:v>
      </x:c>
      <x:c r="B30" s="1" t="str">
        <x:v>Taps</x:v>
      </x:c>
      <x:c r="C30" s="9" t="n">
        <x:v>123.4</x:v>
      </x:c>
      <x:c r="D30" s="1" t="n">
        <x:v>12</x:v>
      </x:c>
      <x:c r="E30" s="1" t="n">
        <x:v>92</x:v>
      </x:c>
      <x:c r="F30" s="1" t="n">
        <x:v>9</x:v>
      </x:c>
      <x:c r="G30" s="1" t="n">
        <x:v>30</x:v>
      </x:c>
      <x:c r="H30" s="1" t="n">
        <x:v>289</x:v>
      </x:c>
      <x:c r="I30" s="10" t="n">
        <x:v>50</x:v>
      </x:c>
      <x:c r="J30" s="1" t="str">
        <x:v>S002</x:v>
      </x:c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 t="str">
        <x:v>K0027</x:v>
      </x:c>
      <x:c r="B31" s="1" t="str">
        <x:v>Hoods</x:v>
      </x:c>
      <x:c r="C31" s="9" t="n">
        <x:v>212.19</x:v>
      </x:c>
      <x:c r="D31" s="1" t="n">
        <x:v>16</x:v>
      </x:c>
      <x:c r="E31" s="1" t="n">
        <x:v>21</x:v>
      </x:c>
      <x:c r="F31" s="1" t="n">
        <x:v>15</x:v>
      </x:c>
      <x:c r="G31" s="1" t="n">
        <x:v>8</x:v>
      </x:c>
      <x:c r="H31" s="1" t="n">
        <x:v>221</x:v>
      </x:c>
      <x:c r="I31" s="10" t="n">
        <x:v>119.6</x:v>
      </x:c>
      <x:c r="J31" s="1" t="str">
        <x:v>S003</x:v>
      </x:c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 t="str">
        <x:v>K0028</x:v>
      </x:c>
      <x:c r="B32" s="1" t="str">
        <x:v>Accessories</x:v>
      </x:c>
      <x:c r="C32" s="9" t="n">
        <x:v>133.46</x:v>
      </x:c>
      <x:c r="D32" s="1" t="n">
        <x:v>18</x:v>
      </x:c>
      <x:c r="E32" s="1" t="n">
        <x:v>32</x:v>
      </x:c>
      <x:c r="F32" s="1" t="n">
        <x:v>15</x:v>
      </x:c>
      <x:c r="G32" s="1" t="n">
        <x:v>70</x:v>
      </x:c>
      <x:c r="H32" s="1" t="n">
        <x:v>317</x:v>
      </x:c>
      <x:c r="I32" s="10" t="n">
        <x:v>68.5</x:v>
      </x:c>
      <x:c r="J32" s="1" t="str">
        <x:v>S004</x:v>
      </x:c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 t="str">
        <x:v>K0029</x:v>
      </x:c>
      <x:c r="B33" s="1" t="str">
        <x:v>Sinks</x:v>
      </x:c>
      <x:c r="C33" s="9" t="n">
        <x:v>132.31</x:v>
      </x:c>
      <x:c r="D33" s="1" t="n">
        <x:v>25</x:v>
      </x:c>
      <x:c r="E33" s="1" t="n">
        <x:v>216</x:v>
      </x:c>
      <x:c r="F33" s="1" t="n">
        <x:v>17</x:v>
      </x:c>
      <x:c r="G33" s="1" t="n">
        <x:v>25</x:v>
      </x:c>
      <x:c r="H33" s="1" t="n">
        <x:v>926</x:v>
      </x:c>
      <x:c r="I33" s="10" t="n">
        <x:v>403</x:v>
      </x:c>
      <x:c r="J33" s="1" t="str">
        <x:v>S005</x:v>
      </x:c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 t="str">
        <x:v>K0030</x:v>
      </x:c>
      <x:c r="B34" s="1" t="str">
        <x:v>Taps</x:v>
      </x:c>
      <x:c r="C34" s="9" t="n">
        <x:v>102.97</x:v>
      </x:c>
      <x:c r="D34" s="1" t="n">
        <x:v>14</x:v>
      </x:c>
      <x:c r="E34" s="1" t="n">
        <x:v>448</x:v>
      </x:c>
      <x:c r="F34" s="1" t="n">
        <x:v>16</x:v>
      </x:c>
      <x:c r="G34" s="1" t="n">
        <x:v>57</x:v>
      </x:c>
      <x:c r="H34" s="1" t="n">
        <x:v>824</x:v>
      </x:c>
      <x:c r="I34" s="10" t="n">
        <x:v>163.5</x:v>
      </x:c>
      <x:c r="J34" s="1" t="str">
        <x:v>S006</x:v>
      </x:c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 t="str">
        <x:v>K0031</x:v>
      </x:c>
      <x:c r="B35" s="1" t="str">
        <x:v>Hoods</x:v>
      </x:c>
      <x:c r="C35" s="9" t="n">
        <x:v>63.23</x:v>
      </x:c>
      <x:c r="D35" s="1" t="n">
        <x:v>7</x:v>
      </x:c>
      <x:c r="E35" s="1" t="n">
        <x:v>21</x:v>
      </x:c>
      <x:c r="F35" s="1" t="n">
        <x:v>18</x:v>
      </x:c>
      <x:c r="G35" s="1" t="n">
        <x:v>70</x:v>
      </x:c>
      <x:c r="H35" s="1" t="n">
        <x:v>752</x:v>
      </x:c>
      <x:c r="I35" s="10" t="n">
        <x:v>182</x:v>
      </x:c>
      <x:c r="J35" s="1" t="str">
        <x:v>S001</x:v>
      </x:c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 t="str">
        <x:v>K0032</x:v>
      </x:c>
      <x:c r="B36" s="1" t="str">
        <x:v>Accessories</x:v>
      </x:c>
      <x:c r="C36" s="9" t="n">
        <x:v>62.21</x:v>
      </x:c>
      <x:c r="D36" s="1" t="n">
        <x:v>12</x:v>
      </x:c>
      <x:c r="E36" s="1" t="n">
        <x:v>161</x:v>
      </x:c>
      <x:c r="F36" s="1" t="n">
        <x:v>1</x:v>
      </x:c>
      <x:c r="G36" s="1" t="n">
        <x:v>29</x:v>
      </x:c>
      <x:c r="H36" s="1" t="n">
        <x:v>205</x:v>
      </x:c>
      <x:c r="I36" s="10" t="n">
        <x:v>36.3</x:v>
      </x:c>
      <x:c r="J36" s="1" t="str">
        <x:v>S002</x:v>
      </x:c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 t="str">
        <x:v>K0033</x:v>
      </x:c>
      <x:c r="B37" s="1" t="str">
        <x:v>Sinks</x:v>
      </x:c>
      <x:c r="C37" s="9" t="n">
        <x:v>19.16</x:v>
      </x:c>
      <x:c r="D37" s="1" t="n">
        <x:v>16</x:v>
      </x:c>
      <x:c r="E37" s="1" t="n">
        <x:v>72</x:v>
      </x:c>
      <x:c r="F37" s="1" t="n">
        <x:v>16</x:v>
      </x:c>
      <x:c r="G37" s="1" t="n">
        <x:v>30</x:v>
      </x:c>
      <x:c r="H37" s="1" t="n">
        <x:v>736</x:v>
      </x:c>
      <x:c r="I37" s="10" t="n">
        <x:v>192.4</x:v>
      </x:c>
      <x:c r="J37" s="1" t="str">
        <x:v>S003</x:v>
      </x:c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 t="str">
        <x:v>K0034</x:v>
      </x:c>
      <x:c r="B38" s="1" t="str">
        <x:v>Taps</x:v>
      </x:c>
      <x:c r="C38" s="9" t="n">
        <x:v>122.67</x:v>
      </x:c>
      <x:c r="D38" s="1" t="n">
        <x:v>18</x:v>
      </x:c>
      <x:c r="E38" s="1" t="n">
        <x:v>135</x:v>
      </x:c>
      <x:c r="F38" s="1" t="n">
        <x:v>18</x:v>
      </x:c>
      <x:c r="G38" s="1" t="n">
        <x:v>73</x:v>
      </x:c>
      <x:c r="H38" s="1" t="n">
        <x:v>1164</x:v>
      </x:c>
      <x:c r="I38" s="10" t="n">
        <x:v>394.7</x:v>
      </x:c>
      <x:c r="J38" s="1" t="str">
        <x:v>S004</x:v>
      </x:c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 t="str">
        <x:v>K0035</x:v>
      </x:c>
      <x:c r="B39" s="1" t="str">
        <x:v>Hoods</x:v>
      </x:c>
      <x:c r="C39" s="9" t="n">
        <x:v>190.89</x:v>
      </x:c>
      <x:c r="D39" s="1" t="n">
        <x:v>25</x:v>
      </x:c>
      <x:c r="E39" s="1" t="n">
        <x:v>194</x:v>
      </x:c>
      <x:c r="F39" s="1" t="n">
        <x:v>3</x:v>
      </x:c>
      <x:c r="G39" s="1" t="n">
        <x:v>12</x:v>
      </x:c>
      <x:c r="H39" s="1" t="n">
        <x:v>893</x:v>
      </x:c>
      <x:c r="I39" s="10" t="n">
        <x:v>369.3</x:v>
      </x:c>
      <x:c r="J39" s="1" t="str">
        <x:v>S005</x:v>
      </x:c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 t="str">
        <x:v>K0036</x:v>
      </x:c>
      <x:c r="B40" s="1" t="str">
        <x:v>Accessories</x:v>
      </x:c>
      <x:c r="C40" s="9" t="n">
        <x:v>92.78</x:v>
      </x:c>
      <x:c r="D40" s="1" t="n">
        <x:v>14</x:v>
      </x:c>
      <x:c r="E40" s="1" t="n">
        <x:v>478</x:v>
      </x:c>
      <x:c r="F40" s="1" t="n">
        <x:v>1</x:v>
      </x:c>
      <x:c r="G40" s="1" t="n">
        <x:v>12</x:v>
      </x:c>
      <x:c r="H40" s="1" t="n">
        <x:v>901</x:v>
      </x:c>
      <x:c r="I40" s="10" t="n">
        <x:v>157</x:v>
      </x:c>
      <x:c r="J40" s="1" t="str">
        <x:v>S006</x:v>
      </x:c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 t="str">
        <x:v>K0037</x:v>
      </x:c>
      <x:c r="B41" s="1" t="str">
        <x:v>Sinks</x:v>
      </x:c>
      <x:c r="C41" s="9" t="n">
        <x:v>178.03</x:v>
      </x:c>
      <x:c r="D41" s="1" t="n">
        <x:v>7</x:v>
      </x:c>
      <x:c r="E41" s="1" t="n">
        <x:v>63</x:v>
      </x:c>
      <x:c r="F41" s="1" t="n">
        <x:v>6</x:v>
      </x:c>
      <x:c r="G41" s="1" t="n">
        <x:v>24</x:v>
      </x:c>
      <x:c r="H41" s="1" t="n">
        <x:v>283</x:v>
      </x:c>
      <x:c r="I41" s="10" t="n">
        <x:v>103.2</x:v>
      </x:c>
      <x:c r="J41" s="1" t="str">
        <x:v>S001</x:v>
      </x:c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 t="str">
        <x:v>K0038</x:v>
      </x:c>
      <x:c r="B42" s="1" t="str">
        <x:v>Taps</x:v>
      </x:c>
      <x:c r="C42" s="9" t="n">
        <x:v>43.96</x:v>
      </x:c>
      <x:c r="D42" s="1" t="n">
        <x:v>12</x:v>
      </x:c>
      <x:c r="E42" s="1" t="n">
        <x:v>142</x:v>
      </x:c>
      <x:c r="F42" s="1" t="n">
        <x:v>14</x:v>
      </x:c>
      <x:c r="G42" s="1" t="n">
        <x:v>31</x:v>
      </x:c>
      <x:c r="H42" s="1" t="n">
        <x:v>435</x:v>
      </x:c>
      <x:c r="I42" s="10" t="n">
        <x:v>217.4</x:v>
      </x:c>
      <x:c r="J42" s="1" t="str">
        <x:v>S002</x:v>
      </x:c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 t="str">
        <x:v>K0039</x:v>
      </x:c>
      <x:c r="B43" s="1" t="str">
        <x:v>Hoods</x:v>
      </x:c>
      <x:c r="C43" s="9" t="n">
        <x:v>29.19</x:v>
      </x:c>
      <x:c r="D43" s="1" t="n">
        <x:v>16</x:v>
      </x:c>
      <x:c r="E43" s="1" t="n">
        <x:v>100</x:v>
      </x:c>
      <x:c r="F43" s="1" t="n">
        <x:v>1</x:v>
      </x:c>
      <x:c r="G43" s="1" t="n">
        <x:v>69</x:v>
      </x:c>
      <x:c r="H43" s="1" t="n">
        <x:v>1187</x:v>
      </x:c>
      <x:c r="I43" s="10" t="n">
        <x:v>575</x:v>
      </x:c>
      <x:c r="J43" s="1" t="str">
        <x:v>S003</x:v>
      </x:c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 t="str">
        <x:v>K0040</x:v>
      </x:c>
      <x:c r="B44" s="1" t="str">
        <x:v>Accessories</x:v>
      </x:c>
      <x:c r="C44" s="9" t="n">
        <x:v>232.93</x:v>
      </x:c>
      <x:c r="D44" s="1" t="n">
        <x:v>18</x:v>
      </x:c>
      <x:c r="E44" s="1" t="n">
        <x:v>85</x:v>
      </x:c>
      <x:c r="F44" s="1" t="n">
        <x:v>13</x:v>
      </x:c>
      <x:c r="G44" s="1" t="n">
        <x:v>62</x:v>
      </x:c>
      <x:c r="H44" s="1" t="n">
        <x:v>544</x:v>
      </x:c>
      <x:c r="I44" s="10" t="n">
        <x:v>186.3</x:v>
      </x:c>
      <x:c r="J44" s="1" t="str">
        <x:v>S004</x:v>
      </x:c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 t="str">
        <x:v>K0041</x:v>
      </x:c>
      <x:c r="B45" s="1" t="str">
        <x:v>Sinks</x:v>
      </x:c>
      <x:c r="C45" s="9" t="n">
        <x:v>209.14</x:v>
      </x:c>
      <x:c r="D45" s="1" t="n">
        <x:v>25</x:v>
      </x:c>
      <x:c r="E45" s="1" t="n">
        <x:v>42</x:v>
      </x:c>
      <x:c r="F45" s="1" t="n">
        <x:v>12</x:v>
      </x:c>
      <x:c r="G45" s="1" t="n">
        <x:v>0</x:v>
      </x:c>
      <x:c r="H45" s="1" t="n">
        <x:v>180</x:v>
      </x:c>
      <x:c r="I45" s="10" t="n">
        <x:v>97.9</x:v>
      </x:c>
      <x:c r="J45" s="1" t="str">
        <x:v>S005</x:v>
      </x:c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 t="str">
        <x:v>K0042</x:v>
      </x:c>
      <x:c r="B46" s="1" t="str">
        <x:v>Taps</x:v>
      </x:c>
      <x:c r="C46" s="9" t="n">
        <x:v>72.47</x:v>
      </x:c>
      <x:c r="D46" s="1" t="n">
        <x:v>14</x:v>
      </x:c>
      <x:c r="E46" s="1" t="n">
        <x:v>292</x:v>
      </x:c>
      <x:c r="F46" s="1" t="n">
        <x:v>13</x:v>
      </x:c>
      <x:c r="G46" s="1" t="n">
        <x:v>71</x:v>
      </x:c>
      <x:c r="H46" s="1" t="n">
        <x:v>991</x:v>
      </x:c>
      <x:c r="I46" s="10" t="n">
        <x:v>411</x:v>
      </x:c>
      <x:c r="J46" s="1" t="str">
        <x:v>S006</x:v>
      </x:c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 t="str">
        <x:v>K0043</x:v>
      </x:c>
      <x:c r="B47" s="1" t="str">
        <x:v>Hoods</x:v>
      </x:c>
      <x:c r="C47" s="9" t="n">
        <x:v>122.96</x:v>
      </x:c>
      <x:c r="D47" s="1" t="n">
        <x:v>7</x:v>
      </x:c>
      <x:c r="E47" s="1" t="n">
        <x:v>151</x:v>
      </x:c>
      <x:c r="F47" s="1" t="n">
        <x:v>6</x:v>
      </x:c>
      <x:c r="G47" s="1" t="n">
        <x:v>7</x:v>
      </x:c>
      <x:c r="H47" s="1" t="n">
        <x:v>448</x:v>
      </x:c>
      <x:c r="I47" s="10" t="n">
        <x:v>171</x:v>
      </x:c>
      <x:c r="J47" s="1" t="str">
        <x:v>S001</x:v>
      </x:c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 t="str">
        <x:v>K0044</x:v>
      </x:c>
      <x:c r="B48" s="1" t="str">
        <x:v>Accessories</x:v>
      </x:c>
      <x:c r="C48" s="9" t="n">
        <x:v>135.62</x:v>
      </x:c>
      <x:c r="D48" s="1" t="n">
        <x:v>12</x:v>
      </x:c>
      <x:c r="E48" s="1" t="n">
        <x:v>58</x:v>
      </x:c>
      <x:c r="F48" s="1" t="n">
        <x:v>1</x:v>
      </x:c>
      <x:c r="G48" s="1" t="n">
        <x:v>74</x:v>
      </x:c>
      <x:c r="H48" s="1" t="n">
        <x:v>702</x:v>
      </x:c>
      <x:c r="I48" s="10" t="n">
        <x:v>239.2</x:v>
      </x:c>
      <x:c r="J48" s="1" t="str">
        <x:v>S002</x:v>
      </x:c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 t="str">
        <x:v>K0045</x:v>
      </x:c>
      <x:c r="B49" s="1" t="str">
        <x:v>Sinks</x:v>
      </x:c>
      <x:c r="C49" s="9" t="n">
        <x:v>221.62</x:v>
      </x:c>
      <x:c r="D49" s="1" t="n">
        <x:v>16</x:v>
      </x:c>
      <x:c r="E49" s="1" t="n">
        <x:v>161</x:v>
      </x:c>
      <x:c r="F49" s="1" t="n">
        <x:v>1</x:v>
      </x:c>
      <x:c r="G49" s="1" t="n">
        <x:v>65</x:v>
      </x:c>
      <x:c r="H49" s="1" t="n">
        <x:v>1147</x:v>
      </x:c>
      <x:c r="I49" s="10" t="n">
        <x:v>208.8</x:v>
      </x:c>
      <x:c r="J49" s="1" t="str">
        <x:v>S003</x:v>
      </x:c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 t="str">
        <x:v>K0046</x:v>
      </x:c>
      <x:c r="B50" s="1" t="str">
        <x:v>Taps</x:v>
      </x:c>
      <x:c r="C50" s="9" t="n">
        <x:v>54.37</x:v>
      </x:c>
      <x:c r="D50" s="1" t="n">
        <x:v>18</x:v>
      </x:c>
      <x:c r="E50" s="1" t="n">
        <x:v>60</x:v>
      </x:c>
      <x:c r="F50" s="1" t="n">
        <x:v>12</x:v>
      </x:c>
      <x:c r="G50" s="1" t="n">
        <x:v>15</x:v>
      </x:c>
      <x:c r="H50" s="1" t="n">
        <x:v>199</x:v>
      </x:c>
      <x:c r="I50" s="10" t="n">
        <x:v>104.8</x:v>
      </x:c>
      <x:c r="J50" s="1" t="str">
        <x:v>S004</x:v>
      </x:c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 t="str">
        <x:v>K0047</x:v>
      </x:c>
      <x:c r="B51" s="1" t="str">
        <x:v>Hoods</x:v>
      </x:c>
      <x:c r="C51" s="9" t="n">
        <x:v>141.89</x:v>
      </x:c>
      <x:c r="D51" s="1" t="n">
        <x:v>25</x:v>
      </x:c>
      <x:c r="E51" s="1" t="n">
        <x:v>79</x:v>
      </x:c>
      <x:c r="F51" s="1" t="n">
        <x:v>2</x:v>
      </x:c>
      <x:c r="G51" s="1" t="n">
        <x:v>53</x:v>
      </x:c>
      <x:c r="H51" s="1" t="n">
        <x:v>141</x:v>
      </x:c>
      <x:c r="I51" s="10" t="n">
        <x:v>58.2</x:v>
      </x:c>
      <x:c r="J51" s="1" t="str">
        <x:v>S005</x:v>
      </x:c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 t="str">
        <x:v>K0048</x:v>
      </x:c>
      <x:c r="B52" s="1" t="str">
        <x:v>Accessories</x:v>
      </x:c>
      <x:c r="C52" s="9" t="n">
        <x:v>140.87</x:v>
      </x:c>
      <x:c r="D52" s="1" t="n">
        <x:v>14</x:v>
      </x:c>
      <x:c r="E52" s="1" t="n">
        <x:v>267</x:v>
      </x:c>
      <x:c r="F52" s="1" t="n">
        <x:v>6</x:v>
      </x:c>
      <x:c r="G52" s="1" t="n">
        <x:v>40</x:v>
      </x:c>
      <x:c r="H52" s="1" t="n">
        <x:v>707</x:v>
      </x:c>
      <x:c r="I52" s="10" t="n">
        <x:v>173.6</x:v>
      </x:c>
      <x:c r="J52" s="1" t="str">
        <x:v>S006</x:v>
      </x:c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 t="str">
        <x:v>K0049</x:v>
      </x:c>
      <x:c r="B53" s="1" t="str">
        <x:v>Sinks</x:v>
      </x:c>
      <x:c r="C53" s="9" t="n">
        <x:v>102.24</x:v>
      </x:c>
      <x:c r="D53" s="1" t="n">
        <x:v>7</x:v>
      </x:c>
      <x:c r="E53" s="1" t="n">
        <x:v>468</x:v>
      </x:c>
      <x:c r="F53" s="1" t="n">
        <x:v>10</x:v>
      </x:c>
      <x:c r="G53" s="1" t="n">
        <x:v>9</x:v>
      </x:c>
      <x:c r="H53" s="1" t="n">
        <x:v>674</x:v>
      </x:c>
      <x:c r="I53" s="10" t="n">
        <x:v>103.6</x:v>
      </x:c>
      <x:c r="J53" s="1" t="str">
        <x:v>S001</x:v>
      </x:c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 t="str">
        <x:v>K0050</x:v>
      </x:c>
      <x:c r="B54" s="1" t="str">
        <x:v>Taps</x:v>
      </x:c>
      <x:c r="C54" s="9" t="n">
        <x:v>153.62</x:v>
      </x:c>
      <x:c r="D54" s="1" t="n">
        <x:v>12</x:v>
      </x:c>
      <x:c r="E54" s="1" t="n">
        <x:v>18</x:v>
      </x:c>
      <x:c r="F54" s="1" t="n">
        <x:v>17</x:v>
      </x:c>
      <x:c r="G54" s="1" t="n">
        <x:v>27</x:v>
      </x:c>
      <x:c r="H54" s="1" t="n">
        <x:v>264</x:v>
      </x:c>
      <x:c r="I54" s="10" t="n">
        <x:v>93</x:v>
      </x:c>
      <x:c r="J54" s="1" t="str">
        <x:v>S002</x:v>
      </x:c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 t="str">
        <x:v>K0051</x:v>
      </x:c>
      <x:c r="B55" s="1" t="str">
        <x:v>Hoods</x:v>
      </x:c>
      <x:c r="C55" s="9" t="n">
        <x:v>42.2</x:v>
      </x:c>
      <x:c r="D55" s="1" t="n">
        <x:v>16</x:v>
      </x:c>
      <x:c r="E55" s="1" t="n">
        <x:v>70</x:v>
      </x:c>
      <x:c r="F55" s="1" t="n">
        <x:v>7</x:v>
      </x:c>
      <x:c r="G55" s="1" t="n">
        <x:v>47</x:v>
      </x:c>
      <x:c r="H55" s="1" t="n">
        <x:v>774</x:v>
      </x:c>
      <x:c r="I55" s="10" t="n">
        <x:v>204.3</x:v>
      </x:c>
      <x:c r="J55" s="1" t="str">
        <x:v>S003</x:v>
      </x:c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 t="str">
        <x:v>K0052</x:v>
      </x:c>
      <x:c r="B56" s="1" t="str">
        <x:v>Accessories</x:v>
      </x:c>
      <x:c r="C56" s="9" t="n">
        <x:v>111.91</x:v>
      </x:c>
      <x:c r="D56" s="1" t="n">
        <x:v>18</x:v>
      </x:c>
      <x:c r="E56" s="1" t="n">
        <x:v>720</x:v>
      </x:c>
      <x:c r="F56" s="1" t="n">
        <x:v>9</x:v>
      </x:c>
      <x:c r="G56" s="1" t="n">
        <x:v>78</x:v>
      </x:c>
      <x:c r="H56" s="1" t="n">
        <x:v>1172</x:v>
      </x:c>
      <x:c r="I56" s="10" t="n">
        <x:v>637</x:v>
      </x:c>
      <x:c r="J56" s="1" t="str">
        <x:v>S004</x:v>
      </x:c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 t="str">
        <x:v>K0053</x:v>
      </x:c>
      <x:c r="B57" s="1" t="str">
        <x:v>Sinks</x:v>
      </x:c>
      <x:c r="C57" s="9" t="n">
        <x:v>196.02</x:v>
      </x:c>
      <x:c r="D57" s="1" t="n">
        <x:v>25</x:v>
      </x:c>
      <x:c r="E57" s="1" t="n">
        <x:v>8</x:v>
      </x:c>
      <x:c r="F57" s="1" t="n">
        <x:v>17</x:v>
      </x:c>
      <x:c r="G57" s="1" t="n">
        <x:v>38</x:v>
      </x:c>
      <x:c r="H57" s="1" t="n">
        <x:v>1143</x:v>
      </x:c>
      <x:c r="I57" s="10" t="n">
        <x:v>597.4</x:v>
      </x:c>
      <x:c r="J57" s="1" t="str">
        <x:v>S005</x:v>
      </x:c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 t="str">
        <x:v>K0054</x:v>
      </x:c>
      <x:c r="B58" s="1" t="str">
        <x:v>Taps</x:v>
      </x:c>
      <x:c r="C58" s="9" t="n">
        <x:v>35.62</x:v>
      </x:c>
      <x:c r="D58" s="1" t="n">
        <x:v>14</x:v>
      </x:c>
      <x:c r="E58" s="1" t="n">
        <x:v>135</x:v>
      </x:c>
      <x:c r="F58" s="1" t="n">
        <x:v>3</x:v>
      </x:c>
      <x:c r="G58" s="1" t="n">
        <x:v>13</x:v>
      </x:c>
      <x:c r="H58" s="1" t="n">
        <x:v>335</x:v>
      </x:c>
      <x:c r="I58" s="10" t="n">
        <x:v>149.7</x:v>
      </x:c>
      <x:c r="J58" s="1" t="str">
        <x:v>S006</x:v>
      </x:c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 t="str">
        <x:v>K0055</x:v>
      </x:c>
      <x:c r="B59" s="1" t="str">
        <x:v>Hoods</x:v>
      </x:c>
      <x:c r="C59" s="9" t="n">
        <x:v>47.44</x:v>
      </x:c>
      <x:c r="D59" s="1" t="n">
        <x:v>7</x:v>
      </x:c>
      <x:c r="E59" s="1" t="n">
        <x:v>309</x:v>
      </x:c>
      <x:c r="F59" s="1" t="n">
        <x:v>6</x:v>
      </x:c>
      <x:c r="G59" s="1" t="n">
        <x:v>43</x:v>
      </x:c>
      <x:c r="H59" s="1" t="n">
        <x:v>637</x:v>
      </x:c>
      <x:c r="I59" s="10" t="n">
        <x:v>147.4</x:v>
      </x:c>
      <x:c r="J59" s="1" t="str">
        <x:v>S001</x:v>
      </x:c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 t="str">
        <x:v>K0056</x:v>
      </x:c>
      <x:c r="B60" s="1" t="str">
        <x:v>Accessories</x:v>
      </x:c>
      <x:c r="C60" s="9" t="n">
        <x:v>156.61</x:v>
      </x:c>
      <x:c r="D60" s="1" t="n">
        <x:v>12</x:v>
      </x:c>
      <x:c r="E60" s="1" t="n">
        <x:v>258</x:v>
      </x:c>
      <x:c r="F60" s="1" t="n">
        <x:v>15</x:v>
      </x:c>
      <x:c r="G60" s="1" t="n">
        <x:v>32</x:v>
      </x:c>
      <x:c r="H60" s="1" t="n">
        <x:v>600</x:v>
      </x:c>
      <x:c r="I60" s="10" t="n">
        <x:v>307.3</x:v>
      </x:c>
      <x:c r="J60" s="1" t="str">
        <x:v>S002</x:v>
      </x:c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 t="str">
        <x:v>K0057</x:v>
      </x:c>
      <x:c r="B61" s="1" t="str">
        <x:v>Sinks</x:v>
      </x:c>
      <x:c r="C61" s="9" t="n">
        <x:v>204.91</x:v>
      </x:c>
      <x:c r="D61" s="1" t="n">
        <x:v>16</x:v>
      </x:c>
      <x:c r="E61" s="1" t="n">
        <x:v>162</x:v>
      </x:c>
      <x:c r="F61" s="1" t="n">
        <x:v>13</x:v>
      </x:c>
      <x:c r="G61" s="1" t="n">
        <x:v>35</x:v>
      </x:c>
      <x:c r="H61" s="1" t="n">
        <x:v>249</x:v>
      </x:c>
      <x:c r="I61" s="10" t="n">
        <x:v>41.7</x:v>
      </x:c>
      <x:c r="J61" s="1" t="str">
        <x:v>S003</x:v>
      </x:c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 t="str">
        <x:v>K0058</x:v>
      </x:c>
      <x:c r="B62" s="1" t="str">
        <x:v>Taps</x:v>
      </x:c>
      <x:c r="C62" s="9" t="n">
        <x:v>88.05</x:v>
      </x:c>
      <x:c r="D62" s="1" t="n">
        <x:v>18</x:v>
      </x:c>
      <x:c r="E62" s="1" t="n">
        <x:v>134</x:v>
      </x:c>
      <x:c r="F62" s="1" t="n">
        <x:v>5</x:v>
      </x:c>
      <x:c r="G62" s="1" t="n">
        <x:v>56</x:v>
      </x:c>
      <x:c r="H62" s="1" t="n">
        <x:v>327</x:v>
      </x:c>
      <x:c r="I62" s="10" t="n">
        <x:v>121.2</x:v>
      </x:c>
      <x:c r="J62" s="1" t="str">
        <x:v>S004</x:v>
      </x:c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 t="str">
        <x:v>K0059</x:v>
      </x:c>
      <x:c r="B63" s="1" t="str">
        <x:v>Hoods</x:v>
      </x:c>
      <x:c r="C63" s="9" t="n">
        <x:v>109.51</x:v>
      </x:c>
      <x:c r="D63" s="1" t="n">
        <x:v>25</x:v>
      </x:c>
      <x:c r="E63" s="1" t="n">
        <x:v>14</x:v>
      </x:c>
      <x:c r="F63" s="1" t="n">
        <x:v>2</x:v>
      </x:c>
      <x:c r="G63" s="1" t="n">
        <x:v>19</x:v>
      </x:c>
      <x:c r="H63" s="1" t="n">
        <x:v>79</x:v>
      </x:c>
      <x:c r="I63" s="10" t="n">
        <x:v>29.1</x:v>
      </x:c>
      <x:c r="J63" s="1" t="str">
        <x:v>S005</x:v>
      </x:c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 t="str">
        <x:v>K0060</x:v>
      </x:c>
      <x:c r="B64" s="1" t="str">
        <x:v>Accessories</x:v>
      </x:c>
      <x:c r="C64" s="9" t="n">
        <x:v>202.29</x:v>
      </x:c>
      <x:c r="D64" s="1" t="n">
        <x:v>14</x:v>
      </x:c>
      <x:c r="E64" s="1" t="n">
        <x:v>151</x:v>
      </x:c>
      <x:c r="F64" s="1" t="n">
        <x:v>13</x:v>
      </x:c>
      <x:c r="G64" s="1" t="n">
        <x:v>16</x:v>
      </x:c>
      <x:c r="H64" s="1" t="n">
        <x:v>1191</x:v>
      </x:c>
      <x:c r="I64" s="10" t="n">
        <x:v>198.6</x:v>
      </x:c>
      <x:c r="J64" s="1" t="str">
        <x:v>S006</x:v>
      </x:c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 t="str">
        <x:v>K0061</x:v>
      </x:c>
      <x:c r="B65" s="1" t="str">
        <x:v>Sinks</x:v>
      </x:c>
      <x:c r="C65" s="9" t="n">
        <x:v>95.14</x:v>
      </x:c>
      <x:c r="D65" s="1" t="n">
        <x:v>7</x:v>
      </x:c>
      <x:c r="E65" s="1" t="n">
        <x:v>45</x:v>
      </x:c>
      <x:c r="F65" s="1" t="n">
        <x:v>6</x:v>
      </x:c>
      <x:c r="G65" s="1" t="n">
        <x:v>31</x:v>
      </x:c>
      <x:c r="H65" s="1" t="n">
        <x:v>141</x:v>
      </x:c>
      <x:c r="I65" s="10" t="n">
        <x:v>58.8</x:v>
      </x:c>
      <x:c r="J65" s="1" t="str">
        <x:v>S001</x:v>
      </x:c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 t="str">
        <x:v>K0062</x:v>
      </x:c>
      <x:c r="B66" s="1" t="str">
        <x:v>Taps</x:v>
      </x:c>
      <x:c r="C66" s="9" t="n">
        <x:v>92.64</x:v>
      </x:c>
      <x:c r="D66" s="1" t="n">
        <x:v>12</x:v>
      </x:c>
      <x:c r="E66" s="1" t="n">
        <x:v>635</x:v>
      </x:c>
      <x:c r="F66" s="1" t="n">
        <x:v>4</x:v>
      </x:c>
      <x:c r="G66" s="1" t="n">
        <x:v>30</x:v>
      </x:c>
      <x:c r="H66" s="1" t="n">
        <x:v>892</x:v>
      </x:c>
      <x:c r="I66" s="10" t="n">
        <x:v>442.3</x:v>
      </x:c>
      <x:c r="J66" s="1" t="str">
        <x:v>S002</x:v>
      </x:c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 t="str">
        <x:v>K0063</x:v>
      </x:c>
      <x:c r="B67" s="1" t="str">
        <x:v>Hoods</x:v>
      </x:c>
      <x:c r="C67" s="9" t="n">
        <x:v>234.57</x:v>
      </x:c>
      <x:c r="D67" s="1" t="n">
        <x:v>16</x:v>
      </x:c>
      <x:c r="E67" s="1" t="n">
        <x:v>211</x:v>
      </x:c>
      <x:c r="F67" s="1" t="n">
        <x:v>0</x:v>
      </x:c>
      <x:c r="G67" s="1" t="n">
        <x:v>22</x:v>
      </x:c>
      <x:c r="H67" s="1" t="n">
        <x:v>422</x:v>
      </x:c>
      <x:c r="I67" s="10" t="n">
        <x:v>187.6</x:v>
      </x:c>
      <x:c r="J67" s="1" t="str">
        <x:v>S003</x:v>
      </x:c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 t="str">
        <x:v>K0064</x:v>
      </x:c>
      <x:c r="B68" s="1" t="str">
        <x:v>Accessories</x:v>
      </x:c>
      <x:c r="C68" s="9" t="n">
        <x:v>87.74</x:v>
      </x:c>
      <x:c r="D68" s="1" t="n">
        <x:v>18</x:v>
      </x:c>
      <x:c r="E68" s="1" t="n">
        <x:v>685</x:v>
      </x:c>
      <x:c r="F68" s="1" t="n">
        <x:v>7</x:v>
      </x:c>
      <x:c r="G68" s="1" t="n">
        <x:v>34</x:v>
      </x:c>
      <x:c r="H68" s="1" t="n">
        <x:v>903</x:v>
      </x:c>
      <x:c r="I68" s="10" t="n">
        <x:v>193</x:v>
      </x:c>
      <x:c r="J68" s="1" t="str">
        <x:v>S004</x:v>
      </x:c>
      <x:c r="K68" s="1"/>
      <x:c r="L68" s="1"/>
      <x:c r="M68" s="1"/>
      <x:c r="N68" s="1"/>
      <x:c r="O68" s="1"/>
      <x:c r="P68" s="1"/>
      <x:c r="Q68" s="1"/>
      <x:c r="R68" s="1"/>
    </x:row>
    <x:row r="69" ht="23" customHeight="1">
      <x:c r="A69" s="1" t="str">
        <x:v>K0065</x:v>
      </x:c>
      <x:c r="B69" s="1" t="str">
        <x:v>Sinks</x:v>
      </x:c>
      <x:c r="C69" s="9" t="n">
        <x:v>171.89</x:v>
      </x:c>
      <x:c r="D69" s="1" t="n">
        <x:v>25</x:v>
      </x:c>
      <x:c r="E69" s="1" t="n">
        <x:v>39</x:v>
      </x:c>
      <x:c r="F69" s="1" t="n">
        <x:v>15</x:v>
      </x:c>
      <x:c r="G69" s="1" t="n">
        <x:v>28</x:v>
      </x:c>
      <x:c r="H69" s="1" t="n">
        <x:v>843</x:v>
      </x:c>
      <x:c r="I69" s="10" t="n">
        <x:v>193.7</x:v>
      </x:c>
      <x:c r="J69" s="1" t="str">
        <x:v>S005</x:v>
      </x:c>
      <x:c r="K69" s="1"/>
      <x:c r="L69" s="1"/>
      <x:c r="M69" s="1"/>
      <x:c r="N69" s="1"/>
      <x:c r="O69" s="1"/>
      <x:c r="P69" s="1"/>
      <x:c r="Q69" s="1"/>
      <x:c r="R69" s="1"/>
    </x:row>
    <x:row r="70" ht="23" customHeight="1">
      <x:c r="A70" s="1" t="str">
        <x:v>K0066</x:v>
      </x:c>
      <x:c r="B70" s="1" t="str">
        <x:v>Taps</x:v>
      </x:c>
      <x:c r="C70" s="9" t="n">
        <x:v>221.41</x:v>
      </x:c>
      <x:c r="D70" s="1" t="n">
        <x:v>14</x:v>
      </x:c>
      <x:c r="E70" s="1" t="n">
        <x:v>312</x:v>
      </x:c>
      <x:c r="F70" s="1" t="n">
        <x:v>7</x:v>
      </x:c>
      <x:c r="G70" s="1" t="n">
        <x:v>28</x:v>
      </x:c>
      <x:c r="H70" s="1" t="n">
        <x:v>776</x:v>
      </x:c>
      <x:c r="I70" s="10" t="n">
        <x:v>123.7</x:v>
      </x:c>
      <x:c r="J70" s="1" t="str">
        <x:v>S006</x:v>
      </x:c>
      <x:c r="K70" s="1"/>
      <x:c r="L70" s="1"/>
      <x:c r="M70" s="1"/>
      <x:c r="N70" s="1"/>
      <x:c r="O70" s="1"/>
      <x:c r="P70" s="1"/>
      <x:c r="Q70" s="1"/>
      <x:c r="R70" s="1"/>
    </x:row>
    <x:row r="71" ht="23" customHeight="1">
      <x:c r="A71" s="1" t="str">
        <x:v>K0067</x:v>
      </x:c>
      <x:c r="B71" s="1" t="str">
        <x:v>Hoods</x:v>
      </x:c>
      <x:c r="C71" s="9" t="n">
        <x:v>56.03</x:v>
      </x:c>
      <x:c r="D71" s="1" t="n">
        <x:v>7</x:v>
      </x:c>
      <x:c r="E71" s="1" t="n">
        <x:v>285</x:v>
      </x:c>
      <x:c r="F71" s="1" t="n">
        <x:v>2</x:v>
      </x:c>
      <x:c r="G71" s="1" t="n">
        <x:v>35</x:v>
      </x:c>
      <x:c r="H71" s="1" t="n">
        <x:v>732</x:v>
      </x:c>
      <x:c r="I71" s="10" t="n">
        <x:v>212.6</x:v>
      </x:c>
      <x:c r="J71" s="1" t="str">
        <x:v>S001</x:v>
      </x:c>
      <x:c r="K71" s="1"/>
      <x:c r="L71" s="1"/>
      <x:c r="M71" s="1"/>
      <x:c r="N71" s="1"/>
      <x:c r="O71" s="1"/>
      <x:c r="P71" s="1"/>
      <x:c r="Q71" s="1"/>
      <x:c r="R71" s="1"/>
    </x:row>
    <x:row r="72" ht="23" customHeight="1">
      <x:c r="A72" s="1" t="str">
        <x:v>K0068</x:v>
      </x:c>
      <x:c r="B72" s="1" t="str">
        <x:v>Accessories</x:v>
      </x:c>
      <x:c r="C72" s="9" t="n">
        <x:v>128.14</x:v>
      </x:c>
      <x:c r="D72" s="1" t="n">
        <x:v>12</x:v>
      </x:c>
      <x:c r="E72" s="1" t="n">
        <x:v>339</x:v>
      </x:c>
      <x:c r="F72" s="1" t="n">
        <x:v>0</x:v>
      </x:c>
      <x:c r="G72" s="1" t="n">
        <x:v>14</x:v>
      </x:c>
      <x:c r="H72" s="1" t="n">
        <x:v>1158</x:v>
      </x:c>
      <x:c r="I72" s="10" t="n">
        <x:v>579.9</x:v>
      </x:c>
      <x:c r="J72" s="1" t="str">
        <x:v>S002</x:v>
      </x:c>
      <x:c r="K72" s="1"/>
      <x:c r="L72" s="1"/>
      <x:c r="M72" s="1"/>
      <x:c r="N72" s="1"/>
      <x:c r="O72" s="1"/>
      <x:c r="P72" s="1"/>
      <x:c r="Q72" s="1"/>
      <x:c r="R72" s="1"/>
    </x:row>
    <x:row r="73" ht="23" customHeight="1">
      <x:c r="A73" s="1" t="str">
        <x:v>K0069</x:v>
      </x:c>
      <x:c r="B73" s="1" t="str">
        <x:v>Sinks</x:v>
      </x:c>
      <x:c r="C73" s="9" t="n">
        <x:v>71.56</x:v>
      </x:c>
      <x:c r="D73" s="1" t="n">
        <x:v>16</x:v>
      </x:c>
      <x:c r="E73" s="1" t="n">
        <x:v>19</x:v>
      </x:c>
      <x:c r="F73" s="1" t="n">
        <x:v>3</x:v>
      </x:c>
      <x:c r="G73" s="1" t="n">
        <x:v>76</x:v>
      </x:c>
      <x:c r="H73" s="1" t="n">
        <x:v>603</x:v>
      </x:c>
      <x:c r="I73" s="10" t="n">
        <x:v>195.3</x:v>
      </x:c>
      <x:c r="J73" s="1" t="str">
        <x:v>S003</x:v>
      </x:c>
      <x:c r="K73" s="1"/>
      <x:c r="L73" s="1"/>
      <x:c r="M73" s="1"/>
      <x:c r="N73" s="1"/>
      <x:c r="O73" s="1"/>
      <x:c r="P73" s="1"/>
      <x:c r="Q73" s="1"/>
      <x:c r="R73" s="1"/>
    </x:row>
    <x:row r="74" ht="23" customHeight="1">
      <x:c r="A74" s="1" t="str">
        <x:v>K0070</x:v>
      </x:c>
      <x:c r="B74" s="1" t="str">
        <x:v>Taps</x:v>
      </x:c>
      <x:c r="C74" s="9" t="n">
        <x:v>178.11</x:v>
      </x:c>
      <x:c r="D74" s="1" t="n">
        <x:v>18</x:v>
      </x:c>
      <x:c r="E74" s="1" t="n">
        <x:v>446</x:v>
      </x:c>
      <x:c r="F74" s="1" t="n">
        <x:v>19</x:v>
      </x:c>
      <x:c r="G74" s="1" t="n">
        <x:v>65</x:v>
      </x:c>
      <x:c r="H74" s="1" t="n">
        <x:v>702</x:v>
      </x:c>
      <x:c r="I74" s="10" t="n">
        <x:v>137.8</x:v>
      </x:c>
      <x:c r="J74" s="1" t="str">
        <x:v>S004</x:v>
      </x:c>
      <x:c r="K74" s="1"/>
      <x:c r="L74" s="1"/>
      <x:c r="M74" s="1"/>
      <x:c r="N74" s="1"/>
      <x:c r="O74" s="1"/>
      <x:c r="P74" s="1"/>
      <x:c r="Q74" s="1"/>
      <x:c r="R74" s="1"/>
    </x:row>
    <x:row r="75" ht="23" customHeight="1">
      <x:c r="A75" s="1" t="str">
        <x:v>K0071</x:v>
      </x:c>
      <x:c r="B75" s="1" t="str">
        <x:v>Hoods</x:v>
      </x:c>
      <x:c r="C75" s="9" t="n">
        <x:v>217.09</x:v>
      </x:c>
      <x:c r="D75" s="1" t="n">
        <x:v>25</x:v>
      </x:c>
      <x:c r="E75" s="1" t="n">
        <x:v>130</x:v>
      </x:c>
      <x:c r="F75" s="1" t="n">
        <x:v>1</x:v>
      </x:c>
      <x:c r="G75" s="1" t="n">
        <x:v>55</x:v>
      </x:c>
      <x:c r="H75" s="1" t="n">
        <x:v>449</x:v>
      </x:c>
      <x:c r="I75" s="10" t="n">
        <x:v>67.7</x:v>
      </x:c>
      <x:c r="J75" s="1" t="str">
        <x:v>S005</x:v>
      </x:c>
      <x:c r="K75" s="1"/>
      <x:c r="L75" s="1"/>
      <x:c r="M75" s="1"/>
      <x:c r="N75" s="1"/>
      <x:c r="O75" s="1"/>
      <x:c r="P75" s="1"/>
      <x:c r="Q75" s="1"/>
      <x:c r="R75" s="1"/>
    </x:row>
    <x:row r="76" ht="23" customHeight="1">
      <x:c r="A76" s="1" t="str">
        <x:v>K0072</x:v>
      </x:c>
      <x:c r="B76" s="1" t="str">
        <x:v>Accessories</x:v>
      </x:c>
      <x:c r="C76" s="9" t="n">
        <x:v>223.03</x:v>
      </x:c>
      <x:c r="D76" s="1" t="n">
        <x:v>14</x:v>
      </x:c>
      <x:c r="E76" s="1" t="n">
        <x:v>703</x:v>
      </x:c>
      <x:c r="F76" s="1" t="n">
        <x:v>6</x:v>
      </x:c>
      <x:c r="G76" s="1" t="n">
        <x:v>46</x:v>
      </x:c>
      <x:c r="H76" s="1" t="n">
        <x:v>1162</x:v>
      </x:c>
      <x:c r="I76" s="10" t="n">
        <x:v>374.8</x:v>
      </x:c>
      <x:c r="J76" s="1" t="str">
        <x:v>S006</x:v>
      </x:c>
      <x:c r="K76" s="1"/>
      <x:c r="L76" s="1"/>
      <x:c r="M76" s="1"/>
      <x:c r="N76" s="1"/>
      <x:c r="O76" s="1"/>
      <x:c r="P76" s="1"/>
      <x:c r="Q76" s="1"/>
      <x:c r="R76" s="1"/>
    </x:row>
    <x:row r="77" ht="23" customHeight="1">
      <x:c r="A77" s="1" t="str">
        <x:v>K0073</x:v>
      </x:c>
      <x:c r="B77" s="1" t="str">
        <x:v>Sinks</x:v>
      </x:c>
      <x:c r="C77" s="9" t="n">
        <x:v>228.34</x:v>
      </x:c>
      <x:c r="D77" s="1" t="n">
        <x:v>7</x:v>
      </x:c>
      <x:c r="E77" s="1" t="n">
        <x:v>321</x:v>
      </x:c>
      <x:c r="F77" s="1" t="n">
        <x:v>3</x:v>
      </x:c>
      <x:c r="G77" s="1" t="n">
        <x:v>38</x:v>
      </x:c>
      <x:c r="H77" s="1" t="n">
        <x:v>736</x:v>
      </x:c>
      <x:c r="I77" s="10" t="n">
        <x:v>259.7</x:v>
      </x:c>
      <x:c r="J77" s="1" t="str">
        <x:v>S001</x:v>
      </x:c>
      <x:c r="K77" s="1"/>
      <x:c r="L77" s="1"/>
      <x:c r="M77" s="1"/>
      <x:c r="N77" s="1"/>
      <x:c r="O77" s="1"/>
      <x:c r="P77" s="1"/>
      <x:c r="Q77" s="1"/>
      <x:c r="R77" s="1"/>
    </x:row>
    <x:row r="78" ht="23" customHeight="1">
      <x:c r="A78" s="1" t="str">
        <x:v>K0074</x:v>
      </x:c>
      <x:c r="B78" s="1" t="str">
        <x:v>Taps</x:v>
      </x:c>
      <x:c r="C78" s="9" t="n">
        <x:v>164.05</x:v>
      </x:c>
      <x:c r="D78" s="1" t="n">
        <x:v>12</x:v>
      </x:c>
      <x:c r="E78" s="1" t="n">
        <x:v>412</x:v>
      </x:c>
      <x:c r="F78" s="1" t="n">
        <x:v>9</x:v>
      </x:c>
      <x:c r="G78" s="1" t="n">
        <x:v>70</x:v>
      </x:c>
      <x:c r="H78" s="1" t="n">
        <x:v>728</x:v>
      </x:c>
      <x:c r="I78" s="10" t="n">
        <x:v>146.3</x:v>
      </x:c>
      <x:c r="J78" s="1" t="str">
        <x:v>S002</x:v>
      </x:c>
      <x:c r="K78" s="1"/>
      <x:c r="L78" s="1"/>
      <x:c r="M78" s="1"/>
      <x:c r="N78" s="1"/>
      <x:c r="O78" s="1"/>
      <x:c r="P78" s="1"/>
      <x:c r="Q78" s="1"/>
      <x:c r="R78" s="1"/>
    </x:row>
    <x:row r="79" ht="23" customHeight="1">
      <x:c r="A79" s="1" t="str">
        <x:v>K0075</x:v>
      </x:c>
      <x:c r="B79" s="1" t="str">
        <x:v>Hoods</x:v>
      </x:c>
      <x:c r="C79" s="9" t="n">
        <x:v>107.86</x:v>
      </x:c>
      <x:c r="D79" s="1" t="n">
        <x:v>16</x:v>
      </x:c>
      <x:c r="E79" s="1" t="n">
        <x:v>178</x:v>
      </x:c>
      <x:c r="F79" s="1" t="n">
        <x:v>19</x:v>
      </x:c>
      <x:c r="G79" s="1" t="n">
        <x:v>72</x:v>
      </x:c>
      <x:c r="H79" s="1" t="n">
        <x:v>836</x:v>
      </x:c>
      <x:c r="I79" s="10" t="n">
        <x:v>226</x:v>
      </x:c>
      <x:c r="J79" s="1" t="str">
        <x:v>S003</x:v>
      </x:c>
      <x:c r="K79" s="1"/>
      <x:c r="L79" s="1"/>
      <x:c r="M79" s="1"/>
      <x:c r="N79" s="1"/>
      <x:c r="O79" s="1"/>
      <x:c r="P79" s="1"/>
      <x:c r="Q79" s="1"/>
      <x:c r="R79" s="1"/>
    </x:row>
    <x:row r="80" ht="23" customHeight="1">
      <x:c r="A80" s="1" t="str">
        <x:v>K0076</x:v>
      </x:c>
      <x:c r="B80" s="1" t="str">
        <x:v>Accessories</x:v>
      </x:c>
      <x:c r="C80" s="9" t="n">
        <x:v>136.93</x:v>
      </x:c>
      <x:c r="D80" s="1" t="n">
        <x:v>18</x:v>
      </x:c>
      <x:c r="E80" s="1" t="n">
        <x:v>19</x:v>
      </x:c>
      <x:c r="F80" s="1" t="n">
        <x:v>9</x:v>
      </x:c>
      <x:c r="G80" s="1" t="n">
        <x:v>26</x:v>
      </x:c>
      <x:c r="H80" s="1" t="n">
        <x:v>60</x:v>
      </x:c>
      <x:c r="I80" s="10" t="n">
        <x:v>19.3</x:v>
      </x:c>
      <x:c r="J80" s="1" t="str">
        <x:v>S004</x:v>
      </x:c>
      <x:c r="K80" s="1"/>
      <x:c r="L80" s="1"/>
      <x:c r="M80" s="1"/>
      <x:c r="N80" s="1"/>
      <x:c r="O80" s="1"/>
      <x:c r="P80" s="1"/>
      <x:c r="Q80" s="1"/>
      <x:c r="R80" s="1"/>
    </x:row>
    <x:row r="81" ht="23" customHeight="1">
      <x:c r="A81" s="1" t="str">
        <x:v>K0077</x:v>
      </x:c>
      <x:c r="B81" s="1" t="str">
        <x:v>Sinks</x:v>
      </x:c>
      <x:c r="C81" s="9" t="n">
        <x:v>144.24</x:v>
      </x:c>
      <x:c r="D81" s="1" t="n">
        <x:v>25</x:v>
      </x:c>
      <x:c r="E81" s="1" t="n">
        <x:v>476</x:v>
      </x:c>
      <x:c r="F81" s="1" t="n">
        <x:v>14</x:v>
      </x:c>
      <x:c r="G81" s="1" t="n">
        <x:v>56</x:v>
      </x:c>
      <x:c r="H81" s="1" t="n">
        <x:v>719</x:v>
      </x:c>
      <x:c r="I81" s="10" t="n">
        <x:v>302.2</x:v>
      </x:c>
      <x:c r="J81" s="1" t="str">
        <x:v>S005</x:v>
      </x:c>
      <x:c r="K81" s="1"/>
      <x:c r="L81" s="1"/>
      <x:c r="M81" s="1"/>
      <x:c r="N81" s="1"/>
      <x:c r="O81" s="1"/>
      <x:c r="P81" s="1"/>
      <x:c r="Q81" s="1"/>
      <x:c r="R81" s="1"/>
    </x:row>
    <x:row r="82" ht="23" customHeight="1">
      <x:c r="A82" s="1" t="str">
        <x:v>K0078</x:v>
      </x:c>
      <x:c r="B82" s="1" t="str">
        <x:v>Taps</x:v>
      </x:c>
      <x:c r="C82" s="9" t="n">
        <x:v>128.55</x:v>
      </x:c>
      <x:c r="D82" s="1" t="n">
        <x:v>14</x:v>
      </x:c>
      <x:c r="E82" s="1" t="n">
        <x:v>43</x:v>
      </x:c>
      <x:c r="F82" s="1" t="n">
        <x:v>9</x:v>
      </x:c>
      <x:c r="G82" s="1" t="n">
        <x:v>65</x:v>
      </x:c>
      <x:c r="H82" s="1" t="n">
        <x:v>407</x:v>
      </x:c>
      <x:c r="I82" s="10" t="n">
        <x:v>169.1</x:v>
      </x:c>
      <x:c r="J82" s="1" t="str">
        <x:v>S006</x:v>
      </x:c>
      <x:c r="K82" s="1"/>
      <x:c r="L82" s="1"/>
      <x:c r="M82" s="1"/>
      <x:c r="N82" s="1"/>
      <x:c r="O82" s="1"/>
      <x:c r="P82" s="1"/>
      <x:c r="Q82" s="1"/>
      <x:c r="R82" s="1"/>
    </x:row>
    <x:row r="83" ht="23" customHeight="1">
      <x:c r="A83" s="1" t="str">
        <x:v>K0079</x:v>
      </x:c>
      <x:c r="B83" s="1" t="str">
        <x:v>Hoods</x:v>
      </x:c>
      <x:c r="C83" s="9" t="n">
        <x:v>153.19</x:v>
      </x:c>
      <x:c r="D83" s="1" t="n">
        <x:v>7</x:v>
      </x:c>
      <x:c r="E83" s="1" t="n">
        <x:v>192</x:v>
      </x:c>
      <x:c r="F83" s="1" t="n">
        <x:v>7</x:v>
      </x:c>
      <x:c r="G83" s="1" t="n">
        <x:v>39</x:v>
      </x:c>
      <x:c r="H83" s="1" t="n">
        <x:v>251</x:v>
      </x:c>
      <x:c r="I83" s="10" t="n">
        <x:v>60.2</x:v>
      </x:c>
      <x:c r="J83" s="1" t="str">
        <x:v>S001</x:v>
      </x:c>
      <x:c r="K83" s="1"/>
      <x:c r="L83" s="1"/>
      <x:c r="M83" s="1"/>
      <x:c r="N83" s="1"/>
      <x:c r="O83" s="1"/>
      <x:c r="P83" s="1"/>
      <x:c r="Q83" s="1"/>
      <x:c r="R83" s="1"/>
    </x:row>
    <x:row r="84" ht="23" customHeight="1">
      <x:c r="A84" s="1" t="str">
        <x:v>K0080</x:v>
      </x:c>
      <x:c r="B84" s="1" t="str">
        <x:v>Accessories</x:v>
      </x:c>
      <x:c r="C84" s="9" t="n">
        <x:v>57.4</x:v>
      </x:c>
      <x:c r="D84" s="1" t="n">
        <x:v>12</x:v>
      </x:c>
      <x:c r="E84" s="1" t="n">
        <x:v>5</x:v>
      </x:c>
      <x:c r="F84" s="1" t="n">
        <x:v>7</x:v>
      </x:c>
      <x:c r="G84" s="1" t="n">
        <x:v>60</x:v>
      </x:c>
      <x:c r="H84" s="1" t="n">
        <x:v>110</x:v>
      </x:c>
      <x:c r="I84" s="10" t="n">
        <x:v>43.4</x:v>
      </x:c>
      <x:c r="J84" s="1" t="str">
        <x:v>S002</x:v>
      </x:c>
      <x:c r="K84" s="1"/>
      <x:c r="L84" s="1"/>
      <x:c r="M84" s="1"/>
      <x:c r="N84" s="1"/>
      <x:c r="O84" s="1"/>
      <x:c r="P84" s="1"/>
      <x:c r="Q84" s="1"/>
      <x:c r="R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</x:sheetData>
  <x:pageMargins left="0.7" right="0.7" top="0.75" bottom="0.75" header="0.3" footer="0.3"/>
  <x:tableParts count="1">
    <x:tablePart xmlns:r="http://schemas.openxmlformats.org/officeDocument/2006/relationships" r:id="Rb97505e2dc944fdf"/>
  </x:tableParts>
</x:worksheet>
</file>