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drawings/drawing1.xml" ContentType="application/vnd.openxmlformats-officedocument.drawing+xml"/>
  <ns0:Override PartName="/xl/drawings/charts/chart1.xml" ContentType="application/vnd.openxmlformats-officedocument.drawingml.chart+xml"/>
  <ns0:Override PartName="/xl/worksheets/sheet2.xml" ContentType="application/vnd.openxmlformats-officedocument.spreadsheetml.worksheet+xml"/>
  <ns0:Override PartName="/xl/worksheets/sheet3.xml" ContentType="application/vnd.openxmlformats-officedocument.spreadsheetml.worksheet+xml"/>
  <ns0:Override PartName="/xl/tables/table1.xml" ContentType="application/vnd.openxmlformats-officedocument.spreadsheetml.table+xml"/>
  <ns0:Override PartName="/xl/worksheets/sheet4.xml" ContentType="application/vnd.openxmlformats-officedocument.spreadsheetml.worksheet+xml"/>
  <ns0:Override PartName="/xl/pivotCache/pivotCacheDefinition1.xml" ContentType="application/vnd.openxmlformats-officedocument.spreadsheetml.pivotCacheDefinition+xml"/>
  <ns0:Override PartName="/xl/pivotCache/pivotCacheRecords1.xml" ContentType="application/vnd.openxmlformats-officedocument.spreadsheetml.pivotCacheRecords+xml"/>
  <ns0:Override PartName="/xl/pivotTables/pivotTable1.xml" ContentType="application/vnd.openxmlformats-officedocument.spreadsheetml.pivotTable+xml"/>
</ns0:Types>
</file>

<file path=_rels/.rels>&#65279;<?xml version="1.0" encoding="utf-8"?><Relationships xmlns="http://schemas.openxmlformats.org/package/2006/relationships"><Relationship Type="http://schemas.openxmlformats.org/officeDocument/2006/relationships/officeDocument" Target="/xl/workbook.xml" Id="Rbc8563e7134a4389" /></Relationships>
</file>

<file path=xl/workbook.xml><?xml version="1.0" encoding="utf-8"?>
<workbook xmlns="http://schemas.openxmlformats.org/spreadsheetml/2006/main" xmlns:r="http://schemas.openxmlformats.org/officeDocument/2006/relationships">
  <sheets>
    <sheet name="Reporting" sheetId="1" r:id="R02b8079063af455c"/>
    <sheet name="Pivot" sheetId="2" r:id="R6620c1d6638242f8"/>
    <sheet name="Cases" sheetId="3" r:id="R348bf5f3ebf24a91"/>
    <sheet name="Runs" sheetId="4" r:id="R1e88f7d2b84a4633"/>
  </sheets>
  <pivotCaches>
    <pivotCache cacheId="1" r:id="rIdNativePivotCache"/>
  </pivotCaches>
</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 mmm yyyy"/>
    <x:numFmt numFmtId="201" formatCode="0.0"/>
    <x:numFmt numFmtId="202" formatCode="#,##0"/>
    <x:numFmt numFmtId="203" formatCode="0.0%"/>
    <x:numFmt numFmtId="204" formatCode="dd mmm"/>
    <x:numFmt numFmtId="205" formatCode="dd mmm hh:mm:ss"/>
  </x:numFmts>
  <x:fonts count="9">
    <x:font>
      <x:sz val="11"/>
      <x:name val="Carlito"/>
    </x:font>
    <x:font>
      <x:sz val="11"/>
      <x:color rgb="FF16384B"/>
      <x:name val="Arial"/>
    </x:font>
    <x:font>
      <x:b/>
      <x:sz val="17"/>
      <x:color rgb="FFFFFFFF"/>
      <x:name val="Arial"/>
    </x:font>
    <x:font>
      <x:sz val="11"/>
      <x:color rgb="FF16384B"/>
      <x:name val="Arial"/>
    </x:font>
    <x:font>
      <x:b/>
      <x:sz val="11"/>
      <x:color rgb="FFFFFFFF"/>
      <x:name val="Arial"/>
    </x:font>
    <x:font>
      <x:sz val="11"/>
      <x:color rgb="FF1765A3"/>
      <x:name val="Arial"/>
    </x:font>
    <x:font>
      <x:sz val="11"/>
      <x:color rgb="FF526575"/>
      <x:name val="Arial"/>
    </x:font>
    <x:font>
      <x:b/>
      <x:sz val="11"/>
      <x:color rgb="FF16384B"/>
      <x:name val="Arial"/>
    </x:font>
    <x:font>
      <x:b/>
      <x:sz val="23"/>
      <x:color rgb="FF16384B"/>
      <x:name val="Arial"/>
    </x:font>
  </x:fonts>
  <x:fills count="5">
    <x:fill>
      <x:patternFill patternType="none"/>
    </x:fill>
    <x:fill>
      <x:patternFill patternType="gray125"/>
    </x:fill>
    <x:fill>
      <x:patternFill patternType="solid">
        <x:fgColor rgb="FF16384B"/>
      </x:patternFill>
    </x:fill>
    <x:fill>
      <x:patternFill patternType="solid">
        <x:fgColor rgb="FFEEF5F7"/>
      </x:patternFill>
    </x:fill>
    <x:fill>
      <x:patternFill patternType="solid">
        <x:fgColor rgb="FF087E83"/>
      </x:patternFill>
    </x:fill>
  </x:fills>
  <x:borders count="1">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200" fontId="5" fillId="0" borderId="0" xfId="0" applyNumberFormat="1" applyFont="1" applyFill="1" applyBorder="1"/>
    <x:xf numFmtId="201" fontId="1"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1" fillId="0" borderId="0" xfId="0" applyNumberFormat="1" applyFont="1" applyFill="1" applyBorder="1"/>
    <x:xf numFmtId="200" fontId="1" fillId="3" borderId="0" xfId="0" applyNumberFormat="1" applyFont="1" applyFill="1" applyBorder="1"/>
    <x:xf numFmtId="200" fontId="7" fillId="3"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202" fontId="8" fillId="3" borderId="0" xfId="0" applyNumberFormat="1" applyFont="1" applyFill="1" applyBorder="1" applyAlignment="1">
      <x:alignment vertical="center" wrapText="1"/>
    </x:xf>
    <x:xf numFmtId="203" fontId="8" fillId="3" borderId="0" xfId="0" applyNumberFormat="1" applyFont="1" applyFill="1" applyBorder="1" applyAlignment="1">
      <x:alignment vertical="center" wrapText="1"/>
    </x:xf>
    <x:xf numFmtId="204" fontId="1"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7" fillId="3" borderId="0" xfId="0" applyNumberFormat="1" applyFont="1" applyFill="1" applyBorder="1"/>
    <x:xf numFmtId="205" fontId="1" fillId="0" borderId="0" xfId="0" applyNumberFormat="1" applyFont="1" applyFill="1" applyBorder="1"/>
  </x:cellXfs>
  <x:cellStyles count="1">
    <x:cellStyle name="Normal" xfId="0"/>
  </x:cellStyles>
  <x:dxfs count="3">
    <x:dxf>
      <x:font>
        <x:color rgb="FF9F3C25"/>
      </x:font>
      <x:fill>
        <x:patternFill patternType="solid">
          <x:bgColor rgb="FFFCE7DF"/>
        </x:patternFill>
      </x:fill>
    </x:dxf>
    <x:dxf>
      <x:font>
        <x:color rgb="FF9F3C25"/>
      </x:font>
      <x:fill>
        <x:patternFill patternType="solid">
          <x:bgColor rgb="FFFCE7DF"/>
        </x:patternFill>
      </x:fill>
    </x:dxf>
    <x:dxf>
      <x:font>
        <x:color rgb="FF795E13"/>
      </x:font>
      <x:fill>
        <x:patternFill patternType="solid">
          <x:bgColor rgb="FFFFF2CC"/>
        </x:patternFill>
      </x:fill>
    </x:dxf>
  </x:dxfs>
</x:styleSheet>
</file>

<file path=xl/_rels/workbook.xml.rels><?xml version='1.0' encoding='utf-8'?>
<ns0:Relationships xmlns:ns0="http://schemas.openxmlformats.org/package/2006/relationships"><ns0:Relationship Type="http://schemas.openxmlformats.org/officeDocument/2006/relationships/styles" Target="/xl/styles.xml" Id="R5978166f4fc74c86" /><ns0:Relationship Type="http://schemas.openxmlformats.org/officeDocument/2006/relationships/theme" Target="/xl/theme/theme1.xml" Id="Re3c18ff51a424e8d" /><ns0:Relationship Type="http://schemas.openxmlformats.org/officeDocument/2006/relationships/sharedStrings" Target="/xl/sharedStrings.xml" Id="R509966f421de48a9" /><ns0:Relationship Type="http://schemas.openxmlformats.org/officeDocument/2006/relationships/worksheet" Target="/xl/worksheets/sheet1.xml" Id="R02b8079063af455c" /><ns0:Relationship Type="http://schemas.openxmlformats.org/officeDocument/2006/relationships/worksheet" Target="/xl/worksheets/sheet2.xml" Id="R6620c1d6638242f8" /><ns0:Relationship Type="http://schemas.openxmlformats.org/officeDocument/2006/relationships/worksheet" Target="/xl/worksheets/sheet3.xml" Id="R348bf5f3ebf24a91" /><ns0:Relationship Type="http://schemas.openxmlformats.org/officeDocument/2006/relationships/worksheet" Target="/xl/worksheets/sheet4.xml" Id="R1e88f7d2b84a4633" /><ns0:Relationship Id="rIdNativePivotCache" Type="http://schemas.openxmlformats.org/officeDocument/2006/relationships/pivotCacheDefinition" Target="pivotCache/pivotCacheDefinition1.xml" /></ns0:Relationships>
</file>

<file path=xl/drawings/_rels/drawing1.xml.rels>&#65279;<?xml version="1.0" encoding="utf-8"?><Relationships xmlns="http://schemas.openxmlformats.org/package/2006/relationships"><Relationship Type="http://schemas.openxmlformats.org/officeDocument/2006/relationships/chart" Target="/xl/drawings/charts/chart1.xml" Id="R53379e5077354e8c" /></Relationships>
</file>

<file path=xl/drawings/charts/chart1.xml><?xml version="1.0" encoding="utf-8"?>
<ns0:chartSpace xmlns:ns0="http://schemas.openxmlformats.org/drawingml/2006/chart" xmlns:ns1="http://schemas.openxmlformats.org/drawingml/2006/main">
  <ns0:lang val="en-US"/>
  <ns0:roundedCorners val="0"/>
  <ns0:chart>
    <ns0:title>
      <ns0:tx>
        <ns0:rich>
          <ns1:bodyPr/>
          <ns1:lstStyle/>
          <ns1:p>
            <ns1:r>
              <ns1:rPr sz="1200">
                <ns1:latin typeface="Arial"/>
                <ns1:ea typeface="Arial"/>
                <ns1:cs typeface="Arial"/>
              </ns1:rPr>
              <ns1:t>Weekly closing backlog</ns1:t>
            </ns1:r>
          </ns1:p>
        </ns0:rich>
      </ns0:tx>
      <ns0:overlay val="0"/>
      <ns0:txPr>
        <ns1:bodyPr anchorCtr="1"/>
        <ns1:lstStyle/>
        <ns1:p>
          <ns1:pPr>
            <ns1:defRPr sz="1200">
              <ns1:latin typeface="Arial"/>
              <ns1:ea typeface="Arial"/>
              <ns1:cs typeface="Arial"/>
            </ns1:defRPr>
          </ns1:pPr>
        </ns1:p>
      </ns0:txPr>
    </ns0:title>
    <ns0:plotArea>
      <ns0:lineChart>
        <ns0:grouping val="standard"/>
        <ns0:varyColors val="0"/>
        <ns0:ser>
          <ns0:idx val="0"/>
          <ns0:order val="0"/>
          <ns0:tx>
            <ns0:v>Closing backlog</ns0:v>
          </ns0:tx>
          <ns0:spPr>
            <ns1:solidFill>
              <ns1:srgbClr val="087E83"/>
            </ns1:solidFill>
            <ns1:ln w="19050">
              <ns1:solidFill>
                <ns1:srgbClr val="087E83"/>
              </ns1:solidFill>
              <ns1:prstDash val="solid"/>
            </ns1:ln>
          </ns0:spPr>
          <ns0:marker>
            <ns0:symbol val="none"/>
          </ns0:marker>
          <ns0:cat>
            <ns0:strRef>
              <ns0:f>'Pivot'!$D$21:$D$32</ns0:f>
              <ns0:strCache>
                <ns0:ptCount val="12"/>
                <ns0:pt idx="0">
                  <ns0:v>29 Jun</ns0:v>
                </ns0:pt>
                <ns0:pt idx="1">
                  <ns0:v>06 Jul</ns0:v>
                </ns0:pt>
                <ns0:pt idx="2">
                  <ns0:v>13 Jul</ns0:v>
                </ns0:pt>
                <ns0:pt idx="3">
                  <ns0:v>20 Jul</ns0:v>
                </ns0:pt>
                <ns0:pt idx="4">
                  <ns0:v>27 Jul</ns0:v>
                </ns0:pt>
                <ns0:pt idx="5">
                  <ns0:v>03 Aug</ns0:v>
                </ns0:pt>
                <ns0:pt idx="6">
                  <ns0:v>10 Aug</ns0:v>
                </ns0:pt>
                <ns0:pt idx="7">
                  <ns0:v>17 Aug</ns0:v>
                </ns0:pt>
                <ns0:pt idx="8">
                  <ns0:v>24 Aug</ns0:v>
                </ns0:pt>
                <ns0:pt idx="9">
                  <ns0:v>31 Aug</ns0:v>
                </ns0:pt>
                <ns0:pt idx="10">
                  <ns0:v>07 Sep</ns0:v>
                </ns0:pt>
                <ns0:pt idx="11">
                  <ns0:v>14 Sep</ns0:v>
                </ns0:pt>
              </ns0:strCache>
            </ns0:strRef>
          </ns0:cat>
          <ns0:val>
            <ns0:numRef>
              <ns0:f>'Pivot'!$E$21:$E$32</ns0:f>
              <ns0:numCache>
                <ns0:formatCode>0</ns0:formatCode>
                <ns0:ptCount val="12"/>
                <ns0:pt idx="0">
                  <ns0:v>82</ns0:v>
                </ns0:pt>
                <ns0:pt idx="1">
                  <ns0:v>135</ns0:v>
                </ns0:pt>
                <ns0:pt idx="2">
                  <ns0:v>147</ns0:v>
                </ns0:pt>
                <ns0:pt idx="3">
                  <ns0:v>156</ns0:v>
                </ns0:pt>
                <ns0:pt idx="4">
                  <ns0:v>180</ns0:v>
                </ns0:pt>
                <ns0:pt idx="5">
                  <ns0:v>171</ns0:v>
                </ns0:pt>
                <ns0:pt idx="6">
                  <ns0:v>170</ns0:v>
                </ns0:pt>
                <ns0:pt idx="7">
                  <ns0:v>208</ns0:v>
                </ns0:pt>
                <ns0:pt idx="8">
                  <ns0:v>226</ns0:v>
                </ns0:pt>
                <ns0:pt idx="9">
                  <ns0:v>238</ns0:v>
                </ns0:pt>
                <ns0:pt idx="10">
                  <ns0:v>247</ns0:v>
                </ns0:pt>
                <ns0:pt idx="11">
                  <ns0:v>266</ns0:v>
                </ns0:pt>
              </ns0:numCache>
            </ns0:numRef>
          </ns0:val>
          <ns0:smooth val="0"/>
        </ns0:ser>
        <ns0:smooth val="0"/>
        <ns0:axId val="48650112"/>
        <ns0:axId val="48672768"/>
      </ns0:lineChart>
      <ns0:catAx>
        <ns0:axId val="48650112"/>
        <ns0:scaling>
          <ns0:orientation val="minMax"/>
        </ns0:scaling>
        <ns0:delete val="0"/>
        <ns0:axPos val="b"/>
        <ns0:majorGridlines>
          <ns0:spPr>
            <ns1:ln w="9525">
              <ns1:solidFill>
                <ns1:srgbClr val="CCCCCC"/>
              </ns1:solidFill>
              <ns1:prstDash val="dash"/>
            </ns1:ln>
          </ns0:spPr>
        </ns0:majorGridlines>
        <ns0:title>
          <ns0:tx>
            <ns0:rich>
              <ns1:bodyPr/>
              <ns1:lstStyle/>
              <ns1:p>
                <ns1:r>
                  <ns1:t>Week starting</ns1:t>
                </ns1:r>
              </ns1:p>
            </ns0:rich>
          </ns0:tx>
          <ns0:overlay val="0"/>
        </ns0:title>
        <ns0:numFmt formatCode="General"/>
        <ns0:majorTickMark val="none"/>
        <ns0:minorTickMark val="none"/>
        <ns0:tickLblPos val="nextTo"/>
        <ns0:txPr>
          <ns1:bodyPr anchorCtr="1"/>
          <ns1:lstStyle/>
          <ns1:p>
            <ns1:pPr>
              <ns1:defRPr sz="825">
                <ns1:latin typeface="Arial"/>
                <ns1:ea typeface="Arial"/>
                <ns1:cs typeface="Arial"/>
              </ns1:defRPr>
            </ns1:pPr>
          </ns1:p>
        </ns0:txPr>
        <ns0:crossAx val="48672768"/>
      </ns0:catAx>
      <ns0:valAx>
        <ns0:axId val="48672768"/>
        <ns0:scaling>
          <ns0:orientation val="minMax"/>
        </ns0:scaling>
        <ns0:delete val="0"/>
        <ns0:axPos val="l"/>
        <ns0:majorGridlines>
          <ns0:spPr>
            <ns1:ln w="9525">
              <ns1:solidFill>
                <ns1:srgbClr val="CCCCCC"/>
              </ns1:solidFill>
              <ns1:prstDash val="dash"/>
            </ns1:ln>
          </ns0:spPr>
        </ns0:majorGridlines>
        <ns0:numFmt formatCode="0" sourceLinked="0"/>
        <ns0:majorTickMark val="none"/>
        <ns0:minorTickMark val="none"/>
        <ns0:txPr>
          <ns1:bodyPr anchorCtr="1"/>
          <ns1:lstStyle/>
          <ns1:p>
            <ns1:pPr>
              <ns1:defRPr sz="825">
                <ns1:latin typeface="Arial"/>
                <ns1:ea typeface="Arial"/>
                <ns1:cs typeface="Arial"/>
              </ns1:defRPr>
            </ns1:pPr>
          </ns1:p>
        </ns0:txPr>
        <ns0:crossAx val="48650112"/>
        <ns0:crossBetween val="between"/>
      </ns0:valAx>
    </ns0:plotArea>
    <ns0:plotVisOnly val="1"/>
  </ns0:chart>
  <ns0:spPr>
    <ns1:ln w="9525">
      <ns1:solidFill>
        <ns1:srgbClr val="D9D9D9"/>
      </ns1:solidFill>
      <ns1:prstDash val="solid"/>
    </ns1:ln>
  </ns0:spPr>
</ns0:chartSpace>
</file>

<file path=xl/drawings/drawing1.xml><?xml version="1.0" encoding="utf-8"?>
<xdr:wsDr xmlns:xdr="http://schemas.openxmlformats.org/drawingml/2006/spreadsheetDrawing">
  <xdr:twoCellAnchor>
    <xdr:from>
      <xdr:col>4</xdr:col>
      <xdr:colOff>0</xdr:colOff>
      <xdr:row>12</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379e5077354e8c"/>
        </a:graphicData>
      </a:graphic>
    </xdr:graphicFrame>
    <xdr:clientData/>
  </xdr:twoCellAnchor>
</xdr:wsDr>
</file>

<file path=xl/pivotCache/_rels/pivotCacheDefinition1.xml.rels><?xml version='1.0' encoding='utf-8'?>
<ns0:Relationships xmlns:ns0="http://schemas.openxmlformats.org/package/2006/relationships"><ns0:Relationship Id="rId1" Type="http://schemas.openxmlformats.org/officeDocument/2006/relationships/pivotCacheRecords" Target="pivotCacheRecords1.xml" /></ns0:Relationships>
</file>

<file path=xl/pivotCache/pivotCacheDefinition1.xml><?xml version="1.0" encoding="utf-8"?>
<pivotCacheDefinition xmlns="http://schemas.openxmlformats.org/spreadsheetml/2006/main" xmlns:r="http://schemas.openxmlformats.org/officeDocument/2006/relationships" saveData="1" refreshOnLoad="0" recordCount="1200" createdVersion="6" refreshedVersion="6" minRefreshableVersion="3" r:id="rId1">
  <cacheSource type="worksheet">
    <worksheetSource ref="A5:C1205" sheet="Cases"/>
  </cacheSource>
  <cacheFields count="3">
    <cacheField name="Case ID" numFmtId="0">
      <sharedItems count="1200" containsString="1" containsNumber="0" containsBlank="0" containsSemiMixedTypes="0">
        <s v="CASE-00001"/>
        <s v="CASE-00002"/>
        <s v="CASE-00003"/>
        <s v="CASE-00004"/>
        <s v="CASE-00005"/>
        <s v="CASE-00006"/>
        <s v="CASE-00007"/>
        <s v="CASE-00008"/>
        <s v="CASE-00009"/>
        <s v="CASE-00010"/>
        <s v="CASE-00011"/>
        <s v="CASE-00012"/>
        <s v="CASE-00013"/>
        <s v="CASE-00014"/>
        <s v="CASE-00015"/>
        <s v="CASE-00016"/>
        <s v="CASE-00017"/>
        <s v="CASE-00018"/>
        <s v="CASE-00019"/>
        <s v="CASE-00020"/>
        <s v="CASE-00021"/>
        <s v="CASE-00022"/>
        <s v="CASE-00023"/>
        <s v="CASE-00024"/>
        <s v="CASE-00025"/>
        <s v="CASE-00026"/>
        <s v="CASE-00027"/>
        <s v="CASE-00028"/>
        <s v="CASE-00029"/>
        <s v="CASE-00030"/>
        <s v="CASE-00031"/>
        <s v="CASE-00032"/>
        <s v="CASE-00033"/>
        <s v="CASE-00034"/>
        <s v="CASE-00035"/>
        <s v="CASE-00036"/>
        <s v="CASE-00037"/>
        <s v="CASE-00038"/>
        <s v="CASE-00039"/>
        <s v="CASE-00040"/>
        <s v="CASE-00041"/>
        <s v="CASE-00042"/>
        <s v="CASE-00043"/>
        <s v="CASE-00044"/>
        <s v="CASE-00045"/>
        <s v="CASE-00046"/>
        <s v="CASE-00047"/>
        <s v="CASE-00048"/>
        <s v="CASE-00049"/>
        <s v="CASE-00050"/>
        <s v="CASE-00051"/>
        <s v="CASE-00052"/>
        <s v="CASE-00053"/>
        <s v="CASE-00054"/>
        <s v="CASE-00055"/>
        <s v="CASE-00056"/>
        <s v="CASE-00057"/>
        <s v="CASE-00058"/>
        <s v="CASE-00059"/>
        <s v="CASE-00060"/>
        <s v="CASE-00061"/>
        <s v="CASE-00062"/>
        <s v="CASE-00063"/>
        <s v="CASE-00064"/>
        <s v="CASE-00065"/>
        <s v="CASE-00066"/>
        <s v="CASE-00067"/>
        <s v="CASE-00068"/>
        <s v="CASE-00069"/>
        <s v="CASE-00070"/>
        <s v="CASE-00071"/>
        <s v="CASE-00072"/>
        <s v="CASE-00073"/>
        <s v="CASE-00074"/>
        <s v="CASE-00075"/>
        <s v="CASE-00076"/>
        <s v="CASE-00077"/>
        <s v="CASE-00078"/>
        <s v="CASE-00079"/>
        <s v="CASE-00080"/>
        <s v="CASE-00081"/>
        <s v="CASE-00082"/>
        <s v="CASE-00083"/>
        <s v="CASE-00084"/>
        <s v="CASE-00085"/>
        <s v="CASE-00086"/>
        <s v="CASE-00087"/>
        <s v="CASE-00088"/>
        <s v="CASE-00089"/>
        <s v="CASE-00090"/>
        <s v="CASE-00091"/>
        <s v="CASE-00092"/>
        <s v="CASE-00093"/>
        <s v="CASE-00094"/>
        <s v="CASE-00095"/>
        <s v="CASE-00096"/>
        <s v="CASE-00097"/>
        <s v="CASE-00098"/>
        <s v="CASE-00099"/>
        <s v="CASE-00100"/>
        <s v="CASE-00101"/>
        <s v="CASE-00102"/>
        <s v="CASE-00103"/>
        <s v="CASE-00104"/>
        <s v="CASE-00105"/>
        <s v="CASE-00106"/>
        <s v="CASE-00107"/>
        <s v="CASE-00108"/>
        <s v="CASE-00109"/>
        <s v="CASE-00110"/>
        <s v="CASE-00111"/>
        <s v="CASE-00112"/>
        <s v="CASE-00113"/>
        <s v="CASE-00114"/>
        <s v="CASE-00115"/>
        <s v="CASE-00116"/>
        <s v="CASE-00117"/>
        <s v="CASE-00118"/>
        <s v="CASE-00119"/>
        <s v="CASE-00120"/>
        <s v="CASE-00121"/>
        <s v="CASE-00122"/>
        <s v="CASE-00123"/>
        <s v="CASE-00124"/>
        <s v="CASE-00125"/>
        <s v="CASE-00126"/>
        <s v="CASE-00127"/>
        <s v="CASE-00128"/>
        <s v="CASE-00129"/>
        <s v="CASE-00130"/>
        <s v="CASE-00131"/>
        <s v="CASE-00132"/>
        <s v="CASE-00133"/>
        <s v="CASE-00134"/>
        <s v="CASE-00135"/>
        <s v="CASE-00136"/>
        <s v="CASE-00137"/>
        <s v="CASE-00138"/>
        <s v="CASE-00139"/>
        <s v="CASE-00140"/>
        <s v="CASE-00141"/>
        <s v="CASE-00142"/>
        <s v="CASE-00143"/>
        <s v="CASE-00144"/>
        <s v="CASE-00145"/>
        <s v="CASE-00146"/>
        <s v="CASE-00147"/>
        <s v="CASE-00148"/>
        <s v="CASE-00149"/>
        <s v="CASE-00150"/>
        <s v="CASE-00151"/>
        <s v="CASE-00152"/>
        <s v="CASE-00153"/>
        <s v="CASE-00154"/>
        <s v="CASE-00155"/>
        <s v="CASE-00156"/>
        <s v="CASE-00157"/>
        <s v="CASE-00158"/>
        <s v="CASE-00159"/>
        <s v="CASE-00160"/>
        <s v="CASE-00161"/>
        <s v="CASE-00162"/>
        <s v="CASE-00163"/>
        <s v="CASE-00164"/>
        <s v="CASE-00165"/>
        <s v="CASE-00166"/>
        <s v="CASE-00167"/>
        <s v="CASE-00168"/>
        <s v="CASE-00169"/>
        <s v="CASE-00170"/>
        <s v="CASE-00171"/>
        <s v="CASE-00172"/>
        <s v="CASE-00173"/>
        <s v="CASE-00174"/>
        <s v="CASE-00175"/>
        <s v="CASE-00176"/>
        <s v="CASE-00177"/>
        <s v="CASE-00178"/>
        <s v="CASE-00179"/>
        <s v="CASE-00180"/>
        <s v="CASE-00181"/>
        <s v="CASE-00182"/>
        <s v="CASE-00183"/>
        <s v="CASE-00184"/>
        <s v="CASE-00185"/>
        <s v="CASE-00186"/>
        <s v="CASE-00187"/>
        <s v="CASE-00188"/>
        <s v="CASE-00189"/>
        <s v="CASE-00190"/>
        <s v="CASE-00191"/>
        <s v="CASE-00192"/>
        <s v="CASE-00193"/>
        <s v="CASE-00194"/>
        <s v="CASE-00195"/>
        <s v="CASE-00196"/>
        <s v="CASE-00197"/>
        <s v="CASE-00198"/>
        <s v="CASE-00199"/>
        <s v="CASE-00200"/>
        <s v="CASE-00201"/>
        <s v="CASE-00202"/>
        <s v="CASE-00203"/>
        <s v="CASE-00204"/>
        <s v="CASE-00205"/>
        <s v="CASE-00206"/>
        <s v="CASE-00207"/>
        <s v="CASE-00208"/>
        <s v="CASE-00209"/>
        <s v="CASE-00210"/>
        <s v="CASE-00211"/>
        <s v="CASE-00212"/>
        <s v="CASE-00213"/>
        <s v="CASE-00214"/>
        <s v="CASE-00215"/>
        <s v="CASE-00216"/>
        <s v="CASE-00217"/>
        <s v="CASE-00218"/>
        <s v="CASE-00219"/>
        <s v="CASE-00220"/>
        <s v="CASE-00221"/>
        <s v="CASE-00222"/>
        <s v="CASE-00223"/>
        <s v="CASE-00224"/>
        <s v="CASE-00225"/>
        <s v="CASE-00226"/>
        <s v="CASE-00227"/>
        <s v="CASE-00228"/>
        <s v="CASE-00229"/>
        <s v="CASE-00230"/>
        <s v="CASE-00231"/>
        <s v="CASE-00232"/>
        <s v="CASE-00233"/>
        <s v="CASE-00234"/>
        <s v="CASE-00235"/>
        <s v="CASE-00236"/>
        <s v="CASE-00237"/>
        <s v="CASE-00238"/>
        <s v="CASE-00239"/>
        <s v="CASE-00240"/>
        <s v="CASE-00241"/>
        <s v="CASE-00242"/>
        <s v="CASE-00243"/>
        <s v="CASE-00244"/>
        <s v="CASE-00245"/>
        <s v="CASE-00246"/>
        <s v="CASE-00247"/>
        <s v="CASE-00248"/>
        <s v="CASE-00249"/>
        <s v="CASE-00250"/>
        <s v="CASE-00251"/>
        <s v="CASE-00252"/>
        <s v="CASE-00253"/>
        <s v="CASE-00254"/>
        <s v="CASE-00255"/>
        <s v="CASE-00256"/>
        <s v="CASE-00257"/>
        <s v="CASE-00258"/>
        <s v="CASE-00259"/>
        <s v="CASE-00260"/>
        <s v="CASE-00261"/>
        <s v="CASE-00262"/>
        <s v="CASE-00263"/>
        <s v="CASE-00264"/>
        <s v="CASE-00265"/>
        <s v="CASE-00266"/>
        <s v="CASE-00267"/>
        <s v="CASE-00268"/>
        <s v="CASE-00269"/>
        <s v="CASE-00270"/>
        <s v="CASE-00271"/>
        <s v="CASE-00272"/>
        <s v="CASE-00273"/>
        <s v="CASE-00274"/>
        <s v="CASE-00275"/>
        <s v="CASE-00276"/>
        <s v="CASE-00277"/>
        <s v="CASE-00278"/>
        <s v="CASE-00279"/>
        <s v="CASE-00280"/>
        <s v="CASE-00281"/>
        <s v="CASE-00282"/>
        <s v="CASE-00283"/>
        <s v="CASE-00284"/>
        <s v="CASE-00285"/>
        <s v="CASE-00286"/>
        <s v="CASE-00287"/>
        <s v="CASE-00288"/>
        <s v="CASE-00289"/>
        <s v="CASE-00290"/>
        <s v="CASE-00291"/>
        <s v="CASE-00292"/>
        <s v="CASE-00293"/>
        <s v="CASE-00294"/>
        <s v="CASE-00295"/>
        <s v="CASE-00296"/>
        <s v="CASE-00297"/>
        <s v="CASE-00298"/>
        <s v="CASE-00299"/>
        <s v="CASE-00300"/>
        <s v="CASE-00301"/>
        <s v="CASE-00302"/>
        <s v="CASE-00303"/>
        <s v="CASE-00304"/>
        <s v="CASE-00305"/>
        <s v="CASE-00306"/>
        <s v="CASE-00307"/>
        <s v="CASE-00308"/>
        <s v="CASE-00309"/>
        <s v="CASE-00310"/>
        <s v="CASE-00311"/>
        <s v="CASE-00312"/>
        <s v="CASE-00313"/>
        <s v="CASE-00314"/>
        <s v="CASE-00315"/>
        <s v="CASE-00316"/>
        <s v="CASE-00317"/>
        <s v="CASE-00318"/>
        <s v="CASE-00319"/>
        <s v="CASE-00320"/>
        <s v="CASE-00321"/>
        <s v="CASE-00322"/>
        <s v="CASE-00323"/>
        <s v="CASE-00324"/>
        <s v="CASE-00325"/>
        <s v="CASE-00326"/>
        <s v="CASE-00327"/>
        <s v="CASE-00328"/>
        <s v="CASE-00329"/>
        <s v="CASE-00330"/>
        <s v="CASE-00331"/>
        <s v="CASE-00332"/>
        <s v="CASE-00333"/>
        <s v="CASE-00334"/>
        <s v="CASE-00335"/>
        <s v="CASE-00336"/>
        <s v="CASE-00337"/>
        <s v="CASE-00338"/>
        <s v="CASE-00339"/>
        <s v="CASE-00340"/>
        <s v="CASE-00341"/>
        <s v="CASE-00342"/>
        <s v="CASE-00343"/>
        <s v="CASE-00344"/>
        <s v="CASE-00345"/>
        <s v="CASE-00346"/>
        <s v="CASE-00347"/>
        <s v="CASE-00348"/>
        <s v="CASE-00349"/>
        <s v="CASE-00350"/>
        <s v="CASE-00351"/>
        <s v="CASE-00352"/>
        <s v="CASE-00353"/>
        <s v="CASE-00354"/>
        <s v="CASE-00355"/>
        <s v="CASE-00356"/>
        <s v="CASE-00357"/>
        <s v="CASE-00358"/>
        <s v="CASE-00359"/>
        <s v="CASE-00360"/>
        <s v="CASE-00361"/>
        <s v="CASE-00362"/>
        <s v="CASE-00363"/>
        <s v="CASE-00364"/>
        <s v="CASE-00365"/>
        <s v="CASE-00366"/>
        <s v="CASE-00367"/>
        <s v="CASE-00368"/>
        <s v="CASE-00369"/>
        <s v="CASE-00370"/>
        <s v="CASE-00371"/>
        <s v="CASE-00372"/>
        <s v="CASE-00373"/>
        <s v="CASE-00374"/>
        <s v="CASE-00375"/>
        <s v="CASE-00376"/>
        <s v="CASE-00377"/>
        <s v="CASE-00378"/>
        <s v="CASE-00379"/>
        <s v="CASE-00380"/>
        <s v="CASE-00381"/>
        <s v="CASE-00382"/>
        <s v="CASE-00383"/>
        <s v="CASE-00384"/>
        <s v="CASE-00385"/>
        <s v="CASE-00386"/>
        <s v="CASE-00387"/>
        <s v="CASE-00388"/>
        <s v="CASE-00389"/>
        <s v="CASE-00390"/>
        <s v="CASE-00391"/>
        <s v="CASE-00392"/>
        <s v="CASE-00393"/>
        <s v="CASE-00394"/>
        <s v="CASE-00395"/>
        <s v="CASE-00396"/>
        <s v="CASE-00397"/>
        <s v="CASE-00398"/>
        <s v="CASE-00399"/>
        <s v="CASE-00400"/>
        <s v="CASE-00401"/>
        <s v="CASE-00402"/>
        <s v="CASE-00403"/>
        <s v="CASE-00404"/>
        <s v="CASE-00405"/>
        <s v="CASE-00406"/>
        <s v="CASE-00407"/>
        <s v="CASE-00408"/>
        <s v="CASE-00409"/>
        <s v="CASE-00410"/>
        <s v="CASE-00411"/>
        <s v="CASE-00412"/>
        <s v="CASE-00413"/>
        <s v="CASE-00414"/>
        <s v="CASE-00415"/>
        <s v="CASE-00416"/>
        <s v="CASE-00417"/>
        <s v="CASE-00418"/>
        <s v="CASE-00419"/>
        <s v="CASE-00420"/>
        <s v="CASE-00421"/>
        <s v="CASE-00422"/>
        <s v="CASE-00423"/>
        <s v="CASE-00424"/>
        <s v="CASE-00425"/>
        <s v="CASE-00426"/>
        <s v="CASE-00427"/>
        <s v="CASE-00428"/>
        <s v="CASE-00429"/>
        <s v="CASE-00430"/>
        <s v="CASE-00431"/>
        <s v="CASE-00432"/>
        <s v="CASE-00433"/>
        <s v="CASE-00434"/>
        <s v="CASE-00435"/>
        <s v="CASE-00436"/>
        <s v="CASE-00437"/>
        <s v="CASE-00438"/>
        <s v="CASE-00439"/>
        <s v="CASE-00440"/>
        <s v="CASE-00441"/>
        <s v="CASE-00442"/>
        <s v="CASE-00443"/>
        <s v="CASE-00444"/>
        <s v="CASE-00445"/>
        <s v="CASE-00446"/>
        <s v="CASE-00447"/>
        <s v="CASE-00448"/>
        <s v="CASE-00449"/>
        <s v="CASE-00450"/>
        <s v="CASE-00451"/>
        <s v="CASE-00452"/>
        <s v="CASE-00453"/>
        <s v="CASE-00454"/>
        <s v="CASE-00455"/>
        <s v="CASE-00456"/>
        <s v="CASE-00457"/>
        <s v="CASE-00458"/>
        <s v="CASE-00459"/>
        <s v="CASE-00460"/>
        <s v="CASE-00461"/>
        <s v="CASE-00462"/>
        <s v="CASE-00463"/>
        <s v="CASE-00464"/>
        <s v="CASE-00465"/>
        <s v="CASE-00466"/>
        <s v="CASE-00467"/>
        <s v="CASE-00468"/>
        <s v="CASE-00469"/>
        <s v="CASE-00470"/>
        <s v="CASE-00471"/>
        <s v="CASE-00472"/>
        <s v="CASE-00473"/>
        <s v="CASE-00474"/>
        <s v="CASE-00475"/>
        <s v="CASE-00476"/>
        <s v="CASE-00477"/>
        <s v="CASE-00478"/>
        <s v="CASE-00479"/>
        <s v="CASE-00480"/>
        <s v="CASE-00481"/>
        <s v="CASE-00482"/>
        <s v="CASE-00483"/>
        <s v="CASE-00484"/>
        <s v="CASE-00485"/>
        <s v="CASE-00486"/>
        <s v="CASE-00487"/>
        <s v="CASE-00488"/>
        <s v="CASE-00489"/>
        <s v="CASE-00490"/>
        <s v="CASE-00491"/>
        <s v="CASE-00492"/>
        <s v="CASE-00493"/>
        <s v="CASE-00494"/>
        <s v="CASE-00495"/>
        <s v="CASE-00496"/>
        <s v="CASE-00497"/>
        <s v="CASE-00498"/>
        <s v="CASE-00499"/>
        <s v="CASE-00500"/>
        <s v="CASE-00501"/>
        <s v="CASE-00502"/>
        <s v="CASE-00503"/>
        <s v="CASE-00504"/>
        <s v="CASE-00505"/>
        <s v="CASE-00506"/>
        <s v="CASE-00507"/>
        <s v="CASE-00508"/>
        <s v="CASE-00509"/>
        <s v="CASE-00510"/>
        <s v="CASE-00511"/>
        <s v="CASE-00512"/>
        <s v="CASE-00513"/>
        <s v="CASE-00514"/>
        <s v="CASE-00515"/>
        <s v="CASE-00516"/>
        <s v="CASE-00517"/>
        <s v="CASE-00518"/>
        <s v="CASE-00519"/>
        <s v="CASE-00520"/>
        <s v="CASE-00521"/>
        <s v="CASE-00522"/>
        <s v="CASE-00523"/>
        <s v="CASE-00524"/>
        <s v="CASE-00525"/>
        <s v="CASE-00526"/>
        <s v="CASE-00527"/>
        <s v="CASE-00528"/>
        <s v="CASE-00529"/>
        <s v="CASE-00530"/>
        <s v="CASE-00531"/>
        <s v="CASE-00532"/>
        <s v="CASE-00533"/>
        <s v="CASE-00534"/>
        <s v="CASE-00535"/>
        <s v="CASE-00536"/>
        <s v="CASE-00537"/>
        <s v="CASE-00538"/>
        <s v="CASE-00539"/>
        <s v="CASE-00540"/>
        <s v="CASE-00541"/>
        <s v="CASE-00542"/>
        <s v="CASE-00543"/>
        <s v="CASE-00544"/>
        <s v="CASE-00545"/>
        <s v="CASE-00546"/>
        <s v="CASE-00547"/>
        <s v="CASE-00548"/>
        <s v="CASE-00549"/>
        <s v="CASE-00550"/>
        <s v="CASE-00551"/>
        <s v="CASE-00552"/>
        <s v="CASE-00553"/>
        <s v="CASE-00554"/>
        <s v="CASE-00555"/>
        <s v="CASE-00556"/>
        <s v="CASE-00557"/>
        <s v="CASE-00558"/>
        <s v="CASE-00559"/>
        <s v="CASE-00560"/>
        <s v="CASE-00561"/>
        <s v="CASE-00562"/>
        <s v="CASE-00563"/>
        <s v="CASE-00564"/>
        <s v="CASE-00565"/>
        <s v="CASE-00566"/>
        <s v="CASE-00567"/>
        <s v="CASE-00568"/>
        <s v="CASE-00569"/>
        <s v="CASE-00570"/>
        <s v="CASE-00571"/>
        <s v="CASE-00572"/>
        <s v="CASE-00573"/>
        <s v="CASE-00574"/>
        <s v="CASE-00575"/>
        <s v="CASE-00576"/>
        <s v="CASE-00577"/>
        <s v="CASE-00578"/>
        <s v="CASE-00579"/>
        <s v="CASE-00580"/>
        <s v="CASE-00581"/>
        <s v="CASE-00582"/>
        <s v="CASE-00583"/>
        <s v="CASE-00584"/>
        <s v="CASE-00585"/>
        <s v="CASE-00586"/>
        <s v="CASE-00587"/>
        <s v="CASE-00588"/>
        <s v="CASE-00589"/>
        <s v="CASE-00590"/>
        <s v="CASE-00591"/>
        <s v="CASE-00592"/>
        <s v="CASE-00593"/>
        <s v="CASE-00594"/>
        <s v="CASE-00595"/>
        <s v="CASE-00596"/>
        <s v="CASE-00597"/>
        <s v="CASE-00598"/>
        <s v="CASE-00599"/>
        <s v="CASE-00600"/>
        <s v="CASE-00601"/>
        <s v="CASE-00602"/>
        <s v="CASE-00603"/>
        <s v="CASE-00604"/>
        <s v="CASE-00605"/>
        <s v="CASE-00606"/>
        <s v="CASE-00607"/>
        <s v="CASE-00608"/>
        <s v="CASE-00609"/>
        <s v="CASE-00610"/>
        <s v="CASE-00611"/>
        <s v="CASE-00612"/>
        <s v="CASE-00613"/>
        <s v="CASE-00614"/>
        <s v="CASE-00615"/>
        <s v="CASE-00616"/>
        <s v="CASE-00617"/>
        <s v="CASE-00618"/>
        <s v="CASE-00619"/>
        <s v="CASE-00620"/>
        <s v="CASE-00621"/>
        <s v="CASE-00622"/>
        <s v="CASE-00623"/>
        <s v="CASE-00624"/>
        <s v="CASE-00625"/>
        <s v="CASE-00626"/>
        <s v="CASE-00627"/>
        <s v="CASE-00628"/>
        <s v="CASE-00629"/>
        <s v="CASE-00630"/>
        <s v="CASE-00631"/>
        <s v="CASE-00632"/>
        <s v="CASE-00633"/>
        <s v="CASE-00634"/>
        <s v="CASE-00635"/>
        <s v="CASE-00636"/>
        <s v="CASE-00637"/>
        <s v="CASE-00638"/>
        <s v="CASE-00639"/>
        <s v="CASE-00640"/>
        <s v="CASE-00641"/>
        <s v="CASE-00642"/>
        <s v="CASE-00643"/>
        <s v="CASE-00644"/>
        <s v="CASE-00645"/>
        <s v="CASE-00646"/>
        <s v="CASE-00647"/>
        <s v="CASE-00648"/>
        <s v="CASE-00649"/>
        <s v="CASE-00650"/>
        <s v="CASE-00651"/>
        <s v="CASE-00652"/>
        <s v="CASE-00653"/>
        <s v="CASE-00654"/>
        <s v="CASE-00655"/>
        <s v="CASE-00656"/>
        <s v="CASE-00657"/>
        <s v="CASE-00658"/>
        <s v="CASE-00659"/>
        <s v="CASE-00660"/>
        <s v="CASE-00661"/>
        <s v="CASE-00662"/>
        <s v="CASE-00663"/>
        <s v="CASE-00664"/>
        <s v="CASE-00665"/>
        <s v="CASE-00666"/>
        <s v="CASE-00667"/>
        <s v="CASE-00668"/>
        <s v="CASE-00669"/>
        <s v="CASE-00670"/>
        <s v="CASE-00671"/>
        <s v="CASE-00672"/>
        <s v="CASE-00673"/>
        <s v="CASE-00674"/>
        <s v="CASE-00675"/>
        <s v="CASE-00676"/>
        <s v="CASE-00677"/>
        <s v="CASE-00678"/>
        <s v="CASE-00679"/>
        <s v="CASE-00680"/>
        <s v="CASE-00681"/>
        <s v="CASE-00682"/>
        <s v="CASE-00683"/>
        <s v="CASE-00684"/>
        <s v="CASE-00685"/>
        <s v="CASE-00686"/>
        <s v="CASE-00687"/>
        <s v="CASE-00688"/>
        <s v="CASE-00689"/>
        <s v="CASE-00690"/>
        <s v="CASE-00691"/>
        <s v="CASE-00692"/>
        <s v="CASE-00693"/>
        <s v="CASE-00694"/>
        <s v="CASE-00695"/>
        <s v="CASE-00696"/>
        <s v="CASE-00697"/>
        <s v="CASE-00698"/>
        <s v="CASE-00699"/>
        <s v="CASE-00700"/>
        <s v="CASE-00701"/>
        <s v="CASE-00702"/>
        <s v="CASE-00703"/>
        <s v="CASE-00704"/>
        <s v="CASE-00705"/>
        <s v="CASE-00706"/>
        <s v="CASE-00707"/>
        <s v="CASE-00708"/>
        <s v="CASE-00709"/>
        <s v="CASE-00710"/>
        <s v="CASE-00711"/>
        <s v="CASE-00712"/>
        <s v="CASE-00713"/>
        <s v="CASE-00714"/>
        <s v="CASE-00715"/>
        <s v="CASE-00716"/>
        <s v="CASE-00717"/>
        <s v="CASE-00718"/>
        <s v="CASE-00719"/>
        <s v="CASE-00720"/>
        <s v="CASE-00721"/>
        <s v="CASE-00722"/>
        <s v="CASE-00723"/>
        <s v="CASE-00724"/>
        <s v="CASE-00725"/>
        <s v="CASE-00726"/>
        <s v="CASE-00727"/>
        <s v="CASE-00728"/>
        <s v="CASE-00729"/>
        <s v="CASE-00730"/>
        <s v="CASE-00731"/>
        <s v="CASE-00732"/>
        <s v="CASE-00733"/>
        <s v="CASE-00734"/>
        <s v="CASE-00735"/>
        <s v="CASE-00736"/>
        <s v="CASE-00737"/>
        <s v="CASE-00738"/>
        <s v="CASE-00739"/>
        <s v="CASE-00740"/>
        <s v="CASE-00741"/>
        <s v="CASE-00742"/>
        <s v="CASE-00743"/>
        <s v="CASE-00744"/>
        <s v="CASE-00745"/>
        <s v="CASE-00746"/>
        <s v="CASE-00747"/>
        <s v="CASE-00748"/>
        <s v="CASE-00749"/>
        <s v="CASE-00750"/>
        <s v="CASE-00751"/>
        <s v="CASE-00752"/>
        <s v="CASE-00753"/>
        <s v="CASE-00754"/>
        <s v="CASE-00755"/>
        <s v="CASE-00756"/>
        <s v="CASE-00757"/>
        <s v="CASE-00758"/>
        <s v="CASE-00759"/>
        <s v="CASE-00760"/>
        <s v="CASE-00761"/>
        <s v="CASE-00762"/>
        <s v="CASE-00763"/>
        <s v="CASE-00764"/>
        <s v="CASE-00765"/>
        <s v="CASE-00766"/>
        <s v="CASE-00767"/>
        <s v="CASE-00768"/>
        <s v="CASE-00769"/>
        <s v="CASE-00770"/>
        <s v="CASE-00771"/>
        <s v="CASE-00772"/>
        <s v="CASE-00773"/>
        <s v="CASE-00774"/>
        <s v="CASE-00775"/>
        <s v="CASE-00776"/>
        <s v="CASE-00777"/>
        <s v="CASE-00778"/>
        <s v="CASE-00779"/>
        <s v="CASE-00780"/>
        <s v="CASE-00781"/>
        <s v="CASE-00782"/>
        <s v="CASE-00783"/>
        <s v="CASE-00784"/>
        <s v="CASE-00785"/>
        <s v="CASE-00786"/>
        <s v="CASE-00787"/>
        <s v="CASE-00788"/>
        <s v="CASE-00789"/>
        <s v="CASE-00790"/>
        <s v="CASE-00791"/>
        <s v="CASE-00792"/>
        <s v="CASE-00793"/>
        <s v="CASE-00794"/>
        <s v="CASE-00795"/>
        <s v="CASE-00796"/>
        <s v="CASE-00797"/>
        <s v="CASE-00798"/>
        <s v="CASE-00799"/>
        <s v="CASE-00800"/>
        <s v="CASE-00801"/>
        <s v="CASE-00802"/>
        <s v="CASE-00803"/>
        <s v="CASE-00804"/>
        <s v="CASE-00805"/>
        <s v="CASE-00806"/>
        <s v="CASE-00807"/>
        <s v="CASE-00808"/>
        <s v="CASE-00809"/>
        <s v="CASE-00810"/>
        <s v="CASE-00811"/>
        <s v="CASE-00812"/>
        <s v="CASE-00813"/>
        <s v="CASE-00814"/>
        <s v="CASE-00815"/>
        <s v="CASE-00816"/>
        <s v="CASE-00817"/>
        <s v="CASE-00818"/>
        <s v="CASE-00819"/>
        <s v="CASE-00820"/>
        <s v="CASE-00821"/>
        <s v="CASE-00822"/>
        <s v="CASE-00823"/>
        <s v="CASE-00824"/>
        <s v="CASE-00825"/>
        <s v="CASE-00826"/>
        <s v="CASE-00827"/>
        <s v="CASE-00828"/>
        <s v="CASE-00829"/>
        <s v="CASE-00830"/>
        <s v="CASE-00831"/>
        <s v="CASE-00832"/>
        <s v="CASE-00833"/>
        <s v="CASE-00834"/>
        <s v="CASE-00835"/>
        <s v="CASE-00836"/>
        <s v="CASE-00837"/>
        <s v="CASE-00838"/>
        <s v="CASE-00839"/>
        <s v="CASE-00840"/>
        <s v="CASE-00841"/>
        <s v="CASE-00842"/>
        <s v="CASE-00843"/>
        <s v="CASE-00844"/>
        <s v="CASE-00845"/>
        <s v="CASE-00846"/>
        <s v="CASE-00847"/>
        <s v="CASE-00848"/>
        <s v="CASE-00849"/>
        <s v="CASE-00850"/>
        <s v="CASE-00851"/>
        <s v="CASE-00852"/>
        <s v="CASE-00853"/>
        <s v="CASE-00854"/>
        <s v="CASE-00855"/>
        <s v="CASE-00856"/>
        <s v="CASE-00857"/>
        <s v="CASE-00858"/>
        <s v="CASE-00859"/>
        <s v="CASE-00860"/>
        <s v="CASE-00861"/>
        <s v="CASE-00862"/>
        <s v="CASE-00863"/>
        <s v="CASE-00864"/>
        <s v="CASE-00865"/>
        <s v="CASE-00866"/>
        <s v="CASE-00867"/>
        <s v="CASE-00868"/>
        <s v="CASE-00869"/>
        <s v="CASE-00870"/>
        <s v="CASE-00871"/>
        <s v="CASE-00872"/>
        <s v="CASE-00873"/>
        <s v="CASE-00874"/>
        <s v="CASE-00875"/>
        <s v="CASE-00876"/>
        <s v="CASE-00877"/>
        <s v="CASE-00878"/>
        <s v="CASE-00879"/>
        <s v="CASE-00880"/>
        <s v="CASE-00881"/>
        <s v="CASE-00882"/>
        <s v="CASE-00883"/>
        <s v="CASE-00884"/>
        <s v="CASE-00885"/>
        <s v="CASE-00886"/>
        <s v="CASE-00887"/>
        <s v="CASE-00888"/>
        <s v="CASE-00889"/>
        <s v="CASE-00890"/>
        <s v="CASE-00891"/>
        <s v="CASE-00892"/>
        <s v="CASE-00893"/>
        <s v="CASE-00894"/>
        <s v="CASE-00895"/>
        <s v="CASE-00896"/>
        <s v="CASE-00897"/>
        <s v="CASE-00898"/>
        <s v="CASE-00899"/>
        <s v="CASE-00900"/>
        <s v="CASE-00901"/>
        <s v="CASE-00902"/>
        <s v="CASE-00903"/>
        <s v="CASE-00904"/>
        <s v="CASE-00905"/>
        <s v="CASE-00906"/>
        <s v="CASE-00907"/>
        <s v="CASE-00908"/>
        <s v="CASE-00909"/>
        <s v="CASE-00910"/>
        <s v="CASE-00911"/>
        <s v="CASE-00912"/>
        <s v="CASE-00913"/>
        <s v="CASE-00914"/>
        <s v="CASE-00915"/>
        <s v="CASE-00916"/>
        <s v="CASE-00917"/>
        <s v="CASE-00918"/>
        <s v="CASE-00919"/>
        <s v="CASE-00920"/>
        <s v="CASE-00921"/>
        <s v="CASE-00922"/>
        <s v="CASE-00923"/>
        <s v="CASE-00924"/>
        <s v="CASE-00925"/>
        <s v="CASE-00926"/>
        <s v="CASE-00927"/>
        <s v="CASE-00928"/>
        <s v="CASE-00929"/>
        <s v="CASE-00930"/>
        <s v="CASE-00931"/>
        <s v="CASE-00932"/>
        <s v="CASE-00933"/>
        <s v="CASE-00934"/>
        <s v="CASE-00935"/>
        <s v="CASE-00936"/>
        <s v="CASE-00937"/>
        <s v="CASE-00938"/>
        <s v="CASE-00939"/>
        <s v="CASE-00940"/>
        <s v="CASE-00941"/>
        <s v="CASE-00942"/>
        <s v="CASE-00943"/>
        <s v="CASE-00944"/>
        <s v="CASE-00945"/>
        <s v="CASE-00946"/>
        <s v="CASE-00947"/>
        <s v="CASE-00948"/>
        <s v="CASE-00949"/>
        <s v="CASE-00950"/>
        <s v="CASE-00951"/>
        <s v="CASE-00952"/>
        <s v="CASE-00953"/>
        <s v="CASE-00954"/>
        <s v="CASE-00955"/>
        <s v="CASE-00956"/>
        <s v="CASE-00957"/>
        <s v="CASE-00958"/>
        <s v="CASE-00959"/>
        <s v="CASE-00960"/>
        <s v="CASE-00961"/>
        <s v="CASE-00962"/>
        <s v="CASE-00963"/>
        <s v="CASE-00964"/>
        <s v="CASE-00965"/>
        <s v="CASE-00966"/>
        <s v="CASE-00967"/>
        <s v="CASE-00968"/>
        <s v="CASE-00969"/>
        <s v="CASE-00970"/>
        <s v="CASE-00971"/>
        <s v="CASE-00972"/>
        <s v="CASE-00973"/>
        <s v="CASE-00974"/>
        <s v="CASE-00975"/>
        <s v="CASE-00976"/>
        <s v="CASE-00977"/>
        <s v="CASE-00978"/>
        <s v="CASE-00979"/>
        <s v="CASE-00980"/>
        <s v="CASE-00981"/>
        <s v="CASE-00982"/>
        <s v="CASE-00983"/>
        <s v="CASE-00984"/>
        <s v="CASE-00985"/>
        <s v="CASE-00986"/>
        <s v="CASE-00987"/>
        <s v="CASE-00988"/>
        <s v="CASE-00989"/>
        <s v="CASE-00990"/>
        <s v="CASE-00991"/>
        <s v="CASE-00992"/>
        <s v="CASE-00993"/>
        <s v="CASE-00994"/>
        <s v="CASE-00995"/>
        <s v="CASE-00996"/>
        <s v="CASE-00997"/>
        <s v="CASE-00998"/>
        <s v="CASE-00999"/>
        <s v="CASE-01000"/>
        <s v="CASE-01001"/>
        <s v="CASE-01002"/>
        <s v="CASE-01003"/>
        <s v="CASE-01004"/>
        <s v="CASE-01005"/>
        <s v="CASE-01006"/>
        <s v="CASE-01007"/>
        <s v="CASE-01008"/>
        <s v="CASE-01009"/>
        <s v="CASE-01010"/>
        <s v="CASE-01011"/>
        <s v="CASE-01012"/>
        <s v="CASE-01013"/>
        <s v="CASE-01014"/>
        <s v="CASE-01015"/>
        <s v="CASE-01016"/>
        <s v="CASE-01017"/>
        <s v="CASE-01018"/>
        <s v="CASE-01019"/>
        <s v="CASE-01020"/>
        <s v="CASE-01021"/>
        <s v="CASE-01022"/>
        <s v="CASE-01023"/>
        <s v="CASE-01024"/>
        <s v="CASE-01025"/>
        <s v="CASE-01026"/>
        <s v="CASE-01027"/>
        <s v="CASE-01028"/>
        <s v="CASE-01029"/>
        <s v="CASE-01030"/>
        <s v="CASE-01031"/>
        <s v="CASE-01032"/>
        <s v="CASE-01033"/>
        <s v="CASE-01034"/>
        <s v="CASE-01035"/>
        <s v="CASE-01036"/>
        <s v="CASE-01037"/>
        <s v="CASE-01038"/>
        <s v="CASE-01039"/>
        <s v="CASE-01040"/>
        <s v="CASE-01041"/>
        <s v="CASE-01042"/>
        <s v="CASE-01043"/>
        <s v="CASE-01044"/>
        <s v="CASE-01045"/>
        <s v="CASE-01046"/>
        <s v="CASE-01047"/>
        <s v="CASE-01048"/>
        <s v="CASE-01049"/>
        <s v="CASE-01050"/>
        <s v="CASE-01051"/>
        <s v="CASE-01052"/>
        <s v="CASE-01053"/>
        <s v="CASE-01054"/>
        <s v="CASE-01055"/>
        <s v="CASE-01056"/>
        <s v="CASE-01057"/>
        <s v="CASE-01058"/>
        <s v="CASE-01059"/>
        <s v="CASE-01060"/>
        <s v="CASE-01061"/>
        <s v="CASE-01062"/>
        <s v="CASE-01063"/>
        <s v="CASE-01064"/>
        <s v="CASE-01065"/>
        <s v="CASE-01066"/>
        <s v="CASE-01067"/>
        <s v="CASE-01068"/>
        <s v="CASE-01069"/>
        <s v="CASE-01070"/>
        <s v="CASE-01071"/>
        <s v="CASE-01072"/>
        <s v="CASE-01073"/>
        <s v="CASE-01074"/>
        <s v="CASE-01075"/>
        <s v="CASE-01076"/>
        <s v="CASE-01077"/>
        <s v="CASE-01078"/>
        <s v="CASE-01079"/>
        <s v="CASE-01080"/>
        <s v="CASE-01081"/>
        <s v="CASE-01082"/>
        <s v="CASE-01083"/>
        <s v="CASE-01084"/>
        <s v="CASE-01085"/>
        <s v="CASE-01086"/>
        <s v="CASE-01087"/>
        <s v="CASE-01088"/>
        <s v="CASE-01089"/>
        <s v="CASE-01090"/>
        <s v="CASE-01091"/>
        <s v="CASE-01092"/>
        <s v="CASE-01093"/>
        <s v="CASE-01094"/>
        <s v="CASE-01095"/>
        <s v="CASE-01096"/>
        <s v="CASE-01097"/>
        <s v="CASE-01098"/>
        <s v="CASE-01099"/>
        <s v="CASE-01100"/>
        <s v="CASE-01101"/>
        <s v="CASE-01102"/>
        <s v="CASE-01103"/>
        <s v="CASE-01104"/>
        <s v="CASE-01105"/>
        <s v="CASE-01106"/>
        <s v="CASE-01107"/>
        <s v="CASE-01108"/>
        <s v="CASE-01109"/>
        <s v="CASE-01110"/>
        <s v="CASE-01111"/>
        <s v="CASE-01112"/>
        <s v="CASE-01113"/>
        <s v="CASE-01114"/>
        <s v="CASE-01115"/>
        <s v="CASE-01116"/>
        <s v="CASE-01117"/>
        <s v="CASE-01118"/>
        <s v="CASE-01119"/>
        <s v="CASE-01120"/>
        <s v="CASE-01121"/>
        <s v="CASE-01122"/>
        <s v="CASE-01123"/>
        <s v="CASE-01124"/>
        <s v="CASE-01125"/>
        <s v="CASE-01126"/>
        <s v="CASE-01127"/>
        <s v="CASE-01128"/>
        <s v="CASE-01129"/>
        <s v="CASE-01130"/>
        <s v="CASE-01131"/>
        <s v="CASE-01132"/>
        <s v="CASE-01133"/>
        <s v="CASE-01134"/>
        <s v="CASE-01135"/>
        <s v="CASE-01136"/>
        <s v="CASE-01137"/>
        <s v="CASE-01138"/>
        <s v="CASE-01139"/>
        <s v="CASE-01140"/>
        <s v="CASE-01141"/>
        <s v="CASE-01142"/>
        <s v="CASE-01143"/>
        <s v="CASE-01144"/>
        <s v="CASE-01145"/>
        <s v="CASE-01146"/>
        <s v="CASE-01147"/>
        <s v="CASE-01148"/>
        <s v="CASE-01149"/>
        <s v="CASE-01150"/>
        <s v="CASE-01151"/>
        <s v="CASE-01152"/>
        <s v="CASE-01153"/>
        <s v="CASE-01154"/>
        <s v="CASE-01155"/>
        <s v="CASE-01156"/>
        <s v="CASE-01157"/>
        <s v="CASE-01158"/>
        <s v="CASE-01159"/>
        <s v="CASE-01160"/>
        <s v="CASE-01161"/>
        <s v="CASE-01162"/>
        <s v="CASE-01163"/>
        <s v="CASE-01164"/>
        <s v="CASE-01165"/>
        <s v="CASE-01166"/>
        <s v="CASE-01167"/>
        <s v="CASE-01168"/>
        <s v="CASE-01169"/>
        <s v="CASE-01170"/>
        <s v="CASE-01171"/>
        <s v="CASE-01172"/>
        <s v="CASE-01173"/>
        <s v="CASE-01174"/>
        <s v="CASE-01175"/>
        <s v="CASE-01176"/>
        <s v="CASE-01177"/>
        <s v="CASE-01178"/>
        <s v="CASE-01179"/>
        <s v="CASE-01180"/>
        <s v="CASE-01181"/>
        <s v="CASE-01182"/>
        <s v="CASE-01183"/>
        <s v="CASE-01184"/>
        <s v="CASE-01185"/>
        <s v="CASE-01186"/>
        <s v="CASE-01187"/>
        <s v="CASE-01188"/>
        <s v="CASE-01189"/>
        <s v="CASE-01190"/>
        <s v="CASE-01191"/>
        <s v="CASE-01192"/>
        <s v="CASE-01193"/>
        <s v="CASE-01194"/>
        <s v="CASE-01195"/>
        <s v="CASE-01196"/>
        <s v="CASE-01197"/>
        <s v="CASE-01198"/>
        <s v="CASE-01199"/>
        <s v="CASE-01200"/>
      </sharedItems>
    </cacheField>
    <cacheField name="Department" numFmtId="0">
      <sharedItems count="3" containsString="1" containsNumber="0" containsBlank="0" containsSemiMixedTypes="0">
        <s v="Customer Services"/>
        <s v="Warehouse"/>
        <s v="Installation"/>
      </sharedItems>
    </cacheField>
    <cacheField name="Category" numFmtId="0">
      <sharedItems count="4" containsString="1" containsNumber="0" containsBlank="0" containsSemiMixedTypes="0">
        <s v="Late review"/>
        <s v="Missing evidence"/>
        <s v="Process deviation"/>
        <s v="Record mismatch"/>
      </sharedItems>
    </cacheField>
  </cacheFields>
</pivotCacheDefinition>
</file>

<file path=xl/pivotCache/pivotCacheRecords1.xml><?xml version="1.0" encoding="utf-8"?>
<pivotCacheRecords xmlns="http://schemas.openxmlformats.org/spreadsheetml/2006/main" count="1200">
  <r>
    <x v="0"/>
    <x v="0"/>
    <x v="1"/>
  </r>
  <r>
    <x v="1"/>
    <x v="2"/>
    <x v="3"/>
  </r>
  <r>
    <x v="2"/>
    <x v="0"/>
    <x v="3"/>
  </r>
  <r>
    <x v="3"/>
    <x v="0"/>
    <x v="3"/>
  </r>
  <r>
    <x v="4"/>
    <x v="2"/>
    <x v="0"/>
  </r>
  <r>
    <x v="5"/>
    <x v="0"/>
    <x v="2"/>
  </r>
  <r>
    <x v="6"/>
    <x v="0"/>
    <x v="0"/>
  </r>
  <r>
    <x v="7"/>
    <x v="1"/>
    <x v="2"/>
  </r>
  <r>
    <x v="8"/>
    <x v="2"/>
    <x v="0"/>
  </r>
  <r>
    <x v="9"/>
    <x v="0"/>
    <x v="3"/>
  </r>
  <r>
    <x v="10"/>
    <x v="0"/>
    <x v="2"/>
  </r>
  <r>
    <x v="11"/>
    <x v="1"/>
    <x v="3"/>
  </r>
  <r>
    <x v="12"/>
    <x v="0"/>
    <x v="0"/>
  </r>
  <r>
    <x v="13"/>
    <x v="0"/>
    <x v="3"/>
  </r>
  <r>
    <x v="14"/>
    <x v="0"/>
    <x v="3"/>
  </r>
  <r>
    <x v="15"/>
    <x v="0"/>
    <x v="1"/>
  </r>
  <r>
    <x v="16"/>
    <x v="0"/>
    <x v="1"/>
  </r>
  <r>
    <x v="17"/>
    <x v="1"/>
    <x v="3"/>
  </r>
  <r>
    <x v="18"/>
    <x v="1"/>
    <x v="2"/>
  </r>
  <r>
    <x v="19"/>
    <x v="1"/>
    <x v="1"/>
  </r>
  <r>
    <x v="20"/>
    <x v="2"/>
    <x v="2"/>
  </r>
  <r>
    <x v="21"/>
    <x v="0"/>
    <x v="0"/>
  </r>
  <r>
    <x v="22"/>
    <x v="0"/>
    <x v="3"/>
  </r>
  <r>
    <x v="23"/>
    <x v="0"/>
    <x v="1"/>
  </r>
  <r>
    <x v="24"/>
    <x v="2"/>
    <x v="1"/>
  </r>
  <r>
    <x v="25"/>
    <x v="0"/>
    <x v="0"/>
  </r>
  <r>
    <x v="26"/>
    <x v="0"/>
    <x v="3"/>
  </r>
  <r>
    <x v="27"/>
    <x v="0"/>
    <x v="2"/>
  </r>
  <r>
    <x v="28"/>
    <x v="2"/>
    <x v="0"/>
  </r>
  <r>
    <x v="29"/>
    <x v="0"/>
    <x v="0"/>
  </r>
  <r>
    <x v="30"/>
    <x v="2"/>
    <x v="0"/>
  </r>
  <r>
    <x v="31"/>
    <x v="0"/>
    <x v="1"/>
  </r>
  <r>
    <x v="32"/>
    <x v="2"/>
    <x v="0"/>
  </r>
  <r>
    <x v="33"/>
    <x v="0"/>
    <x v="3"/>
  </r>
  <r>
    <x v="34"/>
    <x v="0"/>
    <x v="1"/>
  </r>
  <r>
    <x v="35"/>
    <x v="0"/>
    <x v="0"/>
  </r>
  <r>
    <x v="36"/>
    <x v="1"/>
    <x v="2"/>
  </r>
  <r>
    <x v="37"/>
    <x v="2"/>
    <x v="3"/>
  </r>
  <r>
    <x v="38"/>
    <x v="1"/>
    <x v="2"/>
  </r>
  <r>
    <x v="39"/>
    <x v="2"/>
    <x v="0"/>
  </r>
  <r>
    <x v="40"/>
    <x v="0"/>
    <x v="0"/>
  </r>
  <r>
    <x v="41"/>
    <x v="2"/>
    <x v="3"/>
  </r>
  <r>
    <x v="42"/>
    <x v="2"/>
    <x v="3"/>
  </r>
  <r>
    <x v="43"/>
    <x v="0"/>
    <x v="0"/>
  </r>
  <r>
    <x v="44"/>
    <x v="2"/>
    <x v="2"/>
  </r>
  <r>
    <x v="45"/>
    <x v="0"/>
    <x v="0"/>
  </r>
  <r>
    <x v="46"/>
    <x v="1"/>
    <x v="2"/>
  </r>
  <r>
    <x v="47"/>
    <x v="2"/>
    <x v="2"/>
  </r>
  <r>
    <x v="48"/>
    <x v="0"/>
    <x v="3"/>
  </r>
  <r>
    <x v="49"/>
    <x v="0"/>
    <x v="0"/>
  </r>
  <r>
    <x v="50"/>
    <x v="1"/>
    <x v="0"/>
  </r>
  <r>
    <x v="51"/>
    <x v="1"/>
    <x v="3"/>
  </r>
  <r>
    <x v="52"/>
    <x v="0"/>
    <x v="3"/>
  </r>
  <r>
    <x v="53"/>
    <x v="0"/>
    <x v="2"/>
  </r>
  <r>
    <x v="54"/>
    <x v="1"/>
    <x v="1"/>
  </r>
  <r>
    <x v="55"/>
    <x v="0"/>
    <x v="3"/>
  </r>
  <r>
    <x v="56"/>
    <x v="0"/>
    <x v="3"/>
  </r>
  <r>
    <x v="57"/>
    <x v="2"/>
    <x v="0"/>
  </r>
  <r>
    <x v="58"/>
    <x v="0"/>
    <x v="0"/>
  </r>
  <r>
    <x v="59"/>
    <x v="0"/>
    <x v="0"/>
  </r>
  <r>
    <x v="60"/>
    <x v="1"/>
    <x v="0"/>
  </r>
  <r>
    <x v="61"/>
    <x v="2"/>
    <x v="3"/>
  </r>
  <r>
    <x v="62"/>
    <x v="0"/>
    <x v="3"/>
  </r>
  <r>
    <x v="63"/>
    <x v="2"/>
    <x v="2"/>
  </r>
  <r>
    <x v="64"/>
    <x v="0"/>
    <x v="2"/>
  </r>
  <r>
    <x v="65"/>
    <x v="2"/>
    <x v="2"/>
  </r>
  <r>
    <x v="66"/>
    <x v="0"/>
    <x v="0"/>
  </r>
  <r>
    <x v="67"/>
    <x v="0"/>
    <x v="1"/>
  </r>
  <r>
    <x v="68"/>
    <x v="1"/>
    <x v="0"/>
  </r>
  <r>
    <x v="69"/>
    <x v="0"/>
    <x v="3"/>
  </r>
  <r>
    <x v="70"/>
    <x v="2"/>
    <x v="0"/>
  </r>
  <r>
    <x v="71"/>
    <x v="1"/>
    <x v="2"/>
  </r>
  <r>
    <x v="72"/>
    <x v="1"/>
    <x v="1"/>
  </r>
  <r>
    <x v="73"/>
    <x v="0"/>
    <x v="2"/>
  </r>
  <r>
    <x v="74"/>
    <x v="0"/>
    <x v="0"/>
  </r>
  <r>
    <x v="75"/>
    <x v="1"/>
    <x v="3"/>
  </r>
  <r>
    <x v="76"/>
    <x v="1"/>
    <x v="3"/>
  </r>
  <r>
    <x v="77"/>
    <x v="0"/>
    <x v="3"/>
  </r>
  <r>
    <x v="78"/>
    <x v="1"/>
    <x v="2"/>
  </r>
  <r>
    <x v="79"/>
    <x v="1"/>
    <x v="2"/>
  </r>
  <r>
    <x v="80"/>
    <x v="0"/>
    <x v="1"/>
  </r>
  <r>
    <x v="81"/>
    <x v="0"/>
    <x v="3"/>
  </r>
  <r>
    <x v="82"/>
    <x v="1"/>
    <x v="0"/>
  </r>
  <r>
    <x v="83"/>
    <x v="2"/>
    <x v="2"/>
  </r>
  <r>
    <x v="84"/>
    <x v="2"/>
    <x v="2"/>
  </r>
  <r>
    <x v="85"/>
    <x v="0"/>
    <x v="2"/>
  </r>
  <r>
    <x v="86"/>
    <x v="0"/>
    <x v="1"/>
  </r>
  <r>
    <x v="87"/>
    <x v="0"/>
    <x v="3"/>
  </r>
  <r>
    <x v="88"/>
    <x v="0"/>
    <x v="1"/>
  </r>
  <r>
    <x v="89"/>
    <x v="0"/>
    <x v="1"/>
  </r>
  <r>
    <x v="90"/>
    <x v="0"/>
    <x v="0"/>
  </r>
  <r>
    <x v="91"/>
    <x v="2"/>
    <x v="3"/>
  </r>
  <r>
    <x v="92"/>
    <x v="2"/>
    <x v="0"/>
  </r>
  <r>
    <x v="93"/>
    <x v="0"/>
    <x v="0"/>
  </r>
  <r>
    <x v="94"/>
    <x v="1"/>
    <x v="0"/>
  </r>
  <r>
    <x v="95"/>
    <x v="0"/>
    <x v="3"/>
  </r>
  <r>
    <x v="96"/>
    <x v="2"/>
    <x v="2"/>
  </r>
  <r>
    <x v="97"/>
    <x v="2"/>
    <x v="2"/>
  </r>
  <r>
    <x v="98"/>
    <x v="1"/>
    <x v="0"/>
  </r>
  <r>
    <x v="99"/>
    <x v="0"/>
    <x v="0"/>
  </r>
  <r>
    <x v="100"/>
    <x v="1"/>
    <x v="1"/>
  </r>
  <r>
    <x v="101"/>
    <x v="2"/>
    <x v="3"/>
  </r>
  <r>
    <x v="102"/>
    <x v="1"/>
    <x v="2"/>
  </r>
  <r>
    <x v="103"/>
    <x v="0"/>
    <x v="0"/>
  </r>
  <r>
    <x v="104"/>
    <x v="1"/>
    <x v="2"/>
  </r>
  <r>
    <x v="105"/>
    <x v="1"/>
    <x v="3"/>
  </r>
  <r>
    <x v="106"/>
    <x v="2"/>
    <x v="3"/>
  </r>
  <r>
    <x v="107"/>
    <x v="2"/>
    <x v="0"/>
  </r>
  <r>
    <x v="108"/>
    <x v="1"/>
    <x v="0"/>
  </r>
  <r>
    <x v="109"/>
    <x v="1"/>
    <x v="2"/>
  </r>
  <r>
    <x v="110"/>
    <x v="0"/>
    <x v="0"/>
  </r>
  <r>
    <x v="111"/>
    <x v="0"/>
    <x v="1"/>
  </r>
  <r>
    <x v="112"/>
    <x v="1"/>
    <x v="2"/>
  </r>
  <r>
    <x v="113"/>
    <x v="2"/>
    <x v="3"/>
  </r>
  <r>
    <x v="114"/>
    <x v="1"/>
    <x v="3"/>
  </r>
  <r>
    <x v="115"/>
    <x v="1"/>
    <x v="3"/>
  </r>
  <r>
    <x v="116"/>
    <x v="1"/>
    <x v="1"/>
  </r>
  <r>
    <x v="117"/>
    <x v="0"/>
    <x v="2"/>
  </r>
  <r>
    <x v="118"/>
    <x v="0"/>
    <x v="3"/>
  </r>
  <r>
    <x v="119"/>
    <x v="2"/>
    <x v="1"/>
  </r>
  <r>
    <x v="120"/>
    <x v="1"/>
    <x v="3"/>
  </r>
  <r>
    <x v="121"/>
    <x v="2"/>
    <x v="1"/>
  </r>
  <r>
    <x v="122"/>
    <x v="2"/>
    <x v="0"/>
  </r>
  <r>
    <x v="123"/>
    <x v="0"/>
    <x v="0"/>
  </r>
  <r>
    <x v="124"/>
    <x v="2"/>
    <x v="1"/>
  </r>
  <r>
    <x v="125"/>
    <x v="0"/>
    <x v="2"/>
  </r>
  <r>
    <x v="126"/>
    <x v="0"/>
    <x v="2"/>
  </r>
  <r>
    <x v="127"/>
    <x v="2"/>
    <x v="1"/>
  </r>
  <r>
    <x v="128"/>
    <x v="0"/>
    <x v="1"/>
  </r>
  <r>
    <x v="129"/>
    <x v="2"/>
    <x v="3"/>
  </r>
  <r>
    <x v="130"/>
    <x v="2"/>
    <x v="0"/>
  </r>
  <r>
    <x v="131"/>
    <x v="1"/>
    <x v="3"/>
  </r>
  <r>
    <x v="132"/>
    <x v="2"/>
    <x v="3"/>
  </r>
  <r>
    <x v="133"/>
    <x v="0"/>
    <x v="0"/>
  </r>
  <r>
    <x v="134"/>
    <x v="2"/>
    <x v="3"/>
  </r>
  <r>
    <x v="135"/>
    <x v="2"/>
    <x v="0"/>
  </r>
  <r>
    <x v="136"/>
    <x v="0"/>
    <x v="2"/>
  </r>
  <r>
    <x v="137"/>
    <x v="1"/>
    <x v="2"/>
  </r>
  <r>
    <x v="138"/>
    <x v="0"/>
    <x v="0"/>
  </r>
  <r>
    <x v="139"/>
    <x v="2"/>
    <x v="1"/>
  </r>
  <r>
    <x v="140"/>
    <x v="2"/>
    <x v="2"/>
  </r>
  <r>
    <x v="141"/>
    <x v="2"/>
    <x v="1"/>
  </r>
  <r>
    <x v="142"/>
    <x v="2"/>
    <x v="0"/>
  </r>
  <r>
    <x v="143"/>
    <x v="0"/>
    <x v="2"/>
  </r>
  <r>
    <x v="144"/>
    <x v="0"/>
    <x v="1"/>
  </r>
  <r>
    <x v="145"/>
    <x v="0"/>
    <x v="3"/>
  </r>
  <r>
    <x v="146"/>
    <x v="2"/>
    <x v="2"/>
  </r>
  <r>
    <x v="147"/>
    <x v="0"/>
    <x v="1"/>
  </r>
  <r>
    <x v="148"/>
    <x v="2"/>
    <x v="1"/>
  </r>
  <r>
    <x v="149"/>
    <x v="1"/>
    <x v="0"/>
  </r>
  <r>
    <x v="150"/>
    <x v="2"/>
    <x v="0"/>
  </r>
  <r>
    <x v="151"/>
    <x v="2"/>
    <x v="2"/>
  </r>
  <r>
    <x v="152"/>
    <x v="2"/>
    <x v="0"/>
  </r>
  <r>
    <x v="153"/>
    <x v="0"/>
    <x v="1"/>
  </r>
  <r>
    <x v="154"/>
    <x v="2"/>
    <x v="0"/>
  </r>
  <r>
    <x v="155"/>
    <x v="0"/>
    <x v="0"/>
  </r>
  <r>
    <x v="156"/>
    <x v="1"/>
    <x v="2"/>
  </r>
  <r>
    <x v="157"/>
    <x v="1"/>
    <x v="0"/>
  </r>
  <r>
    <x v="158"/>
    <x v="1"/>
    <x v="3"/>
  </r>
  <r>
    <x v="159"/>
    <x v="0"/>
    <x v="1"/>
  </r>
  <r>
    <x v="160"/>
    <x v="2"/>
    <x v="3"/>
  </r>
  <r>
    <x v="161"/>
    <x v="0"/>
    <x v="3"/>
  </r>
  <r>
    <x v="162"/>
    <x v="0"/>
    <x v="2"/>
  </r>
  <r>
    <x v="163"/>
    <x v="0"/>
    <x v="2"/>
  </r>
  <r>
    <x v="164"/>
    <x v="1"/>
    <x v="2"/>
  </r>
  <r>
    <x v="165"/>
    <x v="2"/>
    <x v="3"/>
  </r>
  <r>
    <x v="166"/>
    <x v="0"/>
    <x v="3"/>
  </r>
  <r>
    <x v="167"/>
    <x v="1"/>
    <x v="1"/>
  </r>
  <r>
    <x v="168"/>
    <x v="1"/>
    <x v="2"/>
  </r>
  <r>
    <x v="169"/>
    <x v="1"/>
    <x v="2"/>
  </r>
  <r>
    <x v="170"/>
    <x v="2"/>
    <x v="0"/>
  </r>
  <r>
    <x v="171"/>
    <x v="0"/>
    <x v="3"/>
  </r>
  <r>
    <x v="172"/>
    <x v="0"/>
    <x v="0"/>
  </r>
  <r>
    <x v="173"/>
    <x v="0"/>
    <x v="1"/>
  </r>
  <r>
    <x v="174"/>
    <x v="2"/>
    <x v="3"/>
  </r>
  <r>
    <x v="175"/>
    <x v="0"/>
    <x v="0"/>
  </r>
  <r>
    <x v="176"/>
    <x v="0"/>
    <x v="3"/>
  </r>
  <r>
    <x v="177"/>
    <x v="2"/>
    <x v="3"/>
  </r>
  <r>
    <x v="178"/>
    <x v="0"/>
    <x v="3"/>
  </r>
  <r>
    <x v="179"/>
    <x v="0"/>
    <x v="2"/>
  </r>
  <r>
    <x v="180"/>
    <x v="0"/>
    <x v="3"/>
  </r>
  <r>
    <x v="181"/>
    <x v="1"/>
    <x v="1"/>
  </r>
  <r>
    <x v="182"/>
    <x v="0"/>
    <x v="0"/>
  </r>
  <r>
    <x v="183"/>
    <x v="2"/>
    <x v="1"/>
  </r>
  <r>
    <x v="184"/>
    <x v="1"/>
    <x v="1"/>
  </r>
  <r>
    <x v="185"/>
    <x v="0"/>
    <x v="3"/>
  </r>
  <r>
    <x v="186"/>
    <x v="2"/>
    <x v="2"/>
  </r>
  <r>
    <x v="187"/>
    <x v="0"/>
    <x v="0"/>
  </r>
  <r>
    <x v="188"/>
    <x v="1"/>
    <x v="3"/>
  </r>
  <r>
    <x v="189"/>
    <x v="0"/>
    <x v="2"/>
  </r>
  <r>
    <x v="190"/>
    <x v="0"/>
    <x v="2"/>
  </r>
  <r>
    <x v="191"/>
    <x v="1"/>
    <x v="0"/>
  </r>
  <r>
    <x v="192"/>
    <x v="2"/>
    <x v="0"/>
  </r>
  <r>
    <x v="193"/>
    <x v="0"/>
    <x v="2"/>
  </r>
  <r>
    <x v="194"/>
    <x v="2"/>
    <x v="1"/>
  </r>
  <r>
    <x v="195"/>
    <x v="2"/>
    <x v="1"/>
  </r>
  <r>
    <x v="196"/>
    <x v="2"/>
    <x v="1"/>
  </r>
  <r>
    <x v="197"/>
    <x v="0"/>
    <x v="1"/>
  </r>
  <r>
    <x v="198"/>
    <x v="1"/>
    <x v="3"/>
  </r>
  <r>
    <x v="199"/>
    <x v="0"/>
    <x v="2"/>
  </r>
  <r>
    <x v="200"/>
    <x v="1"/>
    <x v="1"/>
  </r>
  <r>
    <x v="201"/>
    <x v="2"/>
    <x v="1"/>
  </r>
  <r>
    <x v="202"/>
    <x v="0"/>
    <x v="1"/>
  </r>
  <r>
    <x v="203"/>
    <x v="0"/>
    <x v="3"/>
  </r>
  <r>
    <x v="204"/>
    <x v="2"/>
    <x v="1"/>
  </r>
  <r>
    <x v="205"/>
    <x v="0"/>
    <x v="0"/>
  </r>
  <r>
    <x v="206"/>
    <x v="0"/>
    <x v="2"/>
  </r>
  <r>
    <x v="207"/>
    <x v="0"/>
    <x v="3"/>
  </r>
  <r>
    <x v="208"/>
    <x v="0"/>
    <x v="3"/>
  </r>
  <r>
    <x v="209"/>
    <x v="0"/>
    <x v="3"/>
  </r>
  <r>
    <x v="210"/>
    <x v="1"/>
    <x v="2"/>
  </r>
  <r>
    <x v="211"/>
    <x v="2"/>
    <x v="2"/>
  </r>
  <r>
    <x v="212"/>
    <x v="1"/>
    <x v="0"/>
  </r>
  <r>
    <x v="213"/>
    <x v="2"/>
    <x v="3"/>
  </r>
  <r>
    <x v="214"/>
    <x v="1"/>
    <x v="2"/>
  </r>
  <r>
    <x v="215"/>
    <x v="1"/>
    <x v="1"/>
  </r>
  <r>
    <x v="216"/>
    <x v="0"/>
    <x v="1"/>
  </r>
  <r>
    <x v="217"/>
    <x v="1"/>
    <x v="3"/>
  </r>
  <r>
    <x v="218"/>
    <x v="2"/>
    <x v="3"/>
  </r>
  <r>
    <x v="219"/>
    <x v="2"/>
    <x v="2"/>
  </r>
  <r>
    <x v="220"/>
    <x v="1"/>
    <x v="2"/>
  </r>
  <r>
    <x v="221"/>
    <x v="1"/>
    <x v="1"/>
  </r>
  <r>
    <x v="222"/>
    <x v="1"/>
    <x v="2"/>
  </r>
  <r>
    <x v="223"/>
    <x v="2"/>
    <x v="1"/>
  </r>
  <r>
    <x v="224"/>
    <x v="2"/>
    <x v="1"/>
  </r>
  <r>
    <x v="225"/>
    <x v="2"/>
    <x v="2"/>
  </r>
  <r>
    <x v="226"/>
    <x v="2"/>
    <x v="1"/>
  </r>
  <r>
    <x v="227"/>
    <x v="1"/>
    <x v="0"/>
  </r>
  <r>
    <x v="228"/>
    <x v="0"/>
    <x v="3"/>
  </r>
  <r>
    <x v="229"/>
    <x v="0"/>
    <x v="2"/>
  </r>
  <r>
    <x v="230"/>
    <x v="1"/>
    <x v="0"/>
  </r>
  <r>
    <x v="231"/>
    <x v="0"/>
    <x v="1"/>
  </r>
  <r>
    <x v="232"/>
    <x v="1"/>
    <x v="3"/>
  </r>
  <r>
    <x v="233"/>
    <x v="1"/>
    <x v="0"/>
  </r>
  <r>
    <x v="234"/>
    <x v="0"/>
    <x v="1"/>
  </r>
  <r>
    <x v="235"/>
    <x v="0"/>
    <x v="3"/>
  </r>
  <r>
    <x v="236"/>
    <x v="2"/>
    <x v="2"/>
  </r>
  <r>
    <x v="237"/>
    <x v="1"/>
    <x v="0"/>
  </r>
  <r>
    <x v="238"/>
    <x v="0"/>
    <x v="2"/>
  </r>
  <r>
    <x v="239"/>
    <x v="2"/>
    <x v="0"/>
  </r>
  <r>
    <x v="240"/>
    <x v="0"/>
    <x v="3"/>
  </r>
  <r>
    <x v="241"/>
    <x v="2"/>
    <x v="3"/>
  </r>
  <r>
    <x v="242"/>
    <x v="2"/>
    <x v="2"/>
  </r>
  <r>
    <x v="243"/>
    <x v="0"/>
    <x v="1"/>
  </r>
  <r>
    <x v="244"/>
    <x v="1"/>
    <x v="1"/>
  </r>
  <r>
    <x v="245"/>
    <x v="1"/>
    <x v="1"/>
  </r>
  <r>
    <x v="246"/>
    <x v="0"/>
    <x v="2"/>
  </r>
  <r>
    <x v="247"/>
    <x v="0"/>
    <x v="0"/>
  </r>
  <r>
    <x v="248"/>
    <x v="0"/>
    <x v="2"/>
  </r>
  <r>
    <x v="249"/>
    <x v="2"/>
    <x v="0"/>
  </r>
  <r>
    <x v="250"/>
    <x v="2"/>
    <x v="0"/>
  </r>
  <r>
    <x v="251"/>
    <x v="1"/>
    <x v="1"/>
  </r>
  <r>
    <x v="252"/>
    <x v="1"/>
    <x v="0"/>
  </r>
  <r>
    <x v="253"/>
    <x v="0"/>
    <x v="3"/>
  </r>
  <r>
    <x v="254"/>
    <x v="1"/>
    <x v="3"/>
  </r>
  <r>
    <x v="255"/>
    <x v="2"/>
    <x v="3"/>
  </r>
  <r>
    <x v="256"/>
    <x v="0"/>
    <x v="2"/>
  </r>
  <r>
    <x v="257"/>
    <x v="0"/>
    <x v="0"/>
  </r>
  <r>
    <x v="258"/>
    <x v="1"/>
    <x v="2"/>
  </r>
  <r>
    <x v="259"/>
    <x v="1"/>
    <x v="1"/>
  </r>
  <r>
    <x v="260"/>
    <x v="0"/>
    <x v="1"/>
  </r>
  <r>
    <x v="261"/>
    <x v="1"/>
    <x v="1"/>
  </r>
  <r>
    <x v="262"/>
    <x v="0"/>
    <x v="1"/>
  </r>
  <r>
    <x v="263"/>
    <x v="2"/>
    <x v="3"/>
  </r>
  <r>
    <x v="264"/>
    <x v="2"/>
    <x v="2"/>
  </r>
  <r>
    <x v="265"/>
    <x v="2"/>
    <x v="0"/>
  </r>
  <r>
    <x v="266"/>
    <x v="1"/>
    <x v="3"/>
  </r>
  <r>
    <x v="267"/>
    <x v="0"/>
    <x v="2"/>
  </r>
  <r>
    <x v="268"/>
    <x v="1"/>
    <x v="3"/>
  </r>
  <r>
    <x v="269"/>
    <x v="2"/>
    <x v="1"/>
  </r>
  <r>
    <x v="270"/>
    <x v="0"/>
    <x v="1"/>
  </r>
  <r>
    <x v="271"/>
    <x v="2"/>
    <x v="3"/>
  </r>
  <r>
    <x v="272"/>
    <x v="0"/>
    <x v="3"/>
  </r>
  <r>
    <x v="273"/>
    <x v="0"/>
    <x v="3"/>
  </r>
  <r>
    <x v="274"/>
    <x v="1"/>
    <x v="1"/>
  </r>
  <r>
    <x v="275"/>
    <x v="2"/>
    <x v="3"/>
  </r>
  <r>
    <x v="276"/>
    <x v="2"/>
    <x v="1"/>
  </r>
  <r>
    <x v="277"/>
    <x v="2"/>
    <x v="0"/>
  </r>
  <r>
    <x v="278"/>
    <x v="0"/>
    <x v="1"/>
  </r>
  <r>
    <x v="279"/>
    <x v="0"/>
    <x v="2"/>
  </r>
  <r>
    <x v="280"/>
    <x v="0"/>
    <x v="0"/>
  </r>
  <r>
    <x v="281"/>
    <x v="0"/>
    <x v="3"/>
  </r>
  <r>
    <x v="282"/>
    <x v="2"/>
    <x v="2"/>
  </r>
  <r>
    <x v="283"/>
    <x v="0"/>
    <x v="1"/>
  </r>
  <r>
    <x v="284"/>
    <x v="2"/>
    <x v="0"/>
  </r>
  <r>
    <x v="285"/>
    <x v="2"/>
    <x v="2"/>
  </r>
  <r>
    <x v="286"/>
    <x v="1"/>
    <x v="1"/>
  </r>
  <r>
    <x v="287"/>
    <x v="1"/>
    <x v="0"/>
  </r>
  <r>
    <x v="288"/>
    <x v="0"/>
    <x v="2"/>
  </r>
  <r>
    <x v="289"/>
    <x v="1"/>
    <x v="0"/>
  </r>
  <r>
    <x v="290"/>
    <x v="1"/>
    <x v="0"/>
  </r>
  <r>
    <x v="291"/>
    <x v="0"/>
    <x v="3"/>
  </r>
  <r>
    <x v="292"/>
    <x v="0"/>
    <x v="3"/>
  </r>
  <r>
    <x v="293"/>
    <x v="2"/>
    <x v="0"/>
  </r>
  <r>
    <x v="294"/>
    <x v="0"/>
    <x v="2"/>
  </r>
  <r>
    <x v="295"/>
    <x v="0"/>
    <x v="2"/>
  </r>
  <r>
    <x v="296"/>
    <x v="0"/>
    <x v="0"/>
  </r>
  <r>
    <x v="297"/>
    <x v="0"/>
    <x v="3"/>
  </r>
  <r>
    <x v="298"/>
    <x v="1"/>
    <x v="1"/>
  </r>
  <r>
    <x v="299"/>
    <x v="2"/>
    <x v="0"/>
  </r>
  <r>
    <x v="300"/>
    <x v="0"/>
    <x v="1"/>
  </r>
  <r>
    <x v="301"/>
    <x v="0"/>
    <x v="3"/>
  </r>
  <r>
    <x v="302"/>
    <x v="1"/>
    <x v="0"/>
  </r>
  <r>
    <x v="303"/>
    <x v="2"/>
    <x v="2"/>
  </r>
  <r>
    <x v="304"/>
    <x v="2"/>
    <x v="0"/>
  </r>
  <r>
    <x v="305"/>
    <x v="0"/>
    <x v="3"/>
  </r>
  <r>
    <x v="306"/>
    <x v="1"/>
    <x v="3"/>
  </r>
  <r>
    <x v="307"/>
    <x v="1"/>
    <x v="1"/>
  </r>
  <r>
    <x v="308"/>
    <x v="0"/>
    <x v="2"/>
  </r>
  <r>
    <x v="309"/>
    <x v="0"/>
    <x v="2"/>
  </r>
  <r>
    <x v="310"/>
    <x v="0"/>
    <x v="2"/>
  </r>
  <r>
    <x v="311"/>
    <x v="2"/>
    <x v="3"/>
  </r>
  <r>
    <x v="312"/>
    <x v="0"/>
    <x v="0"/>
  </r>
  <r>
    <x v="313"/>
    <x v="0"/>
    <x v="1"/>
  </r>
  <r>
    <x v="314"/>
    <x v="1"/>
    <x v="2"/>
  </r>
  <r>
    <x v="315"/>
    <x v="0"/>
    <x v="0"/>
  </r>
  <r>
    <x v="316"/>
    <x v="0"/>
    <x v="1"/>
  </r>
  <r>
    <x v="317"/>
    <x v="1"/>
    <x v="1"/>
  </r>
  <r>
    <x v="318"/>
    <x v="2"/>
    <x v="0"/>
  </r>
  <r>
    <x v="319"/>
    <x v="0"/>
    <x v="1"/>
  </r>
  <r>
    <x v="320"/>
    <x v="0"/>
    <x v="3"/>
  </r>
  <r>
    <x v="321"/>
    <x v="0"/>
    <x v="3"/>
  </r>
  <r>
    <x v="322"/>
    <x v="2"/>
    <x v="1"/>
  </r>
  <r>
    <x v="323"/>
    <x v="0"/>
    <x v="0"/>
  </r>
  <r>
    <x v="324"/>
    <x v="0"/>
    <x v="2"/>
  </r>
  <r>
    <x v="325"/>
    <x v="2"/>
    <x v="0"/>
  </r>
  <r>
    <x v="326"/>
    <x v="1"/>
    <x v="0"/>
  </r>
  <r>
    <x v="327"/>
    <x v="1"/>
    <x v="3"/>
  </r>
  <r>
    <x v="328"/>
    <x v="2"/>
    <x v="3"/>
  </r>
  <r>
    <x v="329"/>
    <x v="0"/>
    <x v="0"/>
  </r>
  <r>
    <x v="330"/>
    <x v="2"/>
    <x v="0"/>
  </r>
  <r>
    <x v="331"/>
    <x v="0"/>
    <x v="2"/>
  </r>
  <r>
    <x v="332"/>
    <x v="1"/>
    <x v="1"/>
  </r>
  <r>
    <x v="333"/>
    <x v="0"/>
    <x v="2"/>
  </r>
  <r>
    <x v="334"/>
    <x v="0"/>
    <x v="2"/>
  </r>
  <r>
    <x v="335"/>
    <x v="0"/>
    <x v="1"/>
  </r>
  <r>
    <x v="336"/>
    <x v="1"/>
    <x v="0"/>
  </r>
  <r>
    <x v="337"/>
    <x v="0"/>
    <x v="0"/>
  </r>
  <r>
    <x v="338"/>
    <x v="0"/>
    <x v="1"/>
  </r>
  <r>
    <x v="339"/>
    <x v="0"/>
    <x v="2"/>
  </r>
  <r>
    <x v="340"/>
    <x v="0"/>
    <x v="2"/>
  </r>
  <r>
    <x v="341"/>
    <x v="0"/>
    <x v="0"/>
  </r>
  <r>
    <x v="342"/>
    <x v="2"/>
    <x v="3"/>
  </r>
  <r>
    <x v="343"/>
    <x v="1"/>
    <x v="3"/>
  </r>
  <r>
    <x v="344"/>
    <x v="2"/>
    <x v="0"/>
  </r>
  <r>
    <x v="345"/>
    <x v="0"/>
    <x v="3"/>
  </r>
  <r>
    <x v="346"/>
    <x v="0"/>
    <x v="2"/>
  </r>
  <r>
    <x v="347"/>
    <x v="0"/>
    <x v="3"/>
  </r>
  <r>
    <x v="348"/>
    <x v="2"/>
    <x v="3"/>
  </r>
  <r>
    <x v="349"/>
    <x v="0"/>
    <x v="1"/>
  </r>
  <r>
    <x v="350"/>
    <x v="1"/>
    <x v="2"/>
  </r>
  <r>
    <x v="351"/>
    <x v="1"/>
    <x v="3"/>
  </r>
  <r>
    <x v="352"/>
    <x v="1"/>
    <x v="0"/>
  </r>
  <r>
    <x v="353"/>
    <x v="2"/>
    <x v="0"/>
  </r>
  <r>
    <x v="354"/>
    <x v="1"/>
    <x v="2"/>
  </r>
  <r>
    <x v="355"/>
    <x v="1"/>
    <x v="2"/>
  </r>
  <r>
    <x v="356"/>
    <x v="2"/>
    <x v="3"/>
  </r>
  <r>
    <x v="357"/>
    <x v="2"/>
    <x v="2"/>
  </r>
  <r>
    <x v="358"/>
    <x v="1"/>
    <x v="1"/>
  </r>
  <r>
    <x v="359"/>
    <x v="0"/>
    <x v="3"/>
  </r>
  <r>
    <x v="360"/>
    <x v="1"/>
    <x v="0"/>
  </r>
  <r>
    <x v="361"/>
    <x v="1"/>
    <x v="3"/>
  </r>
  <r>
    <x v="362"/>
    <x v="2"/>
    <x v="1"/>
  </r>
  <r>
    <x v="363"/>
    <x v="0"/>
    <x v="0"/>
  </r>
  <r>
    <x v="364"/>
    <x v="2"/>
    <x v="3"/>
  </r>
  <r>
    <x v="365"/>
    <x v="1"/>
    <x v="3"/>
  </r>
  <r>
    <x v="366"/>
    <x v="0"/>
    <x v="1"/>
  </r>
  <r>
    <x v="367"/>
    <x v="2"/>
    <x v="0"/>
  </r>
  <r>
    <x v="368"/>
    <x v="0"/>
    <x v="0"/>
  </r>
  <r>
    <x v="369"/>
    <x v="0"/>
    <x v="1"/>
  </r>
  <r>
    <x v="370"/>
    <x v="2"/>
    <x v="1"/>
  </r>
  <r>
    <x v="371"/>
    <x v="2"/>
    <x v="1"/>
  </r>
  <r>
    <x v="372"/>
    <x v="1"/>
    <x v="1"/>
  </r>
  <r>
    <x v="373"/>
    <x v="1"/>
    <x v="2"/>
  </r>
  <r>
    <x v="374"/>
    <x v="0"/>
    <x v="2"/>
  </r>
  <r>
    <x v="375"/>
    <x v="2"/>
    <x v="0"/>
  </r>
  <r>
    <x v="376"/>
    <x v="0"/>
    <x v="2"/>
  </r>
  <r>
    <x v="377"/>
    <x v="0"/>
    <x v="2"/>
  </r>
  <r>
    <x v="378"/>
    <x v="0"/>
    <x v="3"/>
  </r>
  <r>
    <x v="379"/>
    <x v="0"/>
    <x v="1"/>
  </r>
  <r>
    <x v="380"/>
    <x v="1"/>
    <x v="1"/>
  </r>
  <r>
    <x v="381"/>
    <x v="0"/>
    <x v="2"/>
  </r>
  <r>
    <x v="382"/>
    <x v="0"/>
    <x v="1"/>
  </r>
  <r>
    <x v="383"/>
    <x v="0"/>
    <x v="1"/>
  </r>
  <r>
    <x v="384"/>
    <x v="1"/>
    <x v="1"/>
  </r>
  <r>
    <x v="385"/>
    <x v="1"/>
    <x v="1"/>
  </r>
  <r>
    <x v="386"/>
    <x v="0"/>
    <x v="0"/>
  </r>
  <r>
    <x v="387"/>
    <x v="2"/>
    <x v="2"/>
  </r>
  <r>
    <x v="388"/>
    <x v="2"/>
    <x v="0"/>
  </r>
  <r>
    <x v="389"/>
    <x v="1"/>
    <x v="1"/>
  </r>
  <r>
    <x v="390"/>
    <x v="0"/>
    <x v="3"/>
  </r>
  <r>
    <x v="391"/>
    <x v="2"/>
    <x v="2"/>
  </r>
  <r>
    <x v="392"/>
    <x v="0"/>
    <x v="3"/>
  </r>
  <r>
    <x v="393"/>
    <x v="2"/>
    <x v="0"/>
  </r>
  <r>
    <x v="394"/>
    <x v="2"/>
    <x v="3"/>
  </r>
  <r>
    <x v="395"/>
    <x v="0"/>
    <x v="1"/>
  </r>
  <r>
    <x v="396"/>
    <x v="2"/>
    <x v="2"/>
  </r>
  <r>
    <x v="397"/>
    <x v="2"/>
    <x v="0"/>
  </r>
  <r>
    <x v="398"/>
    <x v="0"/>
    <x v="3"/>
  </r>
  <r>
    <x v="399"/>
    <x v="1"/>
    <x v="1"/>
  </r>
  <r>
    <x v="400"/>
    <x v="0"/>
    <x v="2"/>
  </r>
  <r>
    <x v="401"/>
    <x v="0"/>
    <x v="0"/>
  </r>
  <r>
    <x v="402"/>
    <x v="1"/>
    <x v="3"/>
  </r>
  <r>
    <x v="403"/>
    <x v="1"/>
    <x v="1"/>
  </r>
  <r>
    <x v="404"/>
    <x v="2"/>
    <x v="3"/>
  </r>
  <r>
    <x v="405"/>
    <x v="1"/>
    <x v="0"/>
  </r>
  <r>
    <x v="406"/>
    <x v="0"/>
    <x v="0"/>
  </r>
  <r>
    <x v="407"/>
    <x v="0"/>
    <x v="2"/>
  </r>
  <r>
    <x v="408"/>
    <x v="0"/>
    <x v="0"/>
  </r>
  <r>
    <x v="409"/>
    <x v="0"/>
    <x v="1"/>
  </r>
  <r>
    <x v="410"/>
    <x v="0"/>
    <x v="1"/>
  </r>
  <r>
    <x v="411"/>
    <x v="1"/>
    <x v="0"/>
  </r>
  <r>
    <x v="412"/>
    <x v="1"/>
    <x v="2"/>
  </r>
  <r>
    <x v="413"/>
    <x v="0"/>
    <x v="1"/>
  </r>
  <r>
    <x v="414"/>
    <x v="0"/>
    <x v="2"/>
  </r>
  <r>
    <x v="415"/>
    <x v="1"/>
    <x v="2"/>
  </r>
  <r>
    <x v="416"/>
    <x v="2"/>
    <x v="2"/>
  </r>
  <r>
    <x v="417"/>
    <x v="0"/>
    <x v="1"/>
  </r>
  <r>
    <x v="418"/>
    <x v="2"/>
    <x v="1"/>
  </r>
  <r>
    <x v="419"/>
    <x v="1"/>
    <x v="3"/>
  </r>
  <r>
    <x v="420"/>
    <x v="0"/>
    <x v="2"/>
  </r>
  <r>
    <x v="421"/>
    <x v="1"/>
    <x v="0"/>
  </r>
  <r>
    <x v="422"/>
    <x v="0"/>
    <x v="3"/>
  </r>
  <r>
    <x v="423"/>
    <x v="0"/>
    <x v="0"/>
  </r>
  <r>
    <x v="424"/>
    <x v="0"/>
    <x v="1"/>
  </r>
  <r>
    <x v="425"/>
    <x v="1"/>
    <x v="3"/>
  </r>
  <r>
    <x v="426"/>
    <x v="1"/>
    <x v="0"/>
  </r>
  <r>
    <x v="427"/>
    <x v="0"/>
    <x v="3"/>
  </r>
  <r>
    <x v="428"/>
    <x v="2"/>
    <x v="3"/>
  </r>
  <r>
    <x v="429"/>
    <x v="0"/>
    <x v="0"/>
  </r>
  <r>
    <x v="430"/>
    <x v="1"/>
    <x v="2"/>
  </r>
  <r>
    <x v="431"/>
    <x v="0"/>
    <x v="2"/>
  </r>
  <r>
    <x v="432"/>
    <x v="0"/>
    <x v="0"/>
  </r>
  <r>
    <x v="433"/>
    <x v="2"/>
    <x v="2"/>
  </r>
  <r>
    <x v="434"/>
    <x v="2"/>
    <x v="3"/>
  </r>
  <r>
    <x v="435"/>
    <x v="1"/>
    <x v="0"/>
  </r>
  <r>
    <x v="436"/>
    <x v="0"/>
    <x v="2"/>
  </r>
  <r>
    <x v="437"/>
    <x v="0"/>
    <x v="2"/>
  </r>
  <r>
    <x v="438"/>
    <x v="0"/>
    <x v="0"/>
  </r>
  <r>
    <x v="439"/>
    <x v="1"/>
    <x v="0"/>
  </r>
  <r>
    <x v="440"/>
    <x v="0"/>
    <x v="3"/>
  </r>
  <r>
    <x v="441"/>
    <x v="0"/>
    <x v="3"/>
  </r>
  <r>
    <x v="442"/>
    <x v="2"/>
    <x v="3"/>
  </r>
  <r>
    <x v="443"/>
    <x v="1"/>
    <x v="0"/>
  </r>
  <r>
    <x v="444"/>
    <x v="1"/>
    <x v="2"/>
  </r>
  <r>
    <x v="445"/>
    <x v="1"/>
    <x v="1"/>
  </r>
  <r>
    <x v="446"/>
    <x v="1"/>
    <x v="0"/>
  </r>
  <r>
    <x v="447"/>
    <x v="0"/>
    <x v="3"/>
  </r>
  <r>
    <x v="448"/>
    <x v="1"/>
    <x v="3"/>
  </r>
  <r>
    <x v="449"/>
    <x v="0"/>
    <x v="2"/>
  </r>
  <r>
    <x v="450"/>
    <x v="2"/>
    <x v="3"/>
  </r>
  <r>
    <x v="451"/>
    <x v="2"/>
    <x v="1"/>
  </r>
  <r>
    <x v="452"/>
    <x v="0"/>
    <x v="1"/>
  </r>
  <r>
    <x v="453"/>
    <x v="0"/>
    <x v="0"/>
  </r>
  <r>
    <x v="454"/>
    <x v="0"/>
    <x v="1"/>
  </r>
  <r>
    <x v="455"/>
    <x v="2"/>
    <x v="1"/>
  </r>
  <r>
    <x v="456"/>
    <x v="2"/>
    <x v="3"/>
  </r>
  <r>
    <x v="457"/>
    <x v="1"/>
    <x v="3"/>
  </r>
  <r>
    <x v="458"/>
    <x v="2"/>
    <x v="2"/>
  </r>
  <r>
    <x v="459"/>
    <x v="0"/>
    <x v="3"/>
  </r>
  <r>
    <x v="460"/>
    <x v="2"/>
    <x v="2"/>
  </r>
  <r>
    <x v="461"/>
    <x v="2"/>
    <x v="2"/>
  </r>
  <r>
    <x v="462"/>
    <x v="0"/>
    <x v="1"/>
  </r>
  <r>
    <x v="463"/>
    <x v="2"/>
    <x v="1"/>
  </r>
  <r>
    <x v="464"/>
    <x v="1"/>
    <x v="2"/>
  </r>
  <r>
    <x v="465"/>
    <x v="2"/>
    <x v="2"/>
  </r>
  <r>
    <x v="466"/>
    <x v="1"/>
    <x v="3"/>
  </r>
  <r>
    <x v="467"/>
    <x v="0"/>
    <x v="2"/>
  </r>
  <r>
    <x v="468"/>
    <x v="0"/>
    <x v="2"/>
  </r>
  <r>
    <x v="469"/>
    <x v="0"/>
    <x v="3"/>
  </r>
  <r>
    <x v="470"/>
    <x v="0"/>
    <x v="0"/>
  </r>
  <r>
    <x v="471"/>
    <x v="2"/>
    <x v="1"/>
  </r>
  <r>
    <x v="472"/>
    <x v="2"/>
    <x v="3"/>
  </r>
  <r>
    <x v="473"/>
    <x v="2"/>
    <x v="2"/>
  </r>
  <r>
    <x v="474"/>
    <x v="0"/>
    <x v="1"/>
  </r>
  <r>
    <x v="475"/>
    <x v="0"/>
    <x v="0"/>
  </r>
  <r>
    <x v="476"/>
    <x v="2"/>
    <x v="0"/>
  </r>
  <r>
    <x v="477"/>
    <x v="2"/>
    <x v="1"/>
  </r>
  <r>
    <x v="478"/>
    <x v="0"/>
    <x v="1"/>
  </r>
  <r>
    <x v="479"/>
    <x v="1"/>
    <x v="1"/>
  </r>
  <r>
    <x v="480"/>
    <x v="1"/>
    <x v="1"/>
  </r>
  <r>
    <x v="481"/>
    <x v="2"/>
    <x v="3"/>
  </r>
  <r>
    <x v="482"/>
    <x v="1"/>
    <x v="3"/>
  </r>
  <r>
    <x v="483"/>
    <x v="0"/>
    <x v="1"/>
  </r>
  <r>
    <x v="484"/>
    <x v="0"/>
    <x v="1"/>
  </r>
  <r>
    <x v="485"/>
    <x v="0"/>
    <x v="0"/>
  </r>
  <r>
    <x v="486"/>
    <x v="1"/>
    <x v="2"/>
  </r>
  <r>
    <x v="487"/>
    <x v="0"/>
    <x v="1"/>
  </r>
  <r>
    <x v="488"/>
    <x v="2"/>
    <x v="0"/>
  </r>
  <r>
    <x v="489"/>
    <x v="0"/>
    <x v="1"/>
  </r>
  <r>
    <x v="490"/>
    <x v="0"/>
    <x v="3"/>
  </r>
  <r>
    <x v="491"/>
    <x v="0"/>
    <x v="0"/>
  </r>
  <r>
    <x v="492"/>
    <x v="1"/>
    <x v="1"/>
  </r>
  <r>
    <x v="493"/>
    <x v="2"/>
    <x v="3"/>
  </r>
  <r>
    <x v="494"/>
    <x v="1"/>
    <x v="1"/>
  </r>
  <r>
    <x v="495"/>
    <x v="0"/>
    <x v="2"/>
  </r>
  <r>
    <x v="496"/>
    <x v="2"/>
    <x v="1"/>
  </r>
  <r>
    <x v="497"/>
    <x v="1"/>
    <x v="3"/>
  </r>
  <r>
    <x v="498"/>
    <x v="0"/>
    <x v="2"/>
  </r>
  <r>
    <x v="499"/>
    <x v="0"/>
    <x v="2"/>
  </r>
  <r>
    <x v="500"/>
    <x v="1"/>
    <x v="2"/>
  </r>
  <r>
    <x v="501"/>
    <x v="2"/>
    <x v="0"/>
  </r>
  <r>
    <x v="502"/>
    <x v="1"/>
    <x v="3"/>
  </r>
  <r>
    <x v="503"/>
    <x v="1"/>
    <x v="3"/>
  </r>
  <r>
    <x v="504"/>
    <x v="0"/>
    <x v="3"/>
  </r>
  <r>
    <x v="505"/>
    <x v="0"/>
    <x v="1"/>
  </r>
  <r>
    <x v="506"/>
    <x v="0"/>
    <x v="1"/>
  </r>
  <r>
    <x v="507"/>
    <x v="0"/>
    <x v="1"/>
  </r>
  <r>
    <x v="508"/>
    <x v="0"/>
    <x v="3"/>
  </r>
  <r>
    <x v="509"/>
    <x v="0"/>
    <x v="2"/>
  </r>
  <r>
    <x v="510"/>
    <x v="0"/>
    <x v="0"/>
  </r>
  <r>
    <x v="511"/>
    <x v="0"/>
    <x v="2"/>
  </r>
  <r>
    <x v="512"/>
    <x v="1"/>
    <x v="1"/>
  </r>
  <r>
    <x v="513"/>
    <x v="2"/>
    <x v="0"/>
  </r>
  <r>
    <x v="514"/>
    <x v="2"/>
    <x v="1"/>
  </r>
  <r>
    <x v="515"/>
    <x v="0"/>
    <x v="2"/>
  </r>
  <r>
    <x v="516"/>
    <x v="2"/>
    <x v="1"/>
  </r>
  <r>
    <x v="517"/>
    <x v="0"/>
    <x v="0"/>
  </r>
  <r>
    <x v="518"/>
    <x v="0"/>
    <x v="2"/>
  </r>
  <r>
    <x v="519"/>
    <x v="0"/>
    <x v="0"/>
  </r>
  <r>
    <x v="520"/>
    <x v="1"/>
    <x v="2"/>
  </r>
  <r>
    <x v="521"/>
    <x v="1"/>
    <x v="1"/>
  </r>
  <r>
    <x v="522"/>
    <x v="0"/>
    <x v="1"/>
  </r>
  <r>
    <x v="523"/>
    <x v="2"/>
    <x v="2"/>
  </r>
  <r>
    <x v="524"/>
    <x v="2"/>
    <x v="0"/>
  </r>
  <r>
    <x v="525"/>
    <x v="0"/>
    <x v="3"/>
  </r>
  <r>
    <x v="526"/>
    <x v="1"/>
    <x v="3"/>
  </r>
  <r>
    <x v="527"/>
    <x v="1"/>
    <x v="1"/>
  </r>
  <r>
    <x v="528"/>
    <x v="0"/>
    <x v="1"/>
  </r>
  <r>
    <x v="529"/>
    <x v="2"/>
    <x v="3"/>
  </r>
  <r>
    <x v="530"/>
    <x v="0"/>
    <x v="0"/>
  </r>
  <r>
    <x v="531"/>
    <x v="0"/>
    <x v="1"/>
  </r>
  <r>
    <x v="532"/>
    <x v="0"/>
    <x v="0"/>
  </r>
  <r>
    <x v="533"/>
    <x v="1"/>
    <x v="1"/>
  </r>
  <r>
    <x v="534"/>
    <x v="1"/>
    <x v="1"/>
  </r>
  <r>
    <x v="535"/>
    <x v="2"/>
    <x v="2"/>
  </r>
  <r>
    <x v="536"/>
    <x v="0"/>
    <x v="3"/>
  </r>
  <r>
    <x v="537"/>
    <x v="0"/>
    <x v="3"/>
  </r>
  <r>
    <x v="538"/>
    <x v="2"/>
    <x v="3"/>
  </r>
  <r>
    <x v="539"/>
    <x v="1"/>
    <x v="2"/>
  </r>
  <r>
    <x v="540"/>
    <x v="0"/>
    <x v="2"/>
  </r>
  <r>
    <x v="541"/>
    <x v="1"/>
    <x v="2"/>
  </r>
  <r>
    <x v="542"/>
    <x v="0"/>
    <x v="1"/>
  </r>
  <r>
    <x v="543"/>
    <x v="0"/>
    <x v="1"/>
  </r>
  <r>
    <x v="544"/>
    <x v="2"/>
    <x v="3"/>
  </r>
  <r>
    <x v="545"/>
    <x v="1"/>
    <x v="1"/>
  </r>
  <r>
    <x v="546"/>
    <x v="2"/>
    <x v="3"/>
  </r>
  <r>
    <x v="547"/>
    <x v="2"/>
    <x v="2"/>
  </r>
  <r>
    <x v="548"/>
    <x v="2"/>
    <x v="3"/>
  </r>
  <r>
    <x v="549"/>
    <x v="2"/>
    <x v="2"/>
  </r>
  <r>
    <x v="550"/>
    <x v="1"/>
    <x v="1"/>
  </r>
  <r>
    <x v="551"/>
    <x v="0"/>
    <x v="1"/>
  </r>
  <r>
    <x v="552"/>
    <x v="2"/>
    <x v="1"/>
  </r>
  <r>
    <x v="553"/>
    <x v="1"/>
    <x v="1"/>
  </r>
  <r>
    <x v="554"/>
    <x v="1"/>
    <x v="0"/>
  </r>
  <r>
    <x v="555"/>
    <x v="1"/>
    <x v="1"/>
  </r>
  <r>
    <x v="556"/>
    <x v="1"/>
    <x v="0"/>
  </r>
  <r>
    <x v="557"/>
    <x v="0"/>
    <x v="3"/>
  </r>
  <r>
    <x v="558"/>
    <x v="2"/>
    <x v="3"/>
  </r>
  <r>
    <x v="559"/>
    <x v="2"/>
    <x v="1"/>
  </r>
  <r>
    <x v="560"/>
    <x v="2"/>
    <x v="2"/>
  </r>
  <r>
    <x v="561"/>
    <x v="0"/>
    <x v="2"/>
  </r>
  <r>
    <x v="562"/>
    <x v="1"/>
    <x v="1"/>
  </r>
  <r>
    <x v="563"/>
    <x v="1"/>
    <x v="2"/>
  </r>
  <r>
    <x v="564"/>
    <x v="2"/>
    <x v="1"/>
  </r>
  <r>
    <x v="565"/>
    <x v="2"/>
    <x v="3"/>
  </r>
  <r>
    <x v="566"/>
    <x v="2"/>
    <x v="1"/>
  </r>
  <r>
    <x v="567"/>
    <x v="1"/>
    <x v="3"/>
  </r>
  <r>
    <x v="568"/>
    <x v="0"/>
    <x v="0"/>
  </r>
  <r>
    <x v="569"/>
    <x v="0"/>
    <x v="1"/>
  </r>
  <r>
    <x v="570"/>
    <x v="0"/>
    <x v="3"/>
  </r>
  <r>
    <x v="571"/>
    <x v="2"/>
    <x v="0"/>
  </r>
  <r>
    <x v="572"/>
    <x v="0"/>
    <x v="3"/>
  </r>
  <r>
    <x v="573"/>
    <x v="1"/>
    <x v="0"/>
  </r>
  <r>
    <x v="574"/>
    <x v="2"/>
    <x v="1"/>
  </r>
  <r>
    <x v="575"/>
    <x v="1"/>
    <x v="2"/>
  </r>
  <r>
    <x v="576"/>
    <x v="2"/>
    <x v="1"/>
  </r>
  <r>
    <x v="577"/>
    <x v="0"/>
    <x v="3"/>
  </r>
  <r>
    <x v="578"/>
    <x v="0"/>
    <x v="3"/>
  </r>
  <r>
    <x v="579"/>
    <x v="1"/>
    <x v="2"/>
  </r>
  <r>
    <x v="580"/>
    <x v="0"/>
    <x v="3"/>
  </r>
  <r>
    <x v="581"/>
    <x v="1"/>
    <x v="0"/>
  </r>
  <r>
    <x v="582"/>
    <x v="2"/>
    <x v="1"/>
  </r>
  <r>
    <x v="583"/>
    <x v="0"/>
    <x v="0"/>
  </r>
  <r>
    <x v="584"/>
    <x v="0"/>
    <x v="1"/>
  </r>
  <r>
    <x v="585"/>
    <x v="1"/>
    <x v="3"/>
  </r>
  <r>
    <x v="586"/>
    <x v="1"/>
    <x v="1"/>
  </r>
  <r>
    <x v="587"/>
    <x v="0"/>
    <x v="3"/>
  </r>
  <r>
    <x v="588"/>
    <x v="0"/>
    <x v="0"/>
  </r>
  <r>
    <x v="589"/>
    <x v="1"/>
    <x v="2"/>
  </r>
  <r>
    <x v="590"/>
    <x v="1"/>
    <x v="1"/>
  </r>
  <r>
    <x v="591"/>
    <x v="2"/>
    <x v="1"/>
  </r>
  <r>
    <x v="592"/>
    <x v="0"/>
    <x v="2"/>
  </r>
  <r>
    <x v="593"/>
    <x v="2"/>
    <x v="0"/>
  </r>
  <r>
    <x v="594"/>
    <x v="1"/>
    <x v="2"/>
  </r>
  <r>
    <x v="595"/>
    <x v="1"/>
    <x v="3"/>
  </r>
  <r>
    <x v="596"/>
    <x v="2"/>
    <x v="0"/>
  </r>
  <r>
    <x v="597"/>
    <x v="1"/>
    <x v="0"/>
  </r>
  <r>
    <x v="598"/>
    <x v="2"/>
    <x v="3"/>
  </r>
  <r>
    <x v="599"/>
    <x v="0"/>
    <x v="3"/>
  </r>
  <r>
    <x v="600"/>
    <x v="0"/>
    <x v="3"/>
  </r>
  <r>
    <x v="601"/>
    <x v="0"/>
    <x v="0"/>
  </r>
  <r>
    <x v="602"/>
    <x v="2"/>
    <x v="1"/>
  </r>
  <r>
    <x v="603"/>
    <x v="0"/>
    <x v="0"/>
  </r>
  <r>
    <x v="604"/>
    <x v="1"/>
    <x v="1"/>
  </r>
  <r>
    <x v="605"/>
    <x v="0"/>
    <x v="3"/>
  </r>
  <r>
    <x v="606"/>
    <x v="1"/>
    <x v="1"/>
  </r>
  <r>
    <x v="607"/>
    <x v="0"/>
    <x v="3"/>
  </r>
  <r>
    <x v="608"/>
    <x v="1"/>
    <x v="1"/>
  </r>
  <r>
    <x v="609"/>
    <x v="0"/>
    <x v="0"/>
  </r>
  <r>
    <x v="610"/>
    <x v="1"/>
    <x v="0"/>
  </r>
  <r>
    <x v="611"/>
    <x v="0"/>
    <x v="2"/>
  </r>
  <r>
    <x v="612"/>
    <x v="2"/>
    <x v="1"/>
  </r>
  <r>
    <x v="613"/>
    <x v="0"/>
    <x v="2"/>
  </r>
  <r>
    <x v="614"/>
    <x v="1"/>
    <x v="2"/>
  </r>
  <r>
    <x v="615"/>
    <x v="0"/>
    <x v="0"/>
  </r>
  <r>
    <x v="616"/>
    <x v="1"/>
    <x v="2"/>
  </r>
  <r>
    <x v="617"/>
    <x v="2"/>
    <x v="2"/>
  </r>
  <r>
    <x v="618"/>
    <x v="1"/>
    <x v="2"/>
  </r>
  <r>
    <x v="619"/>
    <x v="1"/>
    <x v="3"/>
  </r>
  <r>
    <x v="620"/>
    <x v="1"/>
    <x v="0"/>
  </r>
  <r>
    <x v="621"/>
    <x v="0"/>
    <x v="0"/>
  </r>
  <r>
    <x v="622"/>
    <x v="0"/>
    <x v="2"/>
  </r>
  <r>
    <x v="623"/>
    <x v="1"/>
    <x v="3"/>
  </r>
  <r>
    <x v="624"/>
    <x v="2"/>
    <x v="3"/>
  </r>
  <r>
    <x v="625"/>
    <x v="2"/>
    <x v="0"/>
  </r>
  <r>
    <x v="626"/>
    <x v="2"/>
    <x v="2"/>
  </r>
  <r>
    <x v="627"/>
    <x v="2"/>
    <x v="0"/>
  </r>
  <r>
    <x v="628"/>
    <x v="1"/>
    <x v="0"/>
  </r>
  <r>
    <x v="629"/>
    <x v="1"/>
    <x v="1"/>
  </r>
  <r>
    <x v="630"/>
    <x v="1"/>
    <x v="1"/>
  </r>
  <r>
    <x v="631"/>
    <x v="2"/>
    <x v="3"/>
  </r>
  <r>
    <x v="632"/>
    <x v="1"/>
    <x v="0"/>
  </r>
  <r>
    <x v="633"/>
    <x v="2"/>
    <x v="0"/>
  </r>
  <r>
    <x v="634"/>
    <x v="1"/>
    <x v="0"/>
  </r>
  <r>
    <x v="635"/>
    <x v="0"/>
    <x v="0"/>
  </r>
  <r>
    <x v="636"/>
    <x v="2"/>
    <x v="3"/>
  </r>
  <r>
    <x v="637"/>
    <x v="2"/>
    <x v="1"/>
  </r>
  <r>
    <x v="638"/>
    <x v="2"/>
    <x v="2"/>
  </r>
  <r>
    <x v="639"/>
    <x v="0"/>
    <x v="0"/>
  </r>
  <r>
    <x v="640"/>
    <x v="2"/>
    <x v="3"/>
  </r>
  <r>
    <x v="641"/>
    <x v="2"/>
    <x v="3"/>
  </r>
  <r>
    <x v="642"/>
    <x v="2"/>
    <x v="0"/>
  </r>
  <r>
    <x v="643"/>
    <x v="0"/>
    <x v="3"/>
  </r>
  <r>
    <x v="644"/>
    <x v="2"/>
    <x v="1"/>
  </r>
  <r>
    <x v="645"/>
    <x v="1"/>
    <x v="0"/>
  </r>
  <r>
    <x v="646"/>
    <x v="2"/>
    <x v="3"/>
  </r>
  <r>
    <x v="647"/>
    <x v="0"/>
    <x v="2"/>
  </r>
  <r>
    <x v="648"/>
    <x v="0"/>
    <x v="1"/>
  </r>
  <r>
    <x v="649"/>
    <x v="2"/>
    <x v="0"/>
  </r>
  <r>
    <x v="650"/>
    <x v="0"/>
    <x v="2"/>
  </r>
  <r>
    <x v="651"/>
    <x v="2"/>
    <x v="3"/>
  </r>
  <r>
    <x v="652"/>
    <x v="2"/>
    <x v="3"/>
  </r>
  <r>
    <x v="653"/>
    <x v="0"/>
    <x v="3"/>
  </r>
  <r>
    <x v="654"/>
    <x v="1"/>
    <x v="1"/>
  </r>
  <r>
    <x v="655"/>
    <x v="1"/>
    <x v="2"/>
  </r>
  <r>
    <x v="656"/>
    <x v="2"/>
    <x v="3"/>
  </r>
  <r>
    <x v="657"/>
    <x v="1"/>
    <x v="3"/>
  </r>
  <r>
    <x v="658"/>
    <x v="0"/>
    <x v="0"/>
  </r>
  <r>
    <x v="659"/>
    <x v="0"/>
    <x v="3"/>
  </r>
  <r>
    <x v="660"/>
    <x v="0"/>
    <x v="3"/>
  </r>
  <r>
    <x v="661"/>
    <x v="0"/>
    <x v="1"/>
  </r>
  <r>
    <x v="662"/>
    <x v="1"/>
    <x v="3"/>
  </r>
  <r>
    <x v="663"/>
    <x v="0"/>
    <x v="3"/>
  </r>
  <r>
    <x v="664"/>
    <x v="1"/>
    <x v="3"/>
  </r>
  <r>
    <x v="665"/>
    <x v="2"/>
    <x v="1"/>
  </r>
  <r>
    <x v="666"/>
    <x v="0"/>
    <x v="3"/>
  </r>
  <r>
    <x v="667"/>
    <x v="1"/>
    <x v="3"/>
  </r>
  <r>
    <x v="668"/>
    <x v="0"/>
    <x v="1"/>
  </r>
  <r>
    <x v="669"/>
    <x v="2"/>
    <x v="1"/>
  </r>
  <r>
    <x v="670"/>
    <x v="0"/>
    <x v="1"/>
  </r>
  <r>
    <x v="671"/>
    <x v="1"/>
    <x v="0"/>
  </r>
  <r>
    <x v="672"/>
    <x v="1"/>
    <x v="1"/>
  </r>
  <r>
    <x v="673"/>
    <x v="1"/>
    <x v="2"/>
  </r>
  <r>
    <x v="674"/>
    <x v="0"/>
    <x v="3"/>
  </r>
  <r>
    <x v="675"/>
    <x v="1"/>
    <x v="2"/>
  </r>
  <r>
    <x v="676"/>
    <x v="0"/>
    <x v="0"/>
  </r>
  <r>
    <x v="677"/>
    <x v="1"/>
    <x v="3"/>
  </r>
  <r>
    <x v="678"/>
    <x v="1"/>
    <x v="0"/>
  </r>
  <r>
    <x v="679"/>
    <x v="2"/>
    <x v="0"/>
  </r>
  <r>
    <x v="680"/>
    <x v="0"/>
    <x v="0"/>
  </r>
  <r>
    <x v="681"/>
    <x v="0"/>
    <x v="2"/>
  </r>
  <r>
    <x v="682"/>
    <x v="2"/>
    <x v="0"/>
  </r>
  <r>
    <x v="683"/>
    <x v="2"/>
    <x v="3"/>
  </r>
  <r>
    <x v="684"/>
    <x v="0"/>
    <x v="0"/>
  </r>
  <r>
    <x v="685"/>
    <x v="0"/>
    <x v="2"/>
  </r>
  <r>
    <x v="686"/>
    <x v="2"/>
    <x v="2"/>
  </r>
  <r>
    <x v="687"/>
    <x v="0"/>
    <x v="0"/>
  </r>
  <r>
    <x v="688"/>
    <x v="0"/>
    <x v="2"/>
  </r>
  <r>
    <x v="689"/>
    <x v="2"/>
    <x v="0"/>
  </r>
  <r>
    <x v="690"/>
    <x v="0"/>
    <x v="3"/>
  </r>
  <r>
    <x v="691"/>
    <x v="0"/>
    <x v="0"/>
  </r>
  <r>
    <x v="692"/>
    <x v="2"/>
    <x v="3"/>
  </r>
  <r>
    <x v="693"/>
    <x v="2"/>
    <x v="2"/>
  </r>
  <r>
    <x v="694"/>
    <x v="0"/>
    <x v="0"/>
  </r>
  <r>
    <x v="695"/>
    <x v="0"/>
    <x v="2"/>
  </r>
  <r>
    <x v="696"/>
    <x v="0"/>
    <x v="1"/>
  </r>
  <r>
    <x v="697"/>
    <x v="0"/>
    <x v="2"/>
  </r>
  <r>
    <x v="698"/>
    <x v="0"/>
    <x v="3"/>
  </r>
  <r>
    <x v="699"/>
    <x v="2"/>
    <x v="1"/>
  </r>
  <r>
    <x v="700"/>
    <x v="1"/>
    <x v="0"/>
  </r>
  <r>
    <x v="701"/>
    <x v="0"/>
    <x v="2"/>
  </r>
  <r>
    <x v="702"/>
    <x v="1"/>
    <x v="1"/>
  </r>
  <r>
    <x v="703"/>
    <x v="1"/>
    <x v="1"/>
  </r>
  <r>
    <x v="704"/>
    <x v="0"/>
    <x v="0"/>
  </r>
  <r>
    <x v="705"/>
    <x v="1"/>
    <x v="2"/>
  </r>
  <r>
    <x v="706"/>
    <x v="0"/>
    <x v="3"/>
  </r>
  <r>
    <x v="707"/>
    <x v="0"/>
    <x v="0"/>
  </r>
  <r>
    <x v="708"/>
    <x v="1"/>
    <x v="2"/>
  </r>
  <r>
    <x v="709"/>
    <x v="0"/>
    <x v="0"/>
  </r>
  <r>
    <x v="710"/>
    <x v="2"/>
    <x v="1"/>
  </r>
  <r>
    <x v="711"/>
    <x v="0"/>
    <x v="2"/>
  </r>
  <r>
    <x v="712"/>
    <x v="2"/>
    <x v="0"/>
  </r>
  <r>
    <x v="713"/>
    <x v="2"/>
    <x v="2"/>
  </r>
  <r>
    <x v="714"/>
    <x v="1"/>
    <x v="2"/>
  </r>
  <r>
    <x v="715"/>
    <x v="2"/>
    <x v="1"/>
  </r>
  <r>
    <x v="716"/>
    <x v="0"/>
    <x v="2"/>
  </r>
  <r>
    <x v="717"/>
    <x v="2"/>
    <x v="0"/>
  </r>
  <r>
    <x v="718"/>
    <x v="2"/>
    <x v="2"/>
  </r>
  <r>
    <x v="719"/>
    <x v="1"/>
    <x v="3"/>
  </r>
  <r>
    <x v="720"/>
    <x v="2"/>
    <x v="1"/>
  </r>
  <r>
    <x v="721"/>
    <x v="1"/>
    <x v="2"/>
  </r>
  <r>
    <x v="722"/>
    <x v="2"/>
    <x v="2"/>
  </r>
  <r>
    <x v="723"/>
    <x v="1"/>
    <x v="3"/>
  </r>
  <r>
    <x v="724"/>
    <x v="0"/>
    <x v="1"/>
  </r>
  <r>
    <x v="725"/>
    <x v="2"/>
    <x v="0"/>
  </r>
  <r>
    <x v="726"/>
    <x v="0"/>
    <x v="0"/>
  </r>
  <r>
    <x v="727"/>
    <x v="0"/>
    <x v="1"/>
  </r>
  <r>
    <x v="728"/>
    <x v="0"/>
    <x v="3"/>
  </r>
  <r>
    <x v="729"/>
    <x v="1"/>
    <x v="1"/>
  </r>
  <r>
    <x v="730"/>
    <x v="0"/>
    <x v="1"/>
  </r>
  <r>
    <x v="731"/>
    <x v="1"/>
    <x v="0"/>
  </r>
  <r>
    <x v="732"/>
    <x v="2"/>
    <x v="1"/>
  </r>
  <r>
    <x v="733"/>
    <x v="2"/>
    <x v="3"/>
  </r>
  <r>
    <x v="734"/>
    <x v="0"/>
    <x v="1"/>
  </r>
  <r>
    <x v="735"/>
    <x v="2"/>
    <x v="2"/>
  </r>
  <r>
    <x v="736"/>
    <x v="1"/>
    <x v="2"/>
  </r>
  <r>
    <x v="737"/>
    <x v="0"/>
    <x v="1"/>
  </r>
  <r>
    <x v="738"/>
    <x v="0"/>
    <x v="0"/>
  </r>
  <r>
    <x v="739"/>
    <x v="1"/>
    <x v="0"/>
  </r>
  <r>
    <x v="740"/>
    <x v="1"/>
    <x v="3"/>
  </r>
  <r>
    <x v="741"/>
    <x v="2"/>
    <x v="0"/>
  </r>
  <r>
    <x v="742"/>
    <x v="1"/>
    <x v="3"/>
  </r>
  <r>
    <x v="743"/>
    <x v="1"/>
    <x v="2"/>
  </r>
  <r>
    <x v="744"/>
    <x v="0"/>
    <x v="2"/>
  </r>
  <r>
    <x v="745"/>
    <x v="0"/>
    <x v="1"/>
  </r>
  <r>
    <x v="746"/>
    <x v="1"/>
    <x v="1"/>
  </r>
  <r>
    <x v="747"/>
    <x v="2"/>
    <x v="0"/>
  </r>
  <r>
    <x v="748"/>
    <x v="0"/>
    <x v="3"/>
  </r>
  <r>
    <x v="749"/>
    <x v="0"/>
    <x v="0"/>
  </r>
  <r>
    <x v="750"/>
    <x v="2"/>
    <x v="0"/>
  </r>
  <r>
    <x v="751"/>
    <x v="2"/>
    <x v="2"/>
  </r>
  <r>
    <x v="752"/>
    <x v="1"/>
    <x v="3"/>
  </r>
  <r>
    <x v="753"/>
    <x v="0"/>
    <x v="3"/>
  </r>
  <r>
    <x v="754"/>
    <x v="0"/>
    <x v="1"/>
  </r>
  <r>
    <x v="755"/>
    <x v="0"/>
    <x v="2"/>
  </r>
  <r>
    <x v="756"/>
    <x v="0"/>
    <x v="0"/>
  </r>
  <r>
    <x v="757"/>
    <x v="1"/>
    <x v="2"/>
  </r>
  <r>
    <x v="758"/>
    <x v="1"/>
    <x v="1"/>
  </r>
  <r>
    <x v="759"/>
    <x v="2"/>
    <x v="0"/>
  </r>
  <r>
    <x v="760"/>
    <x v="2"/>
    <x v="2"/>
  </r>
  <r>
    <x v="761"/>
    <x v="0"/>
    <x v="0"/>
  </r>
  <r>
    <x v="762"/>
    <x v="0"/>
    <x v="3"/>
  </r>
  <r>
    <x v="763"/>
    <x v="1"/>
    <x v="3"/>
  </r>
  <r>
    <x v="764"/>
    <x v="2"/>
    <x v="2"/>
  </r>
  <r>
    <x v="765"/>
    <x v="0"/>
    <x v="3"/>
  </r>
  <r>
    <x v="766"/>
    <x v="0"/>
    <x v="0"/>
  </r>
  <r>
    <x v="767"/>
    <x v="1"/>
    <x v="1"/>
  </r>
  <r>
    <x v="768"/>
    <x v="0"/>
    <x v="0"/>
  </r>
  <r>
    <x v="769"/>
    <x v="0"/>
    <x v="1"/>
  </r>
  <r>
    <x v="770"/>
    <x v="2"/>
    <x v="2"/>
  </r>
  <r>
    <x v="771"/>
    <x v="2"/>
    <x v="0"/>
  </r>
  <r>
    <x v="772"/>
    <x v="1"/>
    <x v="3"/>
  </r>
  <r>
    <x v="773"/>
    <x v="0"/>
    <x v="3"/>
  </r>
  <r>
    <x v="774"/>
    <x v="0"/>
    <x v="2"/>
  </r>
  <r>
    <x v="775"/>
    <x v="0"/>
    <x v="3"/>
  </r>
  <r>
    <x v="776"/>
    <x v="0"/>
    <x v="3"/>
  </r>
  <r>
    <x v="777"/>
    <x v="2"/>
    <x v="3"/>
  </r>
  <r>
    <x v="778"/>
    <x v="1"/>
    <x v="3"/>
  </r>
  <r>
    <x v="779"/>
    <x v="2"/>
    <x v="1"/>
  </r>
  <r>
    <x v="780"/>
    <x v="0"/>
    <x v="3"/>
  </r>
  <r>
    <x v="781"/>
    <x v="1"/>
    <x v="1"/>
  </r>
  <r>
    <x v="782"/>
    <x v="1"/>
    <x v="1"/>
  </r>
  <r>
    <x v="783"/>
    <x v="0"/>
    <x v="3"/>
  </r>
  <r>
    <x v="784"/>
    <x v="1"/>
    <x v="1"/>
  </r>
  <r>
    <x v="785"/>
    <x v="1"/>
    <x v="0"/>
  </r>
  <r>
    <x v="786"/>
    <x v="0"/>
    <x v="2"/>
  </r>
  <r>
    <x v="787"/>
    <x v="0"/>
    <x v="1"/>
  </r>
  <r>
    <x v="788"/>
    <x v="1"/>
    <x v="2"/>
  </r>
  <r>
    <x v="789"/>
    <x v="2"/>
    <x v="3"/>
  </r>
  <r>
    <x v="790"/>
    <x v="1"/>
    <x v="1"/>
  </r>
  <r>
    <x v="791"/>
    <x v="1"/>
    <x v="2"/>
  </r>
  <r>
    <x v="792"/>
    <x v="2"/>
    <x v="2"/>
  </r>
  <r>
    <x v="793"/>
    <x v="0"/>
    <x v="1"/>
  </r>
  <r>
    <x v="794"/>
    <x v="2"/>
    <x v="2"/>
  </r>
  <r>
    <x v="795"/>
    <x v="0"/>
    <x v="2"/>
  </r>
  <r>
    <x v="796"/>
    <x v="2"/>
    <x v="2"/>
  </r>
  <r>
    <x v="797"/>
    <x v="0"/>
    <x v="3"/>
  </r>
  <r>
    <x v="798"/>
    <x v="1"/>
    <x v="2"/>
  </r>
  <r>
    <x v="799"/>
    <x v="0"/>
    <x v="1"/>
  </r>
  <r>
    <x v="800"/>
    <x v="2"/>
    <x v="2"/>
  </r>
  <r>
    <x v="801"/>
    <x v="0"/>
    <x v="1"/>
  </r>
  <r>
    <x v="802"/>
    <x v="1"/>
    <x v="1"/>
  </r>
  <r>
    <x v="803"/>
    <x v="1"/>
    <x v="3"/>
  </r>
  <r>
    <x v="804"/>
    <x v="1"/>
    <x v="0"/>
  </r>
  <r>
    <x v="805"/>
    <x v="1"/>
    <x v="2"/>
  </r>
  <r>
    <x v="806"/>
    <x v="1"/>
    <x v="3"/>
  </r>
  <r>
    <x v="807"/>
    <x v="0"/>
    <x v="1"/>
  </r>
  <r>
    <x v="808"/>
    <x v="2"/>
    <x v="0"/>
  </r>
  <r>
    <x v="809"/>
    <x v="2"/>
    <x v="3"/>
  </r>
  <r>
    <x v="810"/>
    <x v="0"/>
    <x v="1"/>
  </r>
  <r>
    <x v="811"/>
    <x v="2"/>
    <x v="3"/>
  </r>
  <r>
    <x v="812"/>
    <x v="0"/>
    <x v="0"/>
  </r>
  <r>
    <x v="813"/>
    <x v="1"/>
    <x v="1"/>
  </r>
  <r>
    <x v="814"/>
    <x v="0"/>
    <x v="2"/>
  </r>
  <r>
    <x v="815"/>
    <x v="2"/>
    <x v="3"/>
  </r>
  <r>
    <x v="816"/>
    <x v="2"/>
    <x v="3"/>
  </r>
  <r>
    <x v="817"/>
    <x v="2"/>
    <x v="0"/>
  </r>
  <r>
    <x v="818"/>
    <x v="1"/>
    <x v="0"/>
  </r>
  <r>
    <x v="819"/>
    <x v="2"/>
    <x v="0"/>
  </r>
  <r>
    <x v="820"/>
    <x v="2"/>
    <x v="3"/>
  </r>
  <r>
    <x v="821"/>
    <x v="2"/>
    <x v="0"/>
  </r>
  <r>
    <x v="822"/>
    <x v="0"/>
    <x v="2"/>
  </r>
  <r>
    <x v="823"/>
    <x v="2"/>
    <x v="2"/>
  </r>
  <r>
    <x v="824"/>
    <x v="0"/>
    <x v="1"/>
  </r>
  <r>
    <x v="825"/>
    <x v="2"/>
    <x v="3"/>
  </r>
  <r>
    <x v="826"/>
    <x v="0"/>
    <x v="1"/>
  </r>
  <r>
    <x v="827"/>
    <x v="1"/>
    <x v="3"/>
  </r>
  <r>
    <x v="828"/>
    <x v="2"/>
    <x v="2"/>
  </r>
  <r>
    <x v="829"/>
    <x v="1"/>
    <x v="2"/>
  </r>
  <r>
    <x v="830"/>
    <x v="2"/>
    <x v="0"/>
  </r>
  <r>
    <x v="831"/>
    <x v="1"/>
    <x v="0"/>
  </r>
  <r>
    <x v="832"/>
    <x v="1"/>
    <x v="3"/>
  </r>
  <r>
    <x v="833"/>
    <x v="1"/>
    <x v="2"/>
  </r>
  <r>
    <x v="834"/>
    <x v="1"/>
    <x v="0"/>
  </r>
  <r>
    <x v="835"/>
    <x v="0"/>
    <x v="2"/>
  </r>
  <r>
    <x v="836"/>
    <x v="0"/>
    <x v="0"/>
  </r>
  <r>
    <x v="837"/>
    <x v="0"/>
    <x v="2"/>
  </r>
  <r>
    <x v="838"/>
    <x v="0"/>
    <x v="0"/>
  </r>
  <r>
    <x v="839"/>
    <x v="1"/>
    <x v="1"/>
  </r>
  <r>
    <x v="840"/>
    <x v="1"/>
    <x v="3"/>
  </r>
  <r>
    <x v="841"/>
    <x v="0"/>
    <x v="0"/>
  </r>
  <r>
    <x v="842"/>
    <x v="1"/>
    <x v="1"/>
  </r>
  <r>
    <x v="843"/>
    <x v="0"/>
    <x v="0"/>
  </r>
  <r>
    <x v="844"/>
    <x v="0"/>
    <x v="0"/>
  </r>
  <r>
    <x v="845"/>
    <x v="0"/>
    <x v="0"/>
  </r>
  <r>
    <x v="846"/>
    <x v="0"/>
    <x v="1"/>
  </r>
  <r>
    <x v="847"/>
    <x v="2"/>
    <x v="2"/>
  </r>
  <r>
    <x v="848"/>
    <x v="0"/>
    <x v="0"/>
  </r>
  <r>
    <x v="849"/>
    <x v="1"/>
    <x v="3"/>
  </r>
  <r>
    <x v="850"/>
    <x v="0"/>
    <x v="0"/>
  </r>
  <r>
    <x v="851"/>
    <x v="1"/>
    <x v="3"/>
  </r>
  <r>
    <x v="852"/>
    <x v="1"/>
    <x v="3"/>
  </r>
  <r>
    <x v="853"/>
    <x v="1"/>
    <x v="0"/>
  </r>
  <r>
    <x v="854"/>
    <x v="2"/>
    <x v="2"/>
  </r>
  <r>
    <x v="855"/>
    <x v="0"/>
    <x v="3"/>
  </r>
  <r>
    <x v="856"/>
    <x v="2"/>
    <x v="1"/>
  </r>
  <r>
    <x v="857"/>
    <x v="1"/>
    <x v="0"/>
  </r>
  <r>
    <x v="858"/>
    <x v="1"/>
    <x v="0"/>
  </r>
  <r>
    <x v="859"/>
    <x v="2"/>
    <x v="2"/>
  </r>
  <r>
    <x v="860"/>
    <x v="2"/>
    <x v="0"/>
  </r>
  <r>
    <x v="861"/>
    <x v="2"/>
    <x v="2"/>
  </r>
  <r>
    <x v="862"/>
    <x v="0"/>
    <x v="0"/>
  </r>
  <r>
    <x v="863"/>
    <x v="1"/>
    <x v="3"/>
  </r>
  <r>
    <x v="864"/>
    <x v="1"/>
    <x v="0"/>
  </r>
  <r>
    <x v="865"/>
    <x v="2"/>
    <x v="3"/>
  </r>
  <r>
    <x v="866"/>
    <x v="1"/>
    <x v="1"/>
  </r>
  <r>
    <x v="867"/>
    <x v="2"/>
    <x v="0"/>
  </r>
  <r>
    <x v="868"/>
    <x v="2"/>
    <x v="3"/>
  </r>
  <r>
    <x v="869"/>
    <x v="0"/>
    <x v="1"/>
  </r>
  <r>
    <x v="870"/>
    <x v="1"/>
    <x v="0"/>
  </r>
  <r>
    <x v="871"/>
    <x v="2"/>
    <x v="0"/>
  </r>
  <r>
    <x v="872"/>
    <x v="1"/>
    <x v="2"/>
  </r>
  <r>
    <x v="873"/>
    <x v="0"/>
    <x v="3"/>
  </r>
  <r>
    <x v="874"/>
    <x v="1"/>
    <x v="3"/>
  </r>
  <r>
    <x v="875"/>
    <x v="0"/>
    <x v="0"/>
  </r>
  <r>
    <x v="876"/>
    <x v="2"/>
    <x v="3"/>
  </r>
  <r>
    <x v="877"/>
    <x v="1"/>
    <x v="3"/>
  </r>
  <r>
    <x v="878"/>
    <x v="2"/>
    <x v="0"/>
  </r>
  <r>
    <x v="879"/>
    <x v="2"/>
    <x v="2"/>
  </r>
  <r>
    <x v="880"/>
    <x v="1"/>
    <x v="1"/>
  </r>
  <r>
    <x v="881"/>
    <x v="0"/>
    <x v="2"/>
  </r>
  <r>
    <x v="882"/>
    <x v="0"/>
    <x v="2"/>
  </r>
  <r>
    <x v="883"/>
    <x v="0"/>
    <x v="0"/>
  </r>
  <r>
    <x v="884"/>
    <x v="1"/>
    <x v="1"/>
  </r>
  <r>
    <x v="885"/>
    <x v="0"/>
    <x v="3"/>
  </r>
  <r>
    <x v="886"/>
    <x v="1"/>
    <x v="3"/>
  </r>
  <r>
    <x v="887"/>
    <x v="0"/>
    <x v="1"/>
  </r>
  <r>
    <x v="888"/>
    <x v="0"/>
    <x v="2"/>
  </r>
  <r>
    <x v="889"/>
    <x v="2"/>
    <x v="0"/>
  </r>
  <r>
    <x v="890"/>
    <x v="2"/>
    <x v="0"/>
  </r>
  <r>
    <x v="891"/>
    <x v="0"/>
    <x v="3"/>
  </r>
  <r>
    <x v="892"/>
    <x v="0"/>
    <x v="0"/>
  </r>
  <r>
    <x v="893"/>
    <x v="1"/>
    <x v="2"/>
  </r>
  <r>
    <x v="894"/>
    <x v="1"/>
    <x v="1"/>
  </r>
  <r>
    <x v="895"/>
    <x v="2"/>
    <x v="2"/>
  </r>
  <r>
    <x v="896"/>
    <x v="1"/>
    <x v="1"/>
  </r>
  <r>
    <x v="897"/>
    <x v="2"/>
    <x v="2"/>
  </r>
  <r>
    <x v="898"/>
    <x v="0"/>
    <x v="1"/>
  </r>
  <r>
    <x v="899"/>
    <x v="2"/>
    <x v="0"/>
  </r>
  <r>
    <x v="900"/>
    <x v="0"/>
    <x v="3"/>
  </r>
  <r>
    <x v="901"/>
    <x v="1"/>
    <x v="2"/>
  </r>
  <r>
    <x v="902"/>
    <x v="1"/>
    <x v="1"/>
  </r>
  <r>
    <x v="903"/>
    <x v="2"/>
    <x v="0"/>
  </r>
  <r>
    <x v="904"/>
    <x v="0"/>
    <x v="1"/>
  </r>
  <r>
    <x v="905"/>
    <x v="0"/>
    <x v="0"/>
  </r>
  <r>
    <x v="906"/>
    <x v="2"/>
    <x v="3"/>
  </r>
  <r>
    <x v="907"/>
    <x v="0"/>
    <x v="2"/>
  </r>
  <r>
    <x v="908"/>
    <x v="0"/>
    <x v="2"/>
  </r>
  <r>
    <x v="909"/>
    <x v="0"/>
    <x v="3"/>
  </r>
  <r>
    <x v="910"/>
    <x v="1"/>
    <x v="3"/>
  </r>
  <r>
    <x v="911"/>
    <x v="0"/>
    <x v="3"/>
  </r>
  <r>
    <x v="912"/>
    <x v="0"/>
    <x v="2"/>
  </r>
  <r>
    <x v="913"/>
    <x v="0"/>
    <x v="3"/>
  </r>
  <r>
    <x v="914"/>
    <x v="0"/>
    <x v="0"/>
  </r>
  <r>
    <x v="915"/>
    <x v="0"/>
    <x v="1"/>
  </r>
  <r>
    <x v="916"/>
    <x v="1"/>
    <x v="0"/>
  </r>
  <r>
    <x v="917"/>
    <x v="0"/>
    <x v="0"/>
  </r>
  <r>
    <x v="918"/>
    <x v="1"/>
    <x v="3"/>
  </r>
  <r>
    <x v="919"/>
    <x v="0"/>
    <x v="3"/>
  </r>
  <r>
    <x v="920"/>
    <x v="2"/>
    <x v="3"/>
  </r>
  <r>
    <x v="921"/>
    <x v="1"/>
    <x v="2"/>
  </r>
  <r>
    <x v="922"/>
    <x v="0"/>
    <x v="3"/>
  </r>
  <r>
    <x v="923"/>
    <x v="0"/>
    <x v="0"/>
  </r>
  <r>
    <x v="924"/>
    <x v="0"/>
    <x v="0"/>
  </r>
  <r>
    <x v="925"/>
    <x v="2"/>
    <x v="0"/>
  </r>
  <r>
    <x v="926"/>
    <x v="1"/>
    <x v="3"/>
  </r>
  <r>
    <x v="927"/>
    <x v="0"/>
    <x v="0"/>
  </r>
  <r>
    <x v="928"/>
    <x v="2"/>
    <x v="0"/>
  </r>
  <r>
    <x v="929"/>
    <x v="1"/>
    <x v="2"/>
  </r>
  <r>
    <x v="930"/>
    <x v="2"/>
    <x v="1"/>
  </r>
  <r>
    <x v="931"/>
    <x v="2"/>
    <x v="3"/>
  </r>
  <r>
    <x v="932"/>
    <x v="0"/>
    <x v="1"/>
  </r>
  <r>
    <x v="933"/>
    <x v="2"/>
    <x v="2"/>
  </r>
  <r>
    <x v="934"/>
    <x v="2"/>
    <x v="1"/>
  </r>
  <r>
    <x v="935"/>
    <x v="0"/>
    <x v="0"/>
  </r>
  <r>
    <x v="936"/>
    <x v="0"/>
    <x v="2"/>
  </r>
  <r>
    <x v="937"/>
    <x v="0"/>
    <x v="3"/>
  </r>
  <r>
    <x v="938"/>
    <x v="1"/>
    <x v="0"/>
  </r>
  <r>
    <x v="939"/>
    <x v="0"/>
    <x v="1"/>
  </r>
  <r>
    <x v="940"/>
    <x v="0"/>
    <x v="1"/>
  </r>
  <r>
    <x v="941"/>
    <x v="0"/>
    <x v="1"/>
  </r>
  <r>
    <x v="942"/>
    <x v="2"/>
    <x v="2"/>
  </r>
  <r>
    <x v="943"/>
    <x v="2"/>
    <x v="0"/>
  </r>
  <r>
    <x v="944"/>
    <x v="1"/>
    <x v="3"/>
  </r>
  <r>
    <x v="945"/>
    <x v="2"/>
    <x v="1"/>
  </r>
  <r>
    <x v="946"/>
    <x v="0"/>
    <x v="3"/>
  </r>
  <r>
    <x v="947"/>
    <x v="0"/>
    <x v="1"/>
  </r>
  <r>
    <x v="948"/>
    <x v="2"/>
    <x v="0"/>
  </r>
  <r>
    <x v="949"/>
    <x v="0"/>
    <x v="1"/>
  </r>
  <r>
    <x v="950"/>
    <x v="1"/>
    <x v="3"/>
  </r>
  <r>
    <x v="951"/>
    <x v="2"/>
    <x v="2"/>
  </r>
  <r>
    <x v="952"/>
    <x v="1"/>
    <x v="2"/>
  </r>
  <r>
    <x v="953"/>
    <x v="2"/>
    <x v="2"/>
  </r>
  <r>
    <x v="954"/>
    <x v="1"/>
    <x v="2"/>
  </r>
  <r>
    <x v="955"/>
    <x v="1"/>
    <x v="3"/>
  </r>
  <r>
    <x v="956"/>
    <x v="0"/>
    <x v="3"/>
  </r>
  <r>
    <x v="957"/>
    <x v="1"/>
    <x v="1"/>
  </r>
  <r>
    <x v="958"/>
    <x v="0"/>
    <x v="0"/>
  </r>
  <r>
    <x v="959"/>
    <x v="2"/>
    <x v="3"/>
  </r>
  <r>
    <x v="960"/>
    <x v="0"/>
    <x v="3"/>
  </r>
  <r>
    <x v="961"/>
    <x v="2"/>
    <x v="0"/>
  </r>
  <r>
    <x v="962"/>
    <x v="2"/>
    <x v="0"/>
  </r>
  <r>
    <x v="963"/>
    <x v="1"/>
    <x v="0"/>
  </r>
  <r>
    <x v="964"/>
    <x v="1"/>
    <x v="3"/>
  </r>
  <r>
    <x v="965"/>
    <x v="0"/>
    <x v="2"/>
  </r>
  <r>
    <x v="966"/>
    <x v="1"/>
    <x v="1"/>
  </r>
  <r>
    <x v="967"/>
    <x v="0"/>
    <x v="2"/>
  </r>
  <r>
    <x v="968"/>
    <x v="0"/>
    <x v="0"/>
  </r>
  <r>
    <x v="969"/>
    <x v="2"/>
    <x v="2"/>
  </r>
  <r>
    <x v="970"/>
    <x v="2"/>
    <x v="1"/>
  </r>
  <r>
    <x v="971"/>
    <x v="0"/>
    <x v="0"/>
  </r>
  <r>
    <x v="972"/>
    <x v="0"/>
    <x v="1"/>
  </r>
  <r>
    <x v="973"/>
    <x v="2"/>
    <x v="2"/>
  </r>
  <r>
    <x v="974"/>
    <x v="0"/>
    <x v="2"/>
  </r>
  <r>
    <x v="975"/>
    <x v="1"/>
    <x v="0"/>
  </r>
  <r>
    <x v="976"/>
    <x v="2"/>
    <x v="3"/>
  </r>
  <r>
    <x v="977"/>
    <x v="2"/>
    <x v="3"/>
  </r>
  <r>
    <x v="978"/>
    <x v="1"/>
    <x v="0"/>
  </r>
  <r>
    <x v="979"/>
    <x v="0"/>
    <x v="1"/>
  </r>
  <r>
    <x v="980"/>
    <x v="1"/>
    <x v="1"/>
  </r>
  <r>
    <x v="981"/>
    <x v="1"/>
    <x v="3"/>
  </r>
  <r>
    <x v="982"/>
    <x v="0"/>
    <x v="0"/>
  </r>
  <r>
    <x v="983"/>
    <x v="1"/>
    <x v="2"/>
  </r>
  <r>
    <x v="984"/>
    <x v="1"/>
    <x v="2"/>
  </r>
  <r>
    <x v="985"/>
    <x v="0"/>
    <x v="1"/>
  </r>
  <r>
    <x v="986"/>
    <x v="2"/>
    <x v="2"/>
  </r>
  <r>
    <x v="987"/>
    <x v="2"/>
    <x v="2"/>
  </r>
  <r>
    <x v="988"/>
    <x v="1"/>
    <x v="0"/>
  </r>
  <r>
    <x v="989"/>
    <x v="0"/>
    <x v="0"/>
  </r>
  <r>
    <x v="990"/>
    <x v="2"/>
    <x v="0"/>
  </r>
  <r>
    <x v="991"/>
    <x v="1"/>
    <x v="3"/>
  </r>
  <r>
    <x v="992"/>
    <x v="1"/>
    <x v="3"/>
  </r>
  <r>
    <x v="993"/>
    <x v="2"/>
    <x v="0"/>
  </r>
  <r>
    <x v="994"/>
    <x v="1"/>
    <x v="0"/>
  </r>
  <r>
    <x v="995"/>
    <x v="1"/>
    <x v="2"/>
  </r>
  <r>
    <x v="996"/>
    <x v="1"/>
    <x v="3"/>
  </r>
  <r>
    <x v="997"/>
    <x v="1"/>
    <x v="3"/>
  </r>
  <r>
    <x v="998"/>
    <x v="1"/>
    <x v="3"/>
  </r>
  <r>
    <x v="999"/>
    <x v="0"/>
    <x v="2"/>
  </r>
  <r>
    <x v="1000"/>
    <x v="0"/>
    <x v="3"/>
  </r>
  <r>
    <x v="1001"/>
    <x v="2"/>
    <x v="2"/>
  </r>
  <r>
    <x v="1002"/>
    <x v="0"/>
    <x v="0"/>
  </r>
  <r>
    <x v="1003"/>
    <x v="0"/>
    <x v="3"/>
  </r>
  <r>
    <x v="1004"/>
    <x v="2"/>
    <x v="2"/>
  </r>
  <r>
    <x v="1005"/>
    <x v="2"/>
    <x v="0"/>
  </r>
  <r>
    <x v="1006"/>
    <x v="2"/>
    <x v="1"/>
  </r>
  <r>
    <x v="1007"/>
    <x v="2"/>
    <x v="0"/>
  </r>
  <r>
    <x v="1008"/>
    <x v="1"/>
    <x v="3"/>
  </r>
  <r>
    <x v="1009"/>
    <x v="1"/>
    <x v="3"/>
  </r>
  <r>
    <x v="1010"/>
    <x v="1"/>
    <x v="2"/>
  </r>
  <r>
    <x v="1011"/>
    <x v="0"/>
    <x v="0"/>
  </r>
  <r>
    <x v="1012"/>
    <x v="0"/>
    <x v="3"/>
  </r>
  <r>
    <x v="1013"/>
    <x v="0"/>
    <x v="3"/>
  </r>
  <r>
    <x v="1014"/>
    <x v="2"/>
    <x v="1"/>
  </r>
  <r>
    <x v="1015"/>
    <x v="0"/>
    <x v="2"/>
  </r>
  <r>
    <x v="1016"/>
    <x v="2"/>
    <x v="3"/>
  </r>
  <r>
    <x v="1017"/>
    <x v="2"/>
    <x v="3"/>
  </r>
  <r>
    <x v="1018"/>
    <x v="1"/>
    <x v="0"/>
  </r>
  <r>
    <x v="1019"/>
    <x v="1"/>
    <x v="1"/>
  </r>
  <r>
    <x v="1020"/>
    <x v="2"/>
    <x v="1"/>
  </r>
  <r>
    <x v="1021"/>
    <x v="2"/>
    <x v="2"/>
  </r>
  <r>
    <x v="1022"/>
    <x v="0"/>
    <x v="2"/>
  </r>
  <r>
    <x v="1023"/>
    <x v="1"/>
    <x v="2"/>
  </r>
  <r>
    <x v="1024"/>
    <x v="1"/>
    <x v="3"/>
  </r>
  <r>
    <x v="1025"/>
    <x v="1"/>
    <x v="3"/>
  </r>
  <r>
    <x v="1026"/>
    <x v="2"/>
    <x v="3"/>
  </r>
  <r>
    <x v="1027"/>
    <x v="0"/>
    <x v="0"/>
  </r>
  <r>
    <x v="1028"/>
    <x v="0"/>
    <x v="3"/>
  </r>
  <r>
    <x v="1029"/>
    <x v="0"/>
    <x v="0"/>
  </r>
  <r>
    <x v="1030"/>
    <x v="0"/>
    <x v="0"/>
  </r>
  <r>
    <x v="1031"/>
    <x v="2"/>
    <x v="2"/>
  </r>
  <r>
    <x v="1032"/>
    <x v="1"/>
    <x v="2"/>
  </r>
  <r>
    <x v="1033"/>
    <x v="2"/>
    <x v="2"/>
  </r>
  <r>
    <x v="1034"/>
    <x v="0"/>
    <x v="3"/>
  </r>
  <r>
    <x v="1035"/>
    <x v="1"/>
    <x v="1"/>
  </r>
  <r>
    <x v="1036"/>
    <x v="0"/>
    <x v="0"/>
  </r>
  <r>
    <x v="1037"/>
    <x v="1"/>
    <x v="3"/>
  </r>
  <r>
    <x v="1038"/>
    <x v="2"/>
    <x v="2"/>
  </r>
  <r>
    <x v="1039"/>
    <x v="2"/>
    <x v="0"/>
  </r>
  <r>
    <x v="1040"/>
    <x v="0"/>
    <x v="3"/>
  </r>
  <r>
    <x v="1041"/>
    <x v="1"/>
    <x v="1"/>
  </r>
  <r>
    <x v="1042"/>
    <x v="0"/>
    <x v="2"/>
  </r>
  <r>
    <x v="1043"/>
    <x v="1"/>
    <x v="3"/>
  </r>
  <r>
    <x v="1044"/>
    <x v="0"/>
    <x v="0"/>
  </r>
  <r>
    <x v="1045"/>
    <x v="2"/>
    <x v="2"/>
  </r>
  <r>
    <x v="1046"/>
    <x v="2"/>
    <x v="0"/>
  </r>
  <r>
    <x v="1047"/>
    <x v="1"/>
    <x v="1"/>
  </r>
  <r>
    <x v="1048"/>
    <x v="2"/>
    <x v="1"/>
  </r>
  <r>
    <x v="1049"/>
    <x v="2"/>
    <x v="2"/>
  </r>
  <r>
    <x v="1050"/>
    <x v="0"/>
    <x v="3"/>
  </r>
  <r>
    <x v="1051"/>
    <x v="1"/>
    <x v="1"/>
  </r>
  <r>
    <x v="1052"/>
    <x v="0"/>
    <x v="1"/>
  </r>
  <r>
    <x v="1053"/>
    <x v="2"/>
    <x v="0"/>
  </r>
  <r>
    <x v="1054"/>
    <x v="0"/>
    <x v="3"/>
  </r>
  <r>
    <x v="1055"/>
    <x v="0"/>
    <x v="1"/>
  </r>
  <r>
    <x v="1056"/>
    <x v="0"/>
    <x v="0"/>
  </r>
  <r>
    <x v="1057"/>
    <x v="2"/>
    <x v="0"/>
  </r>
  <r>
    <x v="1058"/>
    <x v="2"/>
    <x v="0"/>
  </r>
  <r>
    <x v="1059"/>
    <x v="1"/>
    <x v="3"/>
  </r>
  <r>
    <x v="1060"/>
    <x v="0"/>
    <x v="1"/>
  </r>
  <r>
    <x v="1061"/>
    <x v="1"/>
    <x v="0"/>
  </r>
  <r>
    <x v="1062"/>
    <x v="1"/>
    <x v="3"/>
  </r>
  <r>
    <x v="1063"/>
    <x v="2"/>
    <x v="2"/>
  </r>
  <r>
    <x v="1064"/>
    <x v="2"/>
    <x v="0"/>
  </r>
  <r>
    <x v="1065"/>
    <x v="2"/>
    <x v="3"/>
  </r>
  <r>
    <x v="1066"/>
    <x v="0"/>
    <x v="0"/>
  </r>
  <r>
    <x v="1067"/>
    <x v="0"/>
    <x v="1"/>
  </r>
  <r>
    <x v="1068"/>
    <x v="2"/>
    <x v="0"/>
  </r>
  <r>
    <x v="1069"/>
    <x v="1"/>
    <x v="0"/>
  </r>
  <r>
    <x v="1070"/>
    <x v="0"/>
    <x v="2"/>
  </r>
  <r>
    <x v="1071"/>
    <x v="1"/>
    <x v="3"/>
  </r>
  <r>
    <x v="1072"/>
    <x v="0"/>
    <x v="0"/>
  </r>
  <r>
    <x v="1073"/>
    <x v="2"/>
    <x v="1"/>
  </r>
  <r>
    <x v="1074"/>
    <x v="0"/>
    <x v="1"/>
  </r>
  <r>
    <x v="1075"/>
    <x v="0"/>
    <x v="0"/>
  </r>
  <r>
    <x v="1076"/>
    <x v="2"/>
    <x v="0"/>
  </r>
  <r>
    <x v="1077"/>
    <x v="1"/>
    <x v="1"/>
  </r>
  <r>
    <x v="1078"/>
    <x v="0"/>
    <x v="3"/>
  </r>
  <r>
    <x v="1079"/>
    <x v="0"/>
    <x v="1"/>
  </r>
  <r>
    <x v="1080"/>
    <x v="1"/>
    <x v="3"/>
  </r>
  <r>
    <x v="1081"/>
    <x v="2"/>
    <x v="3"/>
  </r>
  <r>
    <x v="1082"/>
    <x v="2"/>
    <x v="1"/>
  </r>
  <r>
    <x v="1083"/>
    <x v="1"/>
    <x v="3"/>
  </r>
  <r>
    <x v="1084"/>
    <x v="2"/>
    <x v="3"/>
  </r>
  <r>
    <x v="1085"/>
    <x v="2"/>
    <x v="0"/>
  </r>
  <r>
    <x v="1086"/>
    <x v="0"/>
    <x v="0"/>
  </r>
  <r>
    <x v="1087"/>
    <x v="2"/>
    <x v="0"/>
  </r>
  <r>
    <x v="1088"/>
    <x v="2"/>
    <x v="2"/>
  </r>
  <r>
    <x v="1089"/>
    <x v="2"/>
    <x v="1"/>
  </r>
  <r>
    <x v="1090"/>
    <x v="1"/>
    <x v="1"/>
  </r>
  <r>
    <x v="1091"/>
    <x v="2"/>
    <x v="3"/>
  </r>
  <r>
    <x v="1092"/>
    <x v="0"/>
    <x v="1"/>
  </r>
  <r>
    <x v="1093"/>
    <x v="2"/>
    <x v="2"/>
  </r>
  <r>
    <x v="1094"/>
    <x v="0"/>
    <x v="0"/>
  </r>
  <r>
    <x v="1095"/>
    <x v="2"/>
    <x v="0"/>
  </r>
  <r>
    <x v="1096"/>
    <x v="0"/>
    <x v="1"/>
  </r>
  <r>
    <x v="1097"/>
    <x v="0"/>
    <x v="3"/>
  </r>
  <r>
    <x v="1098"/>
    <x v="0"/>
    <x v="2"/>
  </r>
  <r>
    <x v="1099"/>
    <x v="1"/>
    <x v="0"/>
  </r>
  <r>
    <x v="1100"/>
    <x v="0"/>
    <x v="3"/>
  </r>
  <r>
    <x v="1101"/>
    <x v="0"/>
    <x v="2"/>
  </r>
  <r>
    <x v="1102"/>
    <x v="2"/>
    <x v="1"/>
  </r>
  <r>
    <x v="1103"/>
    <x v="2"/>
    <x v="1"/>
  </r>
  <r>
    <x v="1104"/>
    <x v="0"/>
    <x v="1"/>
  </r>
  <r>
    <x v="1105"/>
    <x v="2"/>
    <x v="1"/>
  </r>
  <r>
    <x v="1106"/>
    <x v="2"/>
    <x v="1"/>
  </r>
  <r>
    <x v="1107"/>
    <x v="2"/>
    <x v="3"/>
  </r>
  <r>
    <x v="1108"/>
    <x v="2"/>
    <x v="2"/>
  </r>
  <r>
    <x v="1109"/>
    <x v="2"/>
    <x v="1"/>
  </r>
  <r>
    <x v="1110"/>
    <x v="0"/>
    <x v="3"/>
  </r>
  <r>
    <x v="1111"/>
    <x v="0"/>
    <x v="1"/>
  </r>
  <r>
    <x v="1112"/>
    <x v="0"/>
    <x v="0"/>
  </r>
  <r>
    <x v="1113"/>
    <x v="0"/>
    <x v="0"/>
  </r>
  <r>
    <x v="1114"/>
    <x v="0"/>
    <x v="3"/>
  </r>
  <r>
    <x v="1115"/>
    <x v="1"/>
    <x v="2"/>
  </r>
  <r>
    <x v="1116"/>
    <x v="1"/>
    <x v="3"/>
  </r>
  <r>
    <x v="1117"/>
    <x v="1"/>
    <x v="2"/>
  </r>
  <r>
    <x v="1118"/>
    <x v="0"/>
    <x v="3"/>
  </r>
  <r>
    <x v="1119"/>
    <x v="1"/>
    <x v="2"/>
  </r>
  <r>
    <x v="1120"/>
    <x v="0"/>
    <x v="2"/>
  </r>
  <r>
    <x v="1121"/>
    <x v="0"/>
    <x v="1"/>
  </r>
  <r>
    <x v="1122"/>
    <x v="0"/>
    <x v="3"/>
  </r>
  <r>
    <x v="1123"/>
    <x v="2"/>
    <x v="3"/>
  </r>
  <r>
    <x v="1124"/>
    <x v="0"/>
    <x v="3"/>
  </r>
  <r>
    <x v="1125"/>
    <x v="2"/>
    <x v="0"/>
  </r>
  <r>
    <x v="1126"/>
    <x v="2"/>
    <x v="3"/>
  </r>
  <r>
    <x v="1127"/>
    <x v="1"/>
    <x v="0"/>
  </r>
  <r>
    <x v="1128"/>
    <x v="1"/>
    <x v="3"/>
  </r>
  <r>
    <x v="1129"/>
    <x v="0"/>
    <x v="1"/>
  </r>
  <r>
    <x v="1130"/>
    <x v="0"/>
    <x v="1"/>
  </r>
  <r>
    <x v="1131"/>
    <x v="2"/>
    <x v="3"/>
  </r>
  <r>
    <x v="1132"/>
    <x v="2"/>
    <x v="3"/>
  </r>
  <r>
    <x v="1133"/>
    <x v="0"/>
    <x v="0"/>
  </r>
  <r>
    <x v="1134"/>
    <x v="0"/>
    <x v="1"/>
  </r>
  <r>
    <x v="1135"/>
    <x v="1"/>
    <x v="1"/>
  </r>
  <r>
    <x v="1136"/>
    <x v="2"/>
    <x v="3"/>
  </r>
  <r>
    <x v="1137"/>
    <x v="0"/>
    <x v="3"/>
  </r>
  <r>
    <x v="1138"/>
    <x v="0"/>
    <x v="2"/>
  </r>
  <r>
    <x v="1139"/>
    <x v="0"/>
    <x v="1"/>
  </r>
  <r>
    <x v="1140"/>
    <x v="2"/>
    <x v="0"/>
  </r>
  <r>
    <x v="1141"/>
    <x v="0"/>
    <x v="3"/>
  </r>
  <r>
    <x v="1142"/>
    <x v="0"/>
    <x v="2"/>
  </r>
  <r>
    <x v="1143"/>
    <x v="1"/>
    <x v="2"/>
  </r>
  <r>
    <x v="1144"/>
    <x v="0"/>
    <x v="3"/>
  </r>
  <r>
    <x v="1145"/>
    <x v="0"/>
    <x v="3"/>
  </r>
  <r>
    <x v="1146"/>
    <x v="1"/>
    <x v="3"/>
  </r>
  <r>
    <x v="1147"/>
    <x v="1"/>
    <x v="3"/>
  </r>
  <r>
    <x v="1148"/>
    <x v="1"/>
    <x v="1"/>
  </r>
  <r>
    <x v="1149"/>
    <x v="2"/>
    <x v="2"/>
  </r>
  <r>
    <x v="1150"/>
    <x v="2"/>
    <x v="0"/>
  </r>
  <r>
    <x v="1151"/>
    <x v="2"/>
    <x v="1"/>
  </r>
  <r>
    <x v="1152"/>
    <x v="0"/>
    <x v="1"/>
  </r>
  <r>
    <x v="1153"/>
    <x v="1"/>
    <x v="0"/>
  </r>
  <r>
    <x v="1154"/>
    <x v="1"/>
    <x v="2"/>
  </r>
  <r>
    <x v="1155"/>
    <x v="2"/>
    <x v="1"/>
  </r>
  <r>
    <x v="1156"/>
    <x v="1"/>
    <x v="1"/>
  </r>
  <r>
    <x v="1157"/>
    <x v="1"/>
    <x v="0"/>
  </r>
  <r>
    <x v="1158"/>
    <x v="1"/>
    <x v="2"/>
  </r>
  <r>
    <x v="1159"/>
    <x v="0"/>
    <x v="2"/>
  </r>
  <r>
    <x v="1160"/>
    <x v="1"/>
    <x v="0"/>
  </r>
  <r>
    <x v="1161"/>
    <x v="2"/>
    <x v="2"/>
  </r>
  <r>
    <x v="1162"/>
    <x v="2"/>
    <x v="1"/>
  </r>
  <r>
    <x v="1163"/>
    <x v="2"/>
    <x v="3"/>
  </r>
  <r>
    <x v="1164"/>
    <x v="0"/>
    <x v="1"/>
  </r>
  <r>
    <x v="1165"/>
    <x v="2"/>
    <x v="3"/>
  </r>
  <r>
    <x v="1166"/>
    <x v="0"/>
    <x v="0"/>
  </r>
  <r>
    <x v="1167"/>
    <x v="2"/>
    <x v="0"/>
  </r>
  <r>
    <x v="1168"/>
    <x v="0"/>
    <x v="2"/>
  </r>
  <r>
    <x v="1169"/>
    <x v="2"/>
    <x v="2"/>
  </r>
  <r>
    <x v="1170"/>
    <x v="1"/>
    <x v="3"/>
  </r>
  <r>
    <x v="1171"/>
    <x v="0"/>
    <x v="3"/>
  </r>
  <r>
    <x v="1172"/>
    <x v="1"/>
    <x v="3"/>
  </r>
  <r>
    <x v="1173"/>
    <x v="2"/>
    <x v="0"/>
  </r>
  <r>
    <x v="1174"/>
    <x v="2"/>
    <x v="2"/>
  </r>
  <r>
    <x v="1175"/>
    <x v="0"/>
    <x v="1"/>
  </r>
  <r>
    <x v="1176"/>
    <x v="0"/>
    <x v="1"/>
  </r>
  <r>
    <x v="1177"/>
    <x v="2"/>
    <x v="2"/>
  </r>
  <r>
    <x v="1178"/>
    <x v="0"/>
    <x v="0"/>
  </r>
  <r>
    <x v="1179"/>
    <x v="2"/>
    <x v="1"/>
  </r>
  <r>
    <x v="1180"/>
    <x v="1"/>
    <x v="2"/>
  </r>
  <r>
    <x v="1181"/>
    <x v="0"/>
    <x v="3"/>
  </r>
  <r>
    <x v="1182"/>
    <x v="1"/>
    <x v="0"/>
  </r>
  <r>
    <x v="1183"/>
    <x v="2"/>
    <x v="0"/>
  </r>
  <r>
    <x v="1184"/>
    <x v="0"/>
    <x v="1"/>
  </r>
  <r>
    <x v="1185"/>
    <x v="0"/>
    <x v="1"/>
  </r>
  <r>
    <x v="1186"/>
    <x v="2"/>
    <x v="3"/>
  </r>
  <r>
    <x v="1187"/>
    <x v="2"/>
    <x v="1"/>
  </r>
  <r>
    <x v="1188"/>
    <x v="2"/>
    <x v="1"/>
  </r>
  <r>
    <x v="1189"/>
    <x v="1"/>
    <x v="2"/>
  </r>
  <r>
    <x v="1190"/>
    <x v="0"/>
    <x v="1"/>
  </r>
  <r>
    <x v="1191"/>
    <x v="2"/>
    <x v="1"/>
  </r>
  <r>
    <x v="1192"/>
    <x v="0"/>
    <x v="1"/>
  </r>
  <r>
    <x v="1193"/>
    <x v="1"/>
    <x v="2"/>
  </r>
  <r>
    <x v="1194"/>
    <x v="1"/>
    <x v="3"/>
  </r>
  <r>
    <x v="1195"/>
    <x v="1"/>
    <x v="1"/>
  </r>
  <r>
    <x v="1196"/>
    <x v="0"/>
    <x v="3"/>
  </r>
  <r>
    <x v="1197"/>
    <x v="0"/>
    <x v="1"/>
  </r>
  <r>
    <x v="1198"/>
    <x v="0"/>
    <x v="3"/>
  </r>
  <r>
    <x v="1199"/>
    <x v="0"/>
    <x v="1"/>
  </r>
</pivotCacheRecords>
</file>

<file path=xl/pivotTables/_rels/pivotTable1.xml.rels><?xml version='1.0' encoding='utf-8'?>
<ns0:Relationships xmlns:ns0="http://schemas.openxmlformats.org/package/2006/relationships"><ns0:Relationship Id="rId1" Type="http://schemas.openxmlformats.org/officeDocument/2006/relationships/pivotCacheDefinition" Target="../pivotCache/pivotCacheDefinition1.xml" /></ns0:Relationships>
</file>

<file path=xl/pivotTables/pivotTable1.xml><?xml version="1.0" encoding="utf-8"?>
<pivotTableDefinition xmlns="http://schemas.openxmlformats.org/spreadsheetml/2006/main" name="CasesByDepartment" cacheId="1" dataCaption="Case count" grandTotalCaption="Grand Total" rowGrandTotals="1" colGrandTotals="1" compact="0" compactData="0" gridDropZones="0" outline="1" outlineData="1" createdVersion="6" updatedVersion="6" minRefreshableVersion="3" useAutoFormatting="1" itemPrintTitles="1">
  <location ref="A6:B10" firstHeaderRow="1" firstDataRow="1" firstDataCol="1"/>
  <pivotFields count="3">
    <pivotField dataField="1" showAll="0"/>
    <pivotField axis="axisRow" showAll="0" defaultSubtotal="0" compact="0" outline="0">
      <items count="4">
        <item x="0"/>
        <item x="1"/>
        <item x="2"/>
        <item t="default"/>
      </items>
    </pivotField>
    <pivotField showAll="0">
      <items count="4">
        <item x="0"/>
        <item x="1"/>
        <item x="2"/>
        <item x="3"/>
      </items>
    </pivotField>
  </pivotFields>
  <rowFields count="1">
    <field x="1"/>
  </rowFields>
  <rowItems count="4">
    <i>
      <x v="0"/>
    </i>
    <i>
      <x v="1"/>
    </i>
    <i>
      <x v="2"/>
    </i>
    <i t="grand">
      <x/>
    </i>
  </rowItems>
  <colItems count="1">
    <i>
      <x/>
    </i>
  </colItems>
  <dataFields count="1">
    <dataField name="Case count" fld="0" subtotal="count" baseField="0" baseItem="0" numFmtId="0"/>
  </dataFields>
  <pivotTableStyleInfo name="PivotStyleMedium9" showRowHeaders="1" showColHeaders="1" showRowStripes="1" showColStripes="0" showLastColumn="1"/>
</pivotTableDefinition>
</file>

<file path=xl/tables/table1.xml><?xml version="1.0" encoding="utf-8"?>
<x:table xmlns:x="http://schemas.openxmlformats.org/spreadsheetml/2006/main" id="1" name="CasesData" displayName="CasesData" ref="A5:O1205" headerRowCount="1" totalsRowCount="0" totalsRowShown="0">
  <x:tableColumns count="15">
    <x:tableColumn id="1" name="Case ID"/>
    <x:tableColumn id="2" name="Department"/>
    <x:tableColumn id="3" name="Category"/>
    <x:tableColumn id="4" name="Priority"/>
    <x:tableColumn id="5" name="Opened"/>
    <x:tableColumn id="6" name="Due"/>
    <x:tableColumn id="7" name="Closed"/>
    <x:tableColumn id="8" name="Dept ID"/>
    <x:tableColumn id="9" name="Open flag"/>
    <x:tableColumn id="10" name="Overdue flag"/>
    <x:tableColumn id="11" name="Due flag"/>
    <x:tableColumn id="12" name="On-time flag"/>
    <x:tableColumn id="13" name="Closed flag"/>
    <x:tableColumn id="14" name="Resolution days"/>
    <x:tableColumn id="1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bcce4acb9f64ca7" /></Relationships>
</file>

<file path=xl/worksheets/_rels/sheet2.xml.rels><?xml version='1.0' encoding='utf-8'?>
<ns0:Relationships xmlns:ns0="http://schemas.openxmlformats.org/package/2006/relationships"><ns0:Relationship Id="rIdNativePivot" Type="http://schemas.openxmlformats.org/officeDocument/2006/relationships/pivotTable" Target="../pivotTables/pivotTable1.xml" /></ns0:Relationships>
</file>

<file path=xl/worksheets/_rels/sheet3.xml.rels>&#65279;<?xml version="1.0" encoding="utf-8"?><Relationships xmlns="http://schemas.openxmlformats.org/package/2006/relationships"><Relationship Type="http://schemas.openxmlformats.org/officeDocument/2006/relationships/table" Target="/xl/tables/table1.xml" Id="Refb72dab5c3c4c1d" /></Relationships>
</file>

<file path=xl/worksheets/sheet1.xml><?xml version="1.0" encoding="utf-8"?>
<x:worksheet xmlns:x="http://schemas.openxmlformats.org/spreadsheetml/2006/main">
  <x:sheetPr>
    <x:tabColor rgb="FF087E83"/>
  </x:sheetPr>
  <x:sheetViews>
    <x:sheetView showGridLines="0" workbookViewId="0">
      <x:pane ySplit="5" topLeftCell="A6" activePane="bottomLeft" state="frozen"/>
    </x:sheetView>
  </x:sheetViews>
  <x:sheetFormatPr defaultRowHeight="15"/>
  <x:cols>
    <x:col min="1" max="1" width="25"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ht="23" customHeight="1">
      <x:c r="A1" s="5" t="str">
        <x:v>Compliance reporting and case backlog</x:v>
      </x:c>
      <x:c r="B1" s="5"/>
      <x:c r="C1" s="5"/>
      <x:c r="D1" s="5"/>
      <x:c r="E1" s="5"/>
      <x:c r="F1" s="5"/>
      <x:c r="G1" s="5"/>
      <x:c r="H1" s="5"/>
      <x:c r="I1" s="1"/>
      <x:c r="J1" s="1"/>
      <x:c r="K1" s="1"/>
      <x:c r="L1" s="1"/>
      <x:c r="M1" s="1"/>
      <x:c r="N1" s="1"/>
      <x:c r="O1" s="1"/>
      <x:c r="P1" s="1"/>
    </x:row>
    <x:row r="2" ht="23" customHeight="1">
      <x:c r="A2" s="5"/>
      <x:c r="B2" s="5"/>
      <x:c r="C2" s="5"/>
      <x:c r="D2" s="5"/>
      <x:c r="E2" s="5"/>
      <x:c r="F2" s="5"/>
      <x:c r="G2" s="5"/>
      <x:c r="H2" s="5"/>
      <x:c r="I2" s="1"/>
      <x:c r="J2" s="1"/>
      <x:c r="K2" s="1"/>
      <x:c r="L2" s="1"/>
      <x:c r="M2" s="1"/>
      <x:c r="N2" s="1"/>
      <x:c r="O2" s="1"/>
      <x:c r="P2" s="1"/>
    </x:row>
    <x:row r="3" ht="23" customHeight="1">
      <x:c r="A3" s="19" t="str">
        <x:v>FICTIONAL DATA / 29 Jun - 20 Sep 2026 / Prepared by Erochukwu Amajoyi</x:v>
      </x:c>
      <x:c r="B3" s="19"/>
      <x:c r="C3" s="19"/>
      <x:c r="D3" s="19"/>
      <x:c r="E3" s="19"/>
      <x:c r="F3" s="19"/>
      <x:c r="G3" s="19"/>
      <x:c r="H3" s="19"/>
      <x:c r="I3" s="1"/>
      <x:c r="J3" s="1"/>
      <x:c r="K3" s="1"/>
      <x:c r="L3" s="1"/>
      <x:c r="M3" s="1"/>
      <x:c r="N3" s="1"/>
      <x:c r="O3" s="1"/>
      <x:c r="P3" s="1"/>
    </x:row>
    <x:row r="4" ht="23" customHeight="1">
      <x:c r="A4" s="1" t="str">
        <x:v>Cutoff (exclusive)</x:v>
      </x:c>
      <x:c r="B4" s="22" t="n">
        <x:v>46286</x:v>
      </x:c>
      <x:c r="C4" s="19" t="str">
        <x:v>Midnight UTC. Snapshot includes all activity before this timestamp.</x:v>
      </x:c>
      <x:c r="D4" s="19"/>
      <x:c r="E4" s="19"/>
      <x:c r="F4" s="19"/>
      <x:c r="G4" s="19"/>
      <x:c r="H4" s="19"/>
      <x:c r="I4" s="1"/>
      <x:c r="J4" s="1"/>
      <x:c r="K4" s="1"/>
      <x:c r="L4" s="1"/>
      <x:c r="M4" s="1"/>
      <x:c r="N4" s="1"/>
      <x:c r="O4" s="1"/>
      <x:c r="P4" s="1"/>
    </x:row>
    <x:row r="5" ht="23" customHeight="1">
      <x:c r="A5" s="1"/>
      <x:c r="B5" s="1"/>
      <x:c r="C5" s="1"/>
      <x:c r="D5" s="1"/>
      <x:c r="E5" s="1"/>
      <x:c r="F5" s="1"/>
      <x:c r="G5" s="1"/>
      <x:c r="H5" s="1"/>
      <x:c r="I5" s="1"/>
      <x:c r="J5" s="1"/>
      <x:c r="K5" s="1"/>
      <x:c r="L5" s="1"/>
      <x:c r="M5" s="1"/>
      <x:c r="N5" s="1"/>
      <x:c r="O5" s="1"/>
      <x:c r="P5" s="1"/>
    </x:row>
    <x:row r="6" ht="23" customHeight="1">
      <x:c r="A6" s="25" t="str">
        <x:v>Total cases</x:v>
      </x:c>
      <x:c r="B6" s="25"/>
      <x:c r="C6" s="25" t="str">
        <x:v>Open backlog</x:v>
      </x:c>
      <x:c r="D6" s="25"/>
      <x:c r="E6" s="25" t="str">
        <x:v>Overdue open</x:v>
      </x:c>
      <x:c r="F6" s="25"/>
      <x:c r="G6" s="25" t="str">
        <x:v>On-time due cohort</x:v>
      </x:c>
      <x:c r="H6" s="25"/>
      <x:c r="I6" s="1"/>
      <x:c r="J6" s="1"/>
      <x:c r="K6" s="1"/>
      <x:c r="L6" s="1"/>
      <x:c r="M6" s="1"/>
      <x:c r="N6" s="1"/>
      <x:c r="O6" s="1"/>
      <x:c r="P6" s="1"/>
    </x:row>
    <x:row r="7" ht="23" customHeight="1">
      <x:c r="A7" s="29" t="n">
        <x:f>COUNTIF(Cases!$E$6:$E$1205,"&lt;"&amp;$B$4)</x:f>
        <x:v>1200</x:v>
      </x:c>
      <x:c r="B7" s="28"/>
      <x:c r="C7" s="29" t="n">
        <x:f>SUM(Cases!$I$6:$I$1205)</x:f>
        <x:v>266</x:v>
      </x:c>
      <x:c r="D7" s="28"/>
      <x:c r="E7" s="29" t="n">
        <x:f>SUM(Cases!$J$6:$J$1205)</x:f>
        <x:v>157</x:v>
      </x:c>
      <x:c r="F7" s="28"/>
      <x:c r="G7" s="30" t="n">
        <x:f>IF(SUM(Cases!$K$6:$K$1205)=0,"n.a.",SUM(Cases!$L$6:$L$1205)/SUM(Cases!$K$6:$K$1205))</x:f>
        <x:v>0.3392193308550186</x:v>
      </x:c>
      <x:c r="H7" s="28"/>
      <x:c r="I7" s="1"/>
      <x:c r="J7" s="1"/>
      <x:c r="K7" s="1"/>
      <x:c r="L7" s="1"/>
      <x:c r="M7" s="1"/>
      <x:c r="N7" s="1"/>
      <x:c r="O7" s="1"/>
      <x:c r="P7" s="1"/>
    </x:row>
    <x:row r="8" ht="23" customHeight="1">
      <x:c r="A8" s="28"/>
      <x:c r="B8" s="28"/>
      <x:c r="C8" s="28"/>
      <x:c r="D8" s="28"/>
      <x:c r="E8" s="28"/>
      <x:c r="F8" s="28"/>
      <x:c r="G8" s="28"/>
      <x:c r="H8" s="28"/>
      <x:c r="I8" s="1"/>
      <x:c r="J8" s="1"/>
      <x:c r="K8" s="1"/>
      <x:c r="L8" s="1"/>
      <x:c r="M8" s="1"/>
      <x:c r="N8" s="1"/>
      <x:c r="O8" s="1"/>
      <x:c r="P8" s="1"/>
    </x:row>
    <x:row r="9" ht="23" customHeight="1">
      <x:c r="A9" s="1"/>
      <x:c r="B9" s="1"/>
      <x:c r="C9" s="1"/>
      <x:c r="D9" s="1"/>
      <x:c r="E9" s="1"/>
      <x:c r="F9" s="1"/>
      <x:c r="G9" s="1"/>
      <x:c r="H9" s="1"/>
      <x:c r="I9" s="1"/>
      <x:c r="J9" s="1"/>
      <x:c r="K9" s="1"/>
      <x:c r="L9" s="1"/>
      <x:c r="M9" s="1"/>
      <x:c r="N9" s="1"/>
      <x:c r="O9" s="1"/>
      <x:c r="P9" s="1"/>
    </x:row>
    <x:row r="10" ht="23" customHeight="1">
      <x:c r="A10" s="9" t="str">
        <x:f>"Due cohort: "&amp;SUM(Cases!$L$6:$L$1205)&amp;" on time / "&amp;SUM(Cases!$K$6:$K$1205)&amp;" due. Open due cases remain in the denominator. Mean resolution: "&amp;TEXT(AVERAGE(Cases!$N$6:$N$1205),"0.0")&amp;" days across "&amp;SUM(Cases!$M$6:$M$1205)&amp;" closed cases. Illustrative data, not Wren results."</x:f>
        <x:v>Due cohort: 365 on time / 1076 due. Open due cases remain in the denominator. Mean resolution: 10.2 days across 934 closed cases. Illustrative data, not Wren results.</x:v>
      </x:c>
      <x:c r="B10" s="9"/>
      <x:c r="C10" s="9"/>
      <x:c r="D10" s="9"/>
      <x:c r="E10" s="9"/>
      <x:c r="F10" s="9"/>
      <x:c r="G10" s="9"/>
      <x:c r="H10" s="9"/>
      <x:c r="I10" s="1"/>
      <x:c r="J10" s="1"/>
      <x:c r="K10" s="1"/>
      <x:c r="L10" s="1"/>
      <x:c r="M10" s="1"/>
      <x:c r="N10" s="1"/>
      <x:c r="O10" s="1"/>
      <x:c r="P10" s="1"/>
    </x:row>
    <x:row r="11" ht="23" customHeight="1">
      <x:c r="A11" s="9"/>
      <x:c r="B11" s="9"/>
      <x:c r="C11" s="9"/>
      <x:c r="D11" s="9"/>
      <x:c r="E11" s="9"/>
      <x:c r="F11" s="9"/>
      <x:c r="G11" s="9"/>
      <x:c r="H11" s="9"/>
      <x:c r="I11" s="1"/>
      <x:c r="J11" s="1"/>
      <x:c r="K11" s="1"/>
      <x:c r="L11" s="1"/>
      <x:c r="M11" s="1"/>
      <x:c r="N11" s="1"/>
      <x:c r="O11" s="1"/>
      <x:c r="P11" s="1"/>
    </x:row>
    <x:row r="12" ht="23" customHeight="1">
      <x:c r="A12" s="1"/>
      <x:c r="B12" s="1"/>
      <x:c r="C12" s="1"/>
      <x:c r="D12" s="1"/>
      <x:c r="E12" s="1"/>
      <x:c r="F12" s="1"/>
      <x:c r="G12" s="1"/>
      <x:c r="H12" s="1"/>
      <x:c r="I12" s="1"/>
      <x:c r="J12" s="1"/>
      <x:c r="K12" s="1"/>
      <x:c r="L12" s="1"/>
      <x:c r="M12" s="1"/>
      <x:c r="N12" s="1"/>
      <x:c r="O12" s="1"/>
      <x:c r="P12" s="1"/>
    </x:row>
    <x:row r="13" ht="32" customHeight="1">
      <x:c r="A13" s="13" t="str">
        <x:v>Department</x:v>
      </x:c>
      <x:c r="B13" s="13" t="str">
        <x:v>Cases</x:v>
      </x:c>
      <x:c r="C13" s="13" t="str">
        <x:v>Open</x:v>
      </x:c>
      <x:c r="D13" s="13" t="str">
        <x:v>Overdue</x:v>
      </x:c>
      <x:c r="E13" s="1"/>
      <x:c r="F13" s="1"/>
      <x:c r="G13" s="1"/>
      <x:c r="H13" s="1"/>
      <x:c r="I13" s="1"/>
      <x:c r="J13" s="1"/>
      <x:c r="K13" s="1"/>
      <x:c r="L13" s="1"/>
      <x:c r="M13" s="1"/>
      <x:c r="N13" s="1"/>
      <x:c r="O13" s="1"/>
      <x:c r="P13" s="1"/>
    </x:row>
    <x:row r="14" ht="31" customHeight="1">
      <x:c r="A14" s="33" t="str">
        <x:v>Customer Services</x:v>
      </x:c>
      <x:c r="B14" s="1" t="n">
        <x:f>COUNTIFS(Cases!$B$6:$B$1205,A14,Cases!$E$6:$E$1205,"&lt;"&amp;$B$4)</x:f>
        <x:v>500</x:v>
      </x:c>
      <x:c r="C14" s="1" t="n">
        <x:f>SUMIFS(Cases!$I$6:$I$1205,Cases!$B$6:$B$1205,A14)</x:f>
        <x:v>88</x:v>
      </x:c>
      <x:c r="D14" s="1" t="n">
        <x:f>SUMIFS(Cases!$J$6:$J$1205,Cases!$B$6:$B$1205,A14)</x:f>
        <x:v>49</x:v>
      </x:c>
      <x:c r="E14" s="1"/>
      <x:c r="F14" s="1"/>
      <x:c r="G14" s="1"/>
      <x:c r="H14" s="1"/>
      <x:c r="I14" s="1"/>
      <x:c r="J14" s="1"/>
      <x:c r="K14" s="1"/>
      <x:c r="L14" s="1"/>
      <x:c r="M14" s="1"/>
      <x:c r="N14" s="1"/>
      <x:c r="O14" s="1"/>
      <x:c r="P14" s="1"/>
    </x:row>
    <x:row r="15" ht="31" customHeight="1">
      <x:c r="A15" s="33" t="str">
        <x:v>Warehouse</x:v>
      </x:c>
      <x:c r="B15" s="1" t="n">
        <x:f>COUNTIFS(Cases!$B$6:$B$1205,A15,Cases!$E$6:$E$1205,"&lt;"&amp;$B$4)</x:f>
        <x:v>341</x:v>
      </x:c>
      <x:c r="C15" s="1" t="n">
        <x:f>SUMIFS(Cases!$I$6:$I$1205,Cases!$B$6:$B$1205,A15)</x:f>
        <x:v>99</x:v>
      </x:c>
      <x:c r="D15" s="1" t="n">
        <x:f>SUMIFS(Cases!$J$6:$J$1205,Cases!$B$6:$B$1205,A15)</x:f>
        <x:v>56</x:v>
      </x:c>
      <x:c r="E15" s="1"/>
      <x:c r="F15" s="1"/>
      <x:c r="G15" s="1"/>
      <x:c r="H15" s="1"/>
      <x:c r="I15" s="1"/>
      <x:c r="J15" s="1"/>
      <x:c r="K15" s="1"/>
      <x:c r="L15" s="1"/>
      <x:c r="M15" s="1"/>
      <x:c r="N15" s="1"/>
      <x:c r="O15" s="1"/>
      <x:c r="P15" s="1"/>
    </x:row>
    <x:row r="16" ht="31" customHeight="1">
      <x:c r="A16" s="33" t="str">
        <x:v>Installation</x:v>
      </x:c>
      <x:c r="B16" s="1" t="n">
        <x:f>COUNTIFS(Cases!$B$6:$B$1205,A16,Cases!$E$6:$E$1205,"&lt;"&amp;$B$4)</x:f>
        <x:v>359</x:v>
      </x:c>
      <x:c r="C16" s="1" t="n">
        <x:f>SUMIFS(Cases!$I$6:$I$1205,Cases!$B$6:$B$1205,A16)</x:f>
        <x:v>79</x:v>
      </x:c>
      <x:c r="D16" s="1" t="n">
        <x:f>SUMIFS(Cases!$J$6:$J$1205,Cases!$B$6:$B$1205,A16)</x:f>
        <x:v>52</x:v>
      </x:c>
      <x:c r="E16" s="1"/>
      <x:c r="F16" s="1"/>
      <x:c r="G16" s="1"/>
      <x:c r="H16" s="1"/>
      <x:c r="I16" s="1"/>
      <x:c r="J16" s="1"/>
      <x:c r="K16" s="1"/>
      <x:c r="L16" s="1"/>
      <x:c r="M16" s="1"/>
      <x:c r="N16" s="1"/>
      <x:c r="O16" s="1"/>
      <x:c r="P16" s="1"/>
    </x:row>
    <x:row r="17" ht="23" customHeight="1">
      <x:c r="A17" s="6" t="str">
        <x:v>Total</x:v>
      </x:c>
      <x:c r="B17" s="6" t="n">
        <x:f>SUM(B14:B16)</x:f>
        <x:v>1200</x:v>
      </x:c>
      <x:c r="C17" s="6" t="n">
        <x:f>SUM(C14:C16)</x:f>
        <x:v>266</x:v>
      </x:c>
      <x:c r="D17" s="6" t="n">
        <x:f>SUM(D14:D16)</x:f>
        <x:v>157</x:v>
      </x:c>
      <x:c r="E17" s="1"/>
      <x:c r="F17" s="1"/>
      <x:c r="G17" s="1"/>
      <x:c r="H17" s="1"/>
      <x:c r="I17" s="1"/>
      <x:c r="J17" s="1"/>
      <x:c r="K17" s="1"/>
      <x:c r="L17" s="1"/>
      <x:c r="M17" s="1"/>
      <x:c r="N17" s="1"/>
      <x:c r="O17" s="1"/>
      <x:c r="P17" s="1"/>
    </x:row>
    <x:row r="18" ht="23" customHeight="1">
      <x:c r="A18" s="1"/>
      <x:c r="B18" s="1"/>
      <x:c r="C18" s="1"/>
      <x:c r="D18" s="1"/>
      <x:c r="E18" s="1"/>
      <x:c r="F18" s="1"/>
      <x:c r="G18" s="1"/>
      <x:c r="H18" s="1"/>
      <x:c r="I18" s="1"/>
      <x:c r="J18" s="1"/>
      <x:c r="K18" s="1"/>
      <x:c r="L18" s="1"/>
      <x:c r="M18" s="1"/>
      <x:c r="N18" s="1"/>
      <x:c r="O18" s="1"/>
      <x:c r="P18" s="1"/>
    </x:row>
    <x:row r="19" ht="23" customHeight="1">
      <x:c r="A19" s="9" t="str">
        <x:v>Review the oldest overdue cases first; compare workload and resolution by department before changing targets. The fixture intentionally slows some Warehouse cases; this is not a causal finding.</x:v>
      </x:c>
      <x:c r="B19" s="9"/>
      <x:c r="C19" s="9"/>
      <x:c r="D19" s="9"/>
      <x:c r="E19" s="1"/>
      <x:c r="F19" s="1"/>
      <x:c r="G19" s="1"/>
      <x:c r="H19" s="1"/>
      <x:c r="I19" s="1"/>
      <x:c r="J19" s="1"/>
      <x:c r="K19" s="1"/>
      <x:c r="L19" s="1"/>
      <x:c r="M19" s="1"/>
      <x:c r="N19" s="1"/>
      <x:c r="O19" s="1"/>
      <x:c r="P19" s="1"/>
    </x:row>
    <x:row r="20" ht="23" customHeight="1">
      <x:c r="A20" s="9"/>
      <x:c r="B20" s="9"/>
      <x:c r="C20" s="9"/>
      <x:c r="D20" s="9"/>
      <x:c r="E20" s="1"/>
      <x:c r="F20" s="1"/>
      <x:c r="G20" s="1"/>
      <x:c r="H20" s="1"/>
      <x:c r="I20" s="1"/>
      <x:c r="J20" s="1"/>
      <x:c r="K20" s="1"/>
      <x:c r="L20" s="1"/>
      <x:c r="M20" s="1"/>
      <x:c r="N20" s="1"/>
      <x:c r="O20" s="1"/>
      <x:c r="P20" s="1"/>
    </x:row>
    <x:row r="21" ht="23" customHeight="1">
      <x:c r="A21" s="9"/>
      <x:c r="B21" s="9"/>
      <x:c r="C21" s="9"/>
      <x:c r="D21" s="9"/>
      <x:c r="E21" s="1"/>
      <x:c r="F21" s="1"/>
      <x:c r="G21" s="1"/>
      <x:c r="H21" s="1"/>
      <x:c r="I21" s="1"/>
      <x:c r="J21" s="1"/>
      <x:c r="K21" s="1"/>
      <x:c r="L21" s="1"/>
      <x:c r="M21" s="1"/>
      <x:c r="N21" s="1"/>
      <x:c r="O21" s="1"/>
      <x:c r="P21" s="1"/>
    </x:row>
    <x:row r="22" ht="23" customHeight="1">
      <x:c r="A22" s="1"/>
      <x:c r="B22" s="1"/>
      <x:c r="C22" s="1"/>
      <x:c r="D22" s="1"/>
      <x:c r="E22" s="1"/>
      <x:c r="F22" s="1"/>
      <x:c r="G22" s="1"/>
      <x:c r="H22" s="1"/>
      <x:c r="I22" s="1"/>
      <x:c r="J22" s="1"/>
      <x:c r="K22" s="1"/>
      <x:c r="L22" s="1"/>
      <x:c r="M22" s="1"/>
      <x:c r="N22" s="1"/>
      <x:c r="O22" s="1"/>
      <x:c r="P22" s="1"/>
    </x:row>
    <x:row r="23" ht="32" customHeight="1">
      <x:c r="A23" s="13" t="str">
        <x:v>Week starting</x:v>
      </x:c>
      <x:c r="B23" s="13" t="str">
        <x:v>Opened</x:v>
      </x:c>
      <x:c r="C23" s="13" t="str">
        <x:v>Closed</x:v>
      </x:c>
      <x:c r="D23" s="13" t="str">
        <x:v>Closing backlog</x:v>
      </x:c>
      <x:c r="E23" s="1"/>
      <x:c r="F23" s="1"/>
      <x:c r="G23" s="1"/>
      <x:c r="H23" s="1"/>
      <x:c r="I23" s="1"/>
      <x:c r="J23" s="1"/>
      <x:c r="K23" s="1"/>
      <x:c r="L23" s="1"/>
      <x:c r="M23" s="1"/>
      <x:c r="N23" s="1"/>
      <x:c r="O23" s="1"/>
      <x:c r="P23" s="1"/>
    </x:row>
    <x:row r="24" ht="23" customHeight="1">
      <x:c r="A24" s="31" t="n">
        <x:v>46202</x:v>
      </x:c>
      <x:c r="B24" s="1" t="n">
        <x:f>COUNTIFS(Cases!$E$6:$E$1205,"&gt;="&amp;A24,Cases!$E$6:$E$1205,"&lt;"&amp;A24+7)</x:f>
        <x:v>97</x:v>
      </x:c>
      <x:c r="C24" s="1" t="n">
        <x:f>COUNTIFS(Cases!$G$6:$G$1205,"&gt;="&amp;A24,Cases!$G$6:$G$1205,"&lt;"&amp;A24+7)</x:f>
        <x:v>15</x:v>
      </x:c>
      <x:c r="D24" s="1" t="n">
        <x:f>COUNTIF(Cases!$E$6:$E$1205,"&lt;"&amp;A24+7)-COUNTIFS(Cases!$G$6:$G$1205,"&gt;=1",Cases!$G$6:$G$1205,"&lt;"&amp;A24+7)</x:f>
        <x:v>82</x:v>
      </x:c>
      <x:c r="E24" s="1"/>
      <x:c r="F24" s="1"/>
      <x:c r="G24" s="1"/>
      <x:c r="H24" s="1"/>
      <x:c r="I24" s="1"/>
      <x:c r="J24" s="1"/>
      <x:c r="K24" s="1"/>
      <x:c r="L24" s="1"/>
      <x:c r="M24" s="1"/>
      <x:c r="N24" s="1"/>
      <x:c r="O24" s="1"/>
      <x:c r="P24" s="1"/>
    </x:row>
    <x:row r="25" ht="23" customHeight="1">
      <x:c r="A25" s="31" t="n">
        <x:v>46209</x:v>
      </x:c>
      <x:c r="B25" s="1" t="n">
        <x:f>COUNTIFS(Cases!$E$6:$E$1205,"&gt;="&amp;A25,Cases!$E$6:$E$1205,"&lt;"&amp;A25+7)</x:f>
        <x:v>94</x:v>
      </x:c>
      <x:c r="C25" s="1" t="n">
        <x:f>COUNTIFS(Cases!$G$6:$G$1205,"&gt;="&amp;A25,Cases!$G$6:$G$1205,"&lt;"&amp;A25+7)</x:f>
        <x:v>41</x:v>
      </x:c>
      <x:c r="D25" s="1" t="n">
        <x:f>COUNTIF(Cases!$E$6:$E$1205,"&lt;"&amp;A25+7)-COUNTIFS(Cases!$G$6:$G$1205,"&gt;=1",Cases!$G$6:$G$1205,"&lt;"&amp;A25+7)</x:f>
        <x:v>135</x:v>
      </x:c>
      <x:c r="E25" s="1"/>
      <x:c r="F25" s="1"/>
      <x:c r="G25" s="1"/>
      <x:c r="H25" s="1"/>
      <x:c r="I25" s="1"/>
      <x:c r="J25" s="1"/>
      <x:c r="K25" s="1"/>
      <x:c r="L25" s="1"/>
      <x:c r="M25" s="1"/>
      <x:c r="N25" s="1"/>
      <x:c r="O25" s="1"/>
      <x:c r="P25" s="1"/>
    </x:row>
    <x:row r="26" ht="23" customHeight="1">
      <x:c r="A26" s="31" t="n">
        <x:v>46216</x:v>
      </x:c>
      <x:c r="B26" s="1" t="n">
        <x:f>COUNTIFS(Cases!$E$6:$E$1205,"&gt;="&amp;A26,Cases!$E$6:$E$1205,"&lt;"&amp;A26+7)</x:f>
        <x:v>106</x:v>
      </x:c>
      <x:c r="C26" s="1" t="n">
        <x:f>COUNTIFS(Cases!$G$6:$G$1205,"&gt;="&amp;A26,Cases!$G$6:$G$1205,"&lt;"&amp;A26+7)</x:f>
        <x:v>94</x:v>
      </x:c>
      <x:c r="D26" s="1" t="n">
        <x:f>COUNTIF(Cases!$E$6:$E$1205,"&lt;"&amp;A26+7)-COUNTIFS(Cases!$G$6:$G$1205,"&gt;=1",Cases!$G$6:$G$1205,"&lt;"&amp;A26+7)</x:f>
        <x:v>147</x:v>
      </x:c>
      <x:c r="E26" s="1"/>
      <x:c r="F26" s="1"/>
      <x:c r="G26" s="1"/>
      <x:c r="H26" s="1"/>
      <x:c r="I26" s="1"/>
      <x:c r="J26" s="1"/>
      <x:c r="K26" s="1"/>
      <x:c r="L26" s="1"/>
      <x:c r="M26" s="1"/>
      <x:c r="N26" s="1"/>
      <x:c r="O26" s="1"/>
      <x:c r="P26" s="1"/>
    </x:row>
    <x:row r="27" ht="23" customHeight="1">
      <x:c r="A27" s="31" t="n">
        <x:v>46223</x:v>
      </x:c>
      <x:c r="B27" s="1" t="n">
        <x:f>COUNTIFS(Cases!$E$6:$E$1205,"&gt;="&amp;A27,Cases!$E$6:$E$1205,"&lt;"&amp;A27+7)</x:f>
        <x:v>112</x:v>
      </x:c>
      <x:c r="C27" s="1" t="n">
        <x:f>COUNTIFS(Cases!$G$6:$G$1205,"&gt;="&amp;A27,Cases!$G$6:$G$1205,"&lt;"&amp;A27+7)</x:f>
        <x:v>103</x:v>
      </x:c>
      <x:c r="D27" s="1" t="n">
        <x:f>COUNTIF(Cases!$E$6:$E$1205,"&lt;"&amp;A27+7)-COUNTIFS(Cases!$G$6:$G$1205,"&gt;=1",Cases!$G$6:$G$1205,"&lt;"&amp;A27+7)</x:f>
        <x:v>156</x:v>
      </x:c>
      <x:c r="E27" s="1"/>
      <x:c r="F27" s="1"/>
      <x:c r="G27" s="1"/>
      <x:c r="H27" s="1"/>
      <x:c r="I27" s="1"/>
      <x:c r="J27" s="1"/>
      <x:c r="K27" s="1"/>
      <x:c r="L27" s="1"/>
      <x:c r="M27" s="1"/>
      <x:c r="N27" s="1"/>
      <x:c r="O27" s="1"/>
      <x:c r="P27" s="1"/>
    </x:row>
    <x:row r="28" ht="23" customHeight="1">
      <x:c r="A28" s="31" t="n">
        <x:v>46230</x:v>
      </x:c>
      <x:c r="B28" s="1" t="n">
        <x:f>COUNTIFS(Cases!$E$6:$E$1205,"&gt;="&amp;A28,Cases!$E$6:$E$1205,"&lt;"&amp;A28+7)</x:f>
        <x:v>111</x:v>
      </x:c>
      <x:c r="C28" s="1" t="n">
        <x:f>COUNTIFS(Cases!$G$6:$G$1205,"&gt;="&amp;A28,Cases!$G$6:$G$1205,"&lt;"&amp;A28+7)</x:f>
        <x:v>87</x:v>
      </x:c>
      <x:c r="D28" s="1" t="n">
        <x:f>COUNTIF(Cases!$E$6:$E$1205,"&lt;"&amp;A28+7)-COUNTIFS(Cases!$G$6:$G$1205,"&gt;=1",Cases!$G$6:$G$1205,"&lt;"&amp;A28+7)</x:f>
        <x:v>180</x:v>
      </x:c>
      <x:c r="E28" s="1"/>
      <x:c r="F28" s="1"/>
      <x:c r="G28" s="1"/>
      <x:c r="H28" s="1"/>
      <x:c r="I28" s="1"/>
      <x:c r="J28" s="1"/>
      <x:c r="K28" s="1"/>
      <x:c r="L28" s="1"/>
      <x:c r="M28" s="1"/>
      <x:c r="N28" s="1"/>
      <x:c r="O28" s="1"/>
      <x:c r="P28" s="1"/>
    </x:row>
    <x:row r="29" ht="23" customHeight="1">
      <x:c r="A29" s="31" t="n">
        <x:v>46237</x:v>
      </x:c>
      <x:c r="B29" s="1" t="n">
        <x:f>COUNTIFS(Cases!$E$6:$E$1205,"&gt;="&amp;A29,Cases!$E$6:$E$1205,"&lt;"&amp;A29+7)</x:f>
        <x:v>100</x:v>
      </x:c>
      <x:c r="C29" s="1" t="n">
        <x:f>COUNTIFS(Cases!$G$6:$G$1205,"&gt;="&amp;A29,Cases!$G$6:$G$1205,"&lt;"&amp;A29+7)</x:f>
        <x:v>109</x:v>
      </x:c>
      <x:c r="D29" s="1" t="n">
        <x:f>COUNTIF(Cases!$E$6:$E$1205,"&lt;"&amp;A29+7)-COUNTIFS(Cases!$G$6:$G$1205,"&gt;=1",Cases!$G$6:$G$1205,"&lt;"&amp;A29+7)</x:f>
        <x:v>171</x:v>
      </x:c>
      <x:c r="E29" s="1"/>
      <x:c r="F29" s="1"/>
      <x:c r="G29" s="1"/>
      <x:c r="H29" s="1"/>
      <x:c r="I29" s="1"/>
      <x:c r="J29" s="1"/>
      <x:c r="K29" s="1"/>
      <x:c r="L29" s="1"/>
      <x:c r="M29" s="1"/>
      <x:c r="N29" s="1"/>
      <x:c r="O29" s="1"/>
      <x:c r="P29" s="1"/>
    </x:row>
    <x:row r="30" ht="23" customHeight="1">
      <x:c r="A30" s="31" t="n">
        <x:v>46244</x:v>
      </x:c>
      <x:c r="B30" s="1" t="n">
        <x:f>COUNTIFS(Cases!$E$6:$E$1205,"&gt;="&amp;A30,Cases!$E$6:$E$1205,"&lt;"&amp;A30+7)</x:f>
        <x:v>94</x:v>
      </x:c>
      <x:c r="C30" s="1" t="n">
        <x:f>COUNTIFS(Cases!$G$6:$G$1205,"&gt;="&amp;A30,Cases!$G$6:$G$1205,"&lt;"&amp;A30+7)</x:f>
        <x:v>95</x:v>
      </x:c>
      <x:c r="D30" s="1" t="n">
        <x:f>COUNTIF(Cases!$E$6:$E$1205,"&lt;"&amp;A30+7)-COUNTIFS(Cases!$G$6:$G$1205,"&gt;=1",Cases!$G$6:$G$1205,"&lt;"&amp;A30+7)</x:f>
        <x:v>170</x:v>
      </x:c>
      <x:c r="E30" s="1"/>
      <x:c r="F30" s="1"/>
      <x:c r="G30" s="1"/>
      <x:c r="H30" s="1"/>
      <x:c r="I30" s="1"/>
      <x:c r="J30" s="1"/>
      <x:c r="K30" s="1"/>
      <x:c r="L30" s="1"/>
      <x:c r="M30" s="1"/>
      <x:c r="N30" s="1"/>
      <x:c r="O30" s="1"/>
      <x:c r="P30" s="1"/>
    </x:row>
    <x:row r="31" ht="23" customHeight="1">
      <x:c r="A31" s="31" t="n">
        <x:v>46251</x:v>
      </x:c>
      <x:c r="B31" s="1" t="n">
        <x:f>COUNTIFS(Cases!$E$6:$E$1205,"&gt;="&amp;A31,Cases!$E$6:$E$1205,"&lt;"&amp;A31+7)</x:f>
        <x:v>105</x:v>
      </x:c>
      <x:c r="C31" s="1" t="n">
        <x:f>COUNTIFS(Cases!$G$6:$G$1205,"&gt;="&amp;A31,Cases!$G$6:$G$1205,"&lt;"&amp;A31+7)</x:f>
        <x:v>67</x:v>
      </x:c>
      <x:c r="D31" s="1" t="n">
        <x:f>COUNTIF(Cases!$E$6:$E$1205,"&lt;"&amp;A31+7)-COUNTIFS(Cases!$G$6:$G$1205,"&gt;=1",Cases!$G$6:$G$1205,"&lt;"&amp;A31+7)</x:f>
        <x:v>208</x:v>
      </x:c>
      <x:c r="E31" s="9" t="str">
        <x:v>Backlog is a point-in-time stock. Do not sum weekly or monthly backlog balances.</x:v>
      </x:c>
      <x:c r="F31" s="9"/>
      <x:c r="G31" s="9"/>
      <x:c r="H31" s="9"/>
      <x:c r="I31" s="1"/>
      <x:c r="J31" s="1"/>
      <x:c r="K31" s="1"/>
      <x:c r="L31" s="1"/>
      <x:c r="M31" s="1"/>
      <x:c r="N31" s="1"/>
      <x:c r="O31" s="1"/>
      <x:c r="P31" s="1"/>
    </x:row>
    <x:row r="32" ht="23" customHeight="1">
      <x:c r="A32" s="31" t="n">
        <x:v>46258</x:v>
      </x:c>
      <x:c r="B32" s="1" t="n">
        <x:f>COUNTIFS(Cases!$E$6:$E$1205,"&gt;="&amp;A32,Cases!$E$6:$E$1205,"&lt;"&amp;A32+7)</x:f>
        <x:v>91</x:v>
      </x:c>
      <x:c r="C32" s="1" t="n">
        <x:f>COUNTIFS(Cases!$G$6:$G$1205,"&gt;="&amp;A32,Cases!$G$6:$G$1205,"&lt;"&amp;A32+7)</x:f>
        <x:v>73</x:v>
      </x:c>
      <x:c r="D32" s="1" t="n">
        <x:f>COUNTIF(Cases!$E$6:$E$1205,"&lt;"&amp;A32+7)-COUNTIFS(Cases!$G$6:$G$1205,"&gt;=1",Cases!$G$6:$G$1205,"&lt;"&amp;A32+7)</x:f>
        <x:v>226</x:v>
      </x:c>
      <x:c r="E32" s="9"/>
      <x:c r="F32" s="9"/>
      <x:c r="G32" s="9"/>
      <x:c r="H32" s="9"/>
      <x:c r="I32" s="1"/>
      <x:c r="J32" s="1"/>
      <x:c r="K32" s="1"/>
      <x:c r="L32" s="1"/>
      <x:c r="M32" s="1"/>
      <x:c r="N32" s="1"/>
      <x:c r="O32" s="1"/>
      <x:c r="P32" s="1"/>
    </x:row>
    <x:row r="33" ht="23" customHeight="1">
      <x:c r="A33" s="31" t="n">
        <x:v>46265</x:v>
      </x:c>
      <x:c r="B33" s="1" t="n">
        <x:f>COUNTIFS(Cases!$E$6:$E$1205,"&gt;="&amp;A33,Cases!$E$6:$E$1205,"&lt;"&amp;A33+7)</x:f>
        <x:v>94</x:v>
      </x:c>
      <x:c r="C33" s="1" t="n">
        <x:f>COUNTIFS(Cases!$G$6:$G$1205,"&gt;="&amp;A33,Cases!$G$6:$G$1205,"&lt;"&amp;A33+7)</x:f>
        <x:v>82</x:v>
      </x:c>
      <x:c r="D33" s="1" t="n">
        <x:f>COUNTIF(Cases!$E$6:$E$1205,"&lt;"&amp;A33+7)-COUNTIFS(Cases!$G$6:$G$1205,"&gt;=1",Cases!$G$6:$G$1205,"&lt;"&amp;A33+7)</x:f>
        <x:v>238</x:v>
      </x:c>
      <x:c r="E33" s="9"/>
      <x:c r="F33" s="9"/>
      <x:c r="G33" s="9"/>
      <x:c r="H33" s="9"/>
      <x:c r="I33" s="1"/>
      <x:c r="J33" s="1"/>
      <x:c r="K33" s="1"/>
      <x:c r="L33" s="1"/>
      <x:c r="M33" s="1"/>
      <x:c r="N33" s="1"/>
      <x:c r="O33" s="1"/>
      <x:c r="P33" s="1"/>
    </x:row>
    <x:row r="34" ht="23" customHeight="1">
      <x:c r="A34" s="31" t="n">
        <x:v>46272</x:v>
      </x:c>
      <x:c r="B34" s="1" t="n">
        <x:f>COUNTIFS(Cases!$E$6:$E$1205,"&gt;="&amp;A34,Cases!$E$6:$E$1205,"&lt;"&amp;A34+7)</x:f>
        <x:v>97</x:v>
      </x:c>
      <x:c r="C34" s="1" t="n">
        <x:f>COUNTIFS(Cases!$G$6:$G$1205,"&gt;="&amp;A34,Cases!$G$6:$G$1205,"&lt;"&amp;A34+7)</x:f>
        <x:v>88</x:v>
      </x:c>
      <x:c r="D34" s="1" t="n">
        <x:f>COUNTIF(Cases!$E$6:$E$1205,"&lt;"&amp;A34+7)-COUNTIFS(Cases!$G$6:$G$1205,"&gt;=1",Cases!$G$6:$G$1205,"&lt;"&amp;A34+7)</x:f>
        <x:v>247</x:v>
      </x:c>
      <x:c r="E34" s="1"/>
      <x:c r="F34" s="1"/>
      <x:c r="G34" s="1"/>
      <x:c r="H34" s="1"/>
      <x:c r="I34" s="1"/>
      <x:c r="J34" s="1"/>
      <x:c r="K34" s="1"/>
      <x:c r="L34" s="1"/>
      <x:c r="M34" s="1"/>
      <x:c r="N34" s="1"/>
      <x:c r="O34" s="1"/>
      <x:c r="P34" s="1"/>
    </x:row>
    <x:row r="35" ht="23" customHeight="1">
      <x:c r="A35" s="31" t="n">
        <x:v>46279</x:v>
      </x:c>
      <x:c r="B35" s="1" t="n">
        <x:f>COUNTIFS(Cases!$E$6:$E$1205,"&gt;="&amp;A35,Cases!$E$6:$E$1205,"&lt;"&amp;A35+7)</x:f>
        <x:v>99</x:v>
      </x:c>
      <x:c r="C35" s="1" t="n">
        <x:f>COUNTIFS(Cases!$G$6:$G$1205,"&gt;="&amp;A35,Cases!$G$6:$G$1205,"&lt;"&amp;A35+7)</x:f>
        <x:v>80</x:v>
      </x:c>
      <x:c r="D35" s="1" t="n">
        <x:f>COUNTIF(Cases!$E$6:$E$1205,"&lt;"&amp;A35+7)-COUNTIFS(Cases!$G$6:$G$1205,"&gt;=1",Cases!$G$6:$G$1205,"&lt;"&amp;A35+7)</x:f>
        <x:v>266</x:v>
      </x:c>
      <x:c r="E35" s="1"/>
      <x:c r="F35" s="1"/>
      <x:c r="G35" s="1"/>
      <x:c r="H35" s="1"/>
      <x:c r="I35" s="1"/>
      <x:c r="J35" s="1"/>
      <x:c r="K35" s="1"/>
      <x:c r="L35" s="1"/>
      <x:c r="M35" s="1"/>
      <x:c r="N35" s="1"/>
      <x:c r="O35" s="1"/>
      <x:c r="P35" s="1"/>
    </x:row>
    <x:row r="36" ht="23" customHeight="1">
      <x:c r="A36" s="1"/>
      <x:c r="B36" s="1"/>
      <x:c r="C36" s="1"/>
      <x:c r="D36" s="1"/>
      <x:c r="E36" s="1"/>
      <x:c r="F36" s="1"/>
      <x:c r="G36" s="1"/>
      <x:c r="H36" s="1"/>
      <x:c r="I36" s="1"/>
      <x:c r="J36" s="1"/>
      <x:c r="K36" s="1"/>
      <x:c r="L36" s="1"/>
      <x:c r="M36" s="1"/>
      <x:c r="N36" s="1"/>
      <x:c r="O36" s="1"/>
      <x:c r="P36" s="1"/>
    </x:row>
    <x:row r="37" ht="23" customHeight="1">
      <x:c r="A37" s="1"/>
      <x:c r="B37" s="1"/>
      <x:c r="C37" s="1"/>
      <x:c r="D37" s="1"/>
      <x:c r="E37" s="1"/>
      <x:c r="F37" s="1"/>
      <x:c r="G37" s="1"/>
      <x:c r="H37" s="1"/>
      <x:c r="I37" s="1"/>
      <x:c r="J37" s="1"/>
      <x:c r="K37" s="1"/>
      <x:c r="L37" s="1"/>
      <x:c r="M37" s="1"/>
      <x:c r="N37" s="1"/>
      <x:c r="O37" s="1"/>
      <x:c r="P37" s="1"/>
    </x:row>
    <x:row r="38" ht="32" customHeight="1">
      <x:c r="A38" s="13" t="str">
        <x:v>Month / coverage</x:v>
      </x:c>
      <x:c r="B38" s="13" t="str">
        <x:v>Opened</x:v>
      </x:c>
      <x:c r="C38" s="13" t="str">
        <x:v>Closed</x:v>
      </x:c>
      <x:c r="D38" s="13" t="str">
        <x:v>Closing backlog</x:v>
      </x:c>
      <x:c r="E38" s="13" t="str">
        <x:v>Partial month?</x:v>
      </x:c>
      <x:c r="F38" s="1"/>
      <x:c r="G38" s="1"/>
      <x:c r="H38" s="1"/>
      <x:c r="I38" s="1"/>
      <x:c r="J38" s="1"/>
      <x:c r="K38" s="1"/>
      <x:c r="L38" s="1"/>
      <x:c r="M38" s="1"/>
      <x:c r="N38" s="1"/>
      <x:c r="O38" s="1"/>
      <x:c r="P38" s="1"/>
    </x:row>
    <x:row r="39" ht="23" customHeight="1">
      <x:c r="A39" s="1" t="str">
        <x:v>Jun 29-30</x:v>
      </x:c>
      <x:c r="B39" s="1" t="n">
        <x:v>29</x:v>
      </x:c>
      <x:c r="C39" s="1" t="n">
        <x:v>1</x:v>
      </x:c>
      <x:c r="D39" s="1" t="n">
        <x:v>28</x:v>
      </x:c>
      <x:c r="E39" s="32" t="str">
        <x:v>Yes</x:v>
      </x:c>
      <x:c r="F39" s="1"/>
      <x:c r="G39" s="1"/>
      <x:c r="H39" s="1"/>
      <x:c r="I39" s="1"/>
      <x:c r="J39" s="1"/>
      <x:c r="K39" s="1"/>
      <x:c r="L39" s="1"/>
      <x:c r="M39" s="1"/>
      <x:c r="N39" s="1"/>
      <x:c r="O39" s="1"/>
      <x:c r="P39" s="1"/>
    </x:row>
    <x:row r="40" ht="23" customHeight="1">
      <x:c r="A40" s="1" t="str">
        <x:v>Jul 01-31</x:v>
      </x:c>
      <x:c r="B40" s="1" t="n">
        <x:v>456</x:v>
      </x:c>
      <x:c r="C40" s="1" t="n">
        <x:v>313</x:v>
      </x:c>
      <x:c r="D40" s="1" t="n">
        <x:v>171</x:v>
      </x:c>
      <x:c r="E40" s="32" t="str">
        <x:v>No</x:v>
      </x:c>
      <x:c r="F40" s="1"/>
      <x:c r="G40" s="1"/>
      <x:c r="H40" s="1"/>
      <x:c r="I40" s="1"/>
      <x:c r="J40" s="1"/>
      <x:c r="K40" s="1"/>
      <x:c r="L40" s="1"/>
      <x:c r="M40" s="1"/>
      <x:c r="N40" s="1"/>
      <x:c r="O40" s="1"/>
      <x:c r="P40" s="1"/>
    </x:row>
    <x:row r="41" ht="23" customHeight="1">
      <x:c r="A41" s="1" t="str">
        <x:v>Aug 01-31</x:v>
      </x:c>
      <x:c r="B41" s="1" t="n">
        <x:v>442</x:v>
      </x:c>
      <x:c r="C41" s="1" t="n">
        <x:v>383</x:v>
      </x:c>
      <x:c r="D41" s="1" t="n">
        <x:v>230</x:v>
      </x:c>
      <x:c r="E41" s="32" t="str">
        <x:v>No</x:v>
      </x:c>
      <x:c r="F41" s="1"/>
      <x:c r="G41" s="1"/>
      <x:c r="H41" s="1"/>
      <x:c r="I41" s="1"/>
      <x:c r="J41" s="1"/>
      <x:c r="K41" s="1"/>
      <x:c r="L41" s="1"/>
      <x:c r="M41" s="1"/>
      <x:c r="N41" s="1"/>
      <x:c r="O41" s="1"/>
      <x:c r="P41" s="1"/>
    </x:row>
    <x:row r="42" ht="23" customHeight="1">
      <x:c r="A42" s="1" t="str">
        <x:v>Sep 01-20</x:v>
      </x:c>
      <x:c r="B42" s="1" t="n">
        <x:v>273</x:v>
      </x:c>
      <x:c r="C42" s="1" t="n">
        <x:v>237</x:v>
      </x:c>
      <x:c r="D42" s="1" t="n">
        <x:v>266</x:v>
      </x:c>
      <x:c r="E42" s="32" t="str">
        <x:v>Yes</x:v>
      </x:c>
      <x:c r="F42" s="1"/>
      <x:c r="G42" s="1"/>
      <x:c r="H42" s="1"/>
      <x:c r="I42" s="1"/>
      <x:c r="J42" s="1"/>
      <x:c r="K42" s="1"/>
      <x:c r="L42" s="1"/>
      <x:c r="M42" s="1"/>
      <x:c r="N42" s="1"/>
      <x:c r="O42" s="1"/>
      <x:c r="P42" s="1"/>
    </x:row>
    <x:row r="43" ht="23" customHeight="1">
      <x:c r="A43" s="1"/>
      <x:c r="B43" s="1"/>
      <x:c r="C43" s="1"/>
      <x:c r="D43" s="1"/>
      <x:c r="E43" s="1"/>
      <x:c r="F43" s="1"/>
      <x:c r="G43" s="1"/>
      <x:c r="H43" s="1"/>
      <x:c r="I43" s="1"/>
      <x:c r="J43" s="1"/>
      <x:c r="K43" s="1"/>
      <x:c r="L43" s="1"/>
      <x:c r="M43" s="1"/>
      <x:c r="N43" s="1"/>
      <x:c r="O43" s="1"/>
      <x:c r="P43" s="1"/>
    </x:row>
    <x:row r="44" ht="23" customHeight="1">
      <x:c r="A44" s="9" t="str">
        <x:v>Monthly figures are validated MySQL outputs. June and September are partial months and should not be compared directly with full months. Weekly rows are complete seven-day periods.</x:v>
      </x:c>
      <x:c r="B44" s="9"/>
      <x:c r="C44" s="9"/>
      <x:c r="D44" s="9"/>
      <x:c r="E44" s="9"/>
      <x:c r="F44" s="1"/>
      <x:c r="G44" s="1"/>
      <x:c r="H44" s="1"/>
      <x:c r="I44" s="1"/>
      <x:c r="J44" s="1"/>
      <x:c r="K44" s="1"/>
      <x:c r="L44" s="1"/>
      <x:c r="M44" s="1"/>
      <x:c r="N44" s="1"/>
      <x:c r="O44" s="1"/>
      <x:c r="P44" s="1"/>
    </x:row>
    <x:row r="45" ht="23" customHeight="1">
      <x:c r="A45" s="9"/>
      <x:c r="B45" s="9"/>
      <x:c r="C45" s="9"/>
      <x:c r="D45" s="9"/>
      <x:c r="E45" s="9"/>
      <x:c r="F45" s="1"/>
      <x:c r="G45" s="1"/>
      <x:c r="H45" s="1"/>
      <x:c r="I45" s="1"/>
      <x:c r="J45" s="1"/>
      <x:c r="K45" s="1"/>
      <x:c r="L45" s="1"/>
      <x:c r="M45" s="1"/>
      <x:c r="N45" s="1"/>
      <x:c r="O45" s="1"/>
      <x:c r="P45" s="1"/>
    </x:row>
    <x:row r="46" ht="23" customHeight="1">
      <x:c r="A46" s="9"/>
      <x:c r="B46" s="9"/>
      <x:c r="C46" s="9"/>
      <x:c r="D46" s="9"/>
      <x:c r="E46" s="9"/>
      <x:c r="F46" s="1"/>
      <x:c r="G46" s="1"/>
      <x:c r="H46" s="1"/>
      <x:c r="I46" s="1"/>
      <x:c r="J46" s="1"/>
      <x:c r="K46" s="1"/>
      <x:c r="L46" s="1"/>
      <x:c r="M46" s="1"/>
      <x:c r="N46" s="1"/>
      <x:c r="O46" s="1"/>
      <x:c r="P46" s="1"/>
    </x:row>
    <x:row r="47" ht="23" customHeight="1">
      <x:c r="A47" s="1"/>
      <x:c r="B47" s="1"/>
      <x:c r="C47" s="1"/>
      <x:c r="D47" s="1"/>
      <x:c r="E47" s="1"/>
      <x:c r="F47" s="1"/>
      <x:c r="G47" s="1"/>
      <x:c r="H47" s="1"/>
      <x:c r="I47" s="1"/>
      <x:c r="J47" s="1"/>
      <x:c r="K47" s="1"/>
      <x:c r="L47" s="1"/>
      <x:c r="M47" s="1"/>
      <x:c r="N47" s="1"/>
      <x:c r="O47" s="1"/>
      <x:c r="P47" s="1"/>
    </x:row>
    <x:row r="48" ht="23" customHeight="1">
      <x:c r="A48" s="19" t="str">
        <x:v>Refresh: rerun the Python validation/query pipeline, then rebuild this workbook. Tables support filtering; native Pivot is on its own tab. This file is not connected to live systems and has no deployed scheduler or email delivery.</x:v>
      </x:c>
      <x:c r="B48" s="19"/>
      <x:c r="C48" s="19"/>
      <x:c r="D48" s="19"/>
      <x:c r="E48" s="19"/>
      <x:c r="F48" s="19"/>
      <x:c r="G48" s="19"/>
      <x:c r="H48" s="19"/>
      <x:c r="I48" s="1"/>
      <x:c r="J48" s="1"/>
      <x:c r="K48" s="1"/>
      <x:c r="L48" s="1"/>
      <x:c r="M48" s="1"/>
      <x:c r="N48" s="1"/>
      <x:c r="O48" s="1"/>
      <x:c r="P48" s="1"/>
    </x:row>
    <x:row r="49" ht="23" customHeight="1">
      <x:c r="A49" s="19"/>
      <x:c r="B49" s="19"/>
      <x:c r="C49" s="19"/>
      <x:c r="D49" s="19"/>
      <x:c r="E49" s="19"/>
      <x:c r="F49" s="19"/>
      <x:c r="G49" s="19"/>
      <x:c r="H49" s="19"/>
      <x:c r="I49" s="1"/>
      <x:c r="J49" s="1"/>
      <x:c r="K49" s="1"/>
      <x:c r="L49" s="1"/>
      <x:c r="M49" s="1"/>
      <x:c r="N49" s="1"/>
      <x:c r="O49" s="1"/>
      <x:c r="P49" s="1"/>
    </x:row>
    <x:row r="50" ht="23" customHeight="1">
      <x:c r="A50" s="19"/>
      <x:c r="B50" s="19"/>
      <x:c r="C50" s="19"/>
      <x:c r="D50" s="19"/>
      <x:c r="E50" s="19"/>
      <x:c r="F50" s="19"/>
      <x:c r="G50" s="19"/>
      <x:c r="H50" s="19"/>
      <x:c r="I50" s="1"/>
      <x:c r="J50" s="1"/>
      <x:c r="K50" s="1"/>
      <x:c r="L50" s="1"/>
      <x:c r="M50" s="1"/>
      <x:c r="N50" s="1"/>
      <x:c r="O50" s="1"/>
      <x:c r="P50" s="1"/>
    </x:row>
    <x:row r="51" ht="23" customHeight="1">
      <x:c r="A51" s="1"/>
      <x:c r="B51" s="1"/>
      <x:c r="C51" s="1"/>
      <x:c r="D51" s="1"/>
      <x:c r="E51" s="1"/>
      <x:c r="F51" s="1"/>
      <x:c r="G51" s="1"/>
      <x:c r="H51" s="1"/>
      <x:c r="I51" s="1"/>
      <x:c r="J51" s="1"/>
      <x:c r="K51" s="1"/>
      <x:c r="L51" s="1"/>
      <x:c r="M51" s="1"/>
      <x:c r="N51" s="1"/>
      <x:c r="O51" s="1"/>
      <x:c r="P51" s="1"/>
    </x:row>
    <x:row r="52" ht="23" customHeight="1">
      <x:c r="A52" s="1"/>
      <x:c r="B52" s="1"/>
      <x:c r="C52" s="1"/>
      <x:c r="D52" s="1"/>
      <x:c r="E52" s="1"/>
      <x:c r="F52" s="1"/>
      <x:c r="G52" s="1"/>
      <x:c r="H52" s="1"/>
      <x:c r="I52" s="1"/>
      <x:c r="J52" s="1"/>
      <x:c r="K52" s="1"/>
      <x:c r="L52" s="1"/>
      <x:c r="M52" s="1"/>
      <x:c r="N52" s="1"/>
      <x:c r="O52" s="1"/>
      <x:c r="P52" s="1"/>
    </x:row>
    <x:row r="53" ht="23" customHeight="1">
      <x:c r="A53" s="1"/>
      <x:c r="B53" s="1"/>
      <x:c r="C53" s="1"/>
      <x:c r="D53" s="1"/>
      <x:c r="E53" s="1"/>
      <x:c r="F53" s="1"/>
      <x:c r="G53" s="1"/>
      <x:c r="H53" s="1"/>
      <x:c r="I53" s="1"/>
      <x:c r="J53" s="1"/>
      <x:c r="K53" s="1"/>
      <x:c r="L53" s="1"/>
      <x:c r="M53" s="1"/>
      <x:c r="N53" s="1"/>
      <x:c r="O53" s="1"/>
      <x:c r="P53" s="1"/>
    </x:row>
    <x:row r="54" ht="23" customHeight="1">
      <x:c r="A54" s="1"/>
      <x:c r="B54" s="1"/>
      <x:c r="C54" s="1"/>
      <x:c r="D54" s="1"/>
      <x:c r="E54" s="1"/>
      <x:c r="F54" s="1"/>
      <x:c r="G54" s="1"/>
      <x:c r="H54" s="1"/>
      <x:c r="I54" s="1"/>
      <x:c r="J54" s="1"/>
      <x:c r="K54" s="1"/>
      <x:c r="L54" s="1"/>
      <x:c r="M54" s="1"/>
      <x:c r="N54" s="1"/>
      <x:c r="O54" s="1"/>
      <x:c r="P54" s="1"/>
    </x:row>
    <x:row r="55" ht="23" customHeight="1">
      <x:c r="A55" s="1"/>
      <x:c r="B55" s="1"/>
      <x:c r="C55" s="1"/>
      <x:c r="D55" s="1"/>
      <x:c r="E55" s="1"/>
      <x:c r="F55" s="1"/>
      <x:c r="G55" s="1"/>
      <x:c r="H55" s="1"/>
      <x:c r="I55" s="1"/>
      <x:c r="J55" s="1"/>
      <x:c r="K55" s="1"/>
      <x:c r="L55" s="1"/>
      <x:c r="M55" s="1"/>
      <x:c r="N55" s="1"/>
      <x:c r="O55" s="1"/>
      <x:c r="P55" s="1"/>
    </x:row>
    <x:row r="56" ht="23" customHeight="1">
      <x:c r="A56" s="1"/>
      <x:c r="B56" s="1"/>
      <x:c r="C56" s="1"/>
      <x:c r="D56" s="1"/>
      <x:c r="E56" s="1"/>
      <x:c r="F56" s="1"/>
      <x:c r="G56" s="1"/>
      <x:c r="H56" s="1"/>
      <x:c r="I56" s="1"/>
      <x:c r="J56" s="1"/>
      <x:c r="K56" s="1"/>
      <x:c r="L56" s="1"/>
      <x:c r="M56" s="1"/>
      <x:c r="N56" s="1"/>
      <x:c r="O56" s="1"/>
      <x:c r="P56" s="1"/>
    </x:row>
    <x:row r="57" ht="23" customHeight="1">
      <x:c r="A57" s="1"/>
      <x:c r="B57" s="1"/>
      <x:c r="C57" s="1"/>
      <x:c r="D57" s="1"/>
      <x:c r="E57" s="1"/>
      <x:c r="F57" s="1"/>
      <x:c r="G57" s="1"/>
      <x:c r="H57" s="1"/>
      <x:c r="I57" s="1"/>
      <x:c r="J57" s="1"/>
      <x:c r="K57" s="1"/>
      <x:c r="L57" s="1"/>
      <x:c r="M57" s="1"/>
      <x:c r="N57" s="1"/>
      <x:c r="O57" s="1"/>
      <x:c r="P57" s="1"/>
    </x:row>
    <x:row r="58" ht="23" customHeight="1">
      <x:c r="A58" s="1"/>
      <x:c r="B58" s="1"/>
      <x:c r="C58" s="1"/>
      <x:c r="D58" s="1"/>
      <x:c r="E58" s="1"/>
      <x:c r="F58" s="1"/>
      <x:c r="G58" s="1"/>
      <x:c r="H58" s="1"/>
      <x:c r="I58" s="1"/>
      <x:c r="J58" s="1"/>
      <x:c r="K58" s="1"/>
      <x:c r="L58" s="1"/>
      <x:c r="M58" s="1"/>
      <x:c r="N58" s="1"/>
      <x:c r="O58" s="1"/>
      <x:c r="P58" s="1"/>
    </x:row>
    <x:row r="59" ht="23" customHeight="1">
      <x:c r="A59" s="1"/>
      <x:c r="B59" s="1"/>
      <x:c r="C59" s="1"/>
      <x:c r="D59" s="1"/>
      <x:c r="E59" s="1"/>
      <x:c r="F59" s="1"/>
      <x:c r="G59" s="1"/>
      <x:c r="H59" s="1"/>
      <x:c r="I59" s="1"/>
      <x:c r="J59" s="1"/>
      <x:c r="K59" s="1"/>
      <x:c r="L59" s="1"/>
      <x:c r="M59" s="1"/>
      <x:c r="N59" s="1"/>
      <x:c r="O59" s="1"/>
      <x:c r="P59" s="1"/>
    </x:row>
    <x:row r="60" ht="23" customHeight="1">
      <x:c r="A60" s="1"/>
      <x:c r="B60" s="1"/>
      <x:c r="C60" s="1"/>
      <x:c r="D60" s="1"/>
      <x:c r="E60" s="1"/>
      <x:c r="F60" s="1"/>
      <x:c r="G60" s="1"/>
      <x:c r="H60" s="1"/>
      <x:c r="I60" s="1"/>
      <x:c r="J60" s="1"/>
      <x:c r="K60" s="1"/>
      <x:c r="L60" s="1"/>
      <x:c r="M60" s="1"/>
      <x:c r="N60" s="1"/>
      <x:c r="O60" s="1"/>
      <x:c r="P60" s="1"/>
    </x:row>
  </x:sheetData>
  <x:mergeCells>
    <x:mergeCell ref="A1:H2"/>
    <x:mergeCell ref="A3:H3"/>
    <x:mergeCell ref="C4:H4"/>
    <x:mergeCell ref="A6:B6"/>
    <x:mergeCell ref="A7:B8"/>
    <x:mergeCell ref="C6:D6"/>
    <x:mergeCell ref="C7:D8"/>
    <x:mergeCell ref="E6:F6"/>
    <x:mergeCell ref="E7:F8"/>
    <x:mergeCell ref="G6:H6"/>
    <x:mergeCell ref="G7:H8"/>
    <x:mergeCell ref="A10:H11"/>
    <x:mergeCell ref="A19:D21"/>
    <x:mergeCell ref="E31:H33"/>
    <x:mergeCell ref="A44:E46"/>
    <x:mergeCell ref="A48:H50"/>
  </x:mergeCells>
  <x:pageMargins left="0.7" right="0.7" top="0.75" bottom="0.75" header="0.3" footer="0.3"/>
  <x:drawing xmlns:r="http://schemas.openxmlformats.org/officeDocument/2006/relationships" r:id="Rabcce4acb9f64ca7"/>
</x:worksheet>
</file>

<file path=xl/worksheets/sheet2.xml><?xml version="1.0" encoding="utf-8"?>
<worksheet xmlns="http://schemas.openxmlformats.org/spreadsheetml/2006/main" xmlns:r="http://schemas.openxmlformats.org/officeDocument/2006/relationships">
  <sheetPr>
    <tabColor rgb="FF087E83"/>
  </sheetPr>
  <sheetViews>
    <sheetView showGridLines="0" workbookViewId="0">
      <pane ySplit="5" topLeftCell="A6" activePane="bottomLeft" state="frozen"/>
    </sheetView>
  </sheetViews>
  <sheetFormatPr defaultRowHeight="15"/>
  <cols>
    <col min="1" max="1" width="27" hidden="0" customWidth="1"/>
    <col min="2" max="2" width="17" hidden="0" customWidth="1"/>
    <col min="3" max="3" width="17" hidden="0" customWidth="1"/>
    <col min="4" max="4" width="17" hidden="0" customWidth="1"/>
    <col min="5" max="5" width="17" hidden="0" customWidth="1"/>
    <col min="6" max="6" width="17" hidden="0" customWidth="1"/>
    <col min="7" max="7" width="17" hidden="0" customWidth="1"/>
    <col min="8" max="8" width="17" hidden="0" customWidth="1"/>
    <col min="9" max="9" width="17" hidden="0" customWidth="1"/>
    <col min="10" max="10" width="17" hidden="0" customWidth="1"/>
    <col min="11" max="11" width="17" hidden="0" customWidth="1"/>
    <col min="12" max="12" width="17" hidden="0" customWidth="1"/>
    <col min="13" max="13" width="17" hidden="0" customWidth="1"/>
    <col min="14" max="14" width="17" hidden="0" customWidth="1"/>
    <col min="15" max="15" width="17" hidden="0" customWidth="1"/>
    <col min="16" max="16" width="17" hidden="0" customWidth="1"/>
  </cols>
  <sheetData>
    <row r="1" ht="23" customHeight="1">
      <c r="A1" s="5" t="str">
        <v>Case volume by department</v>
      </c>
      <c r="B1" s="5"/>
      <c r="C1" s="5"/>
      <c r="D1" s="5"/>
      <c r="E1" s="5"/>
      <c r="F1" s="5"/>
      <c r="G1" s="1"/>
      <c r="H1" s="1"/>
      <c r="I1" s="1"/>
      <c r="J1" s="1"/>
      <c r="K1" s="1"/>
      <c r="L1" s="1"/>
      <c r="M1" s="1"/>
      <c r="N1" s="1"/>
      <c r="O1" s="1"/>
      <c r="P1" s="1"/>
    </row>
    <row r="2" ht="23" customHeight="1">
      <c r="A2" s="5"/>
      <c r="B2" s="5"/>
      <c r="C2" s="5"/>
      <c r="D2" s="5"/>
      <c r="E2" s="5"/>
      <c r="F2" s="5"/>
      <c r="G2" s="1"/>
      <c r="H2" s="1"/>
      <c r="I2" s="1"/>
      <c r="J2" s="1"/>
      <c r="K2" s="1"/>
      <c r="L2" s="1"/>
      <c r="M2" s="1"/>
      <c r="N2" s="1"/>
      <c r="O2" s="1"/>
      <c r="P2" s="1"/>
    </row>
    <row r="3" ht="23" customHeight="1">
      <c r="A3" s="9" t="str">
        <v>Counts of all 1,200 cases. Use the PivotTable field list to rearrange Department and Category in desktop Excel. The current layout counts Case ID by Department.</v>
      </c>
      <c r="B3" s="9"/>
      <c r="C3" s="9"/>
      <c r="D3" s="9"/>
      <c r="E3" s="9"/>
      <c r="F3" s="9"/>
      <c r="G3" s="1"/>
      <c r="H3" s="1"/>
      <c r="I3" s="1"/>
      <c r="J3" s="1"/>
      <c r="K3" s="1"/>
      <c r="L3" s="1"/>
      <c r="M3" s="1"/>
      <c r="N3" s="1"/>
      <c r="O3" s="1"/>
      <c r="P3" s="1"/>
    </row>
    <row r="4" ht="23" customHeight="1">
      <c r="A4" s="9"/>
      <c r="B4" s="9"/>
      <c r="C4" s="9"/>
      <c r="D4" s="9"/>
      <c r="E4" s="9"/>
      <c r="F4" s="9"/>
      <c r="G4" s="1"/>
      <c r="H4" s="1"/>
      <c r="I4" s="1"/>
      <c r="J4" s="1"/>
      <c r="K4" s="1"/>
      <c r="L4" s="1"/>
      <c r="M4" s="1"/>
      <c r="N4" s="1"/>
      <c r="O4" s="1"/>
      <c r="P4" s="1"/>
    </row>
    <row r="5" ht="23" customHeight="1">
      <c r="A5" s="1"/>
      <c r="B5" s="1"/>
      <c r="C5" s="1"/>
      <c r="D5" s="1"/>
      <c r="E5" s="1"/>
      <c r="F5" s="1"/>
      <c r="G5" s="1"/>
      <c r="H5" s="1"/>
      <c r="I5" s="1"/>
      <c r="J5" s="1"/>
      <c r="K5" s="1"/>
      <c r="L5" s="1"/>
      <c r="M5" s="1"/>
      <c r="N5" s="1"/>
      <c r="O5" s="1"/>
      <c r="P5" s="1"/>
    </row>
    <row r="6" ht="32" customHeight="1">
      <c r="A6" s="13" t="str">
        <v>Department</v>
      </c>
      <c r="B6" s="13" t="str">
        <v>Case count</v>
      </c>
      <c r="C6" s="1"/>
      <c r="D6" s="9" t="str">
        <v>Source: Cases!A5:C1205. Native Pivot cache contains Department, Category and Case ID. After source edits, Refresh the PivotTable. If source row count changes, rebuild this workbook to extend the cache range.</v>
      </c>
      <c r="E6" s="9"/>
      <c r="F6" s="9"/>
      <c r="G6" s="9"/>
      <c r="H6" s="1"/>
      <c r="I6" s="1"/>
      <c r="J6" s="1"/>
      <c r="K6" s="1"/>
      <c r="L6" s="1"/>
      <c r="M6" s="1"/>
      <c r="N6" s="1"/>
      <c r="O6" s="1"/>
      <c r="P6" s="1"/>
    </row>
    <row r="7" ht="23" customHeight="1">
      <c r="A7" s="1" t="str">
        <v>Customer Services</v>
      </c>
      <c r="B7" s="1" t="n">
        <v>500</v>
      </c>
      <c r="C7" s="1"/>
      <c r="D7" s="9"/>
      <c r="E7" s="9"/>
      <c r="F7" s="9"/>
      <c r="G7" s="9"/>
      <c r="H7" s="1"/>
      <c r="I7" s="1"/>
      <c r="J7" s="1"/>
      <c r="K7" s="1"/>
      <c r="L7" s="1"/>
      <c r="M7" s="1"/>
      <c r="N7" s="1"/>
      <c r="O7" s="1"/>
      <c r="P7" s="1"/>
    </row>
    <row r="8" ht="23" customHeight="1">
      <c r="A8" s="1" t="str">
        <v>Warehouse</v>
      </c>
      <c r="B8" s="1" t="n">
        <v>341</v>
      </c>
      <c r="C8" s="1"/>
      <c r="D8" s="9"/>
      <c r="E8" s="9"/>
      <c r="F8" s="9"/>
      <c r="G8" s="9"/>
      <c r="H8" s="1"/>
      <c r="I8" s="1"/>
      <c r="J8" s="1"/>
      <c r="K8" s="1"/>
      <c r="L8" s="1"/>
      <c r="M8" s="1"/>
      <c r="N8" s="1"/>
      <c r="O8" s="1"/>
      <c r="P8" s="1"/>
    </row>
    <row r="9" ht="23" customHeight="1">
      <c r="A9" s="1" t="str">
        <v>Installation</v>
      </c>
      <c r="B9" s="1" t="n">
        <v>359</v>
      </c>
      <c r="C9" s="1"/>
      <c r="D9" s="9"/>
      <c r="E9" s="9"/>
      <c r="F9" s="9"/>
      <c r="G9" s="9"/>
      <c r="H9" s="1"/>
      <c r="I9" s="1"/>
      <c r="J9" s="1"/>
      <c r="K9" s="1"/>
      <c r="L9" s="1"/>
      <c r="M9" s="1"/>
      <c r="N9" s="1"/>
      <c r="O9" s="1"/>
      <c r="P9" s="1"/>
    </row>
    <row r="10" ht="23" customHeight="1">
      <c r="A10" s="34" t="str">
        <v>Grand Total</v>
      </c>
      <c r="B10" s="34" t="n">
        <v>1200</v>
      </c>
      <c r="C10" s="1"/>
      <c r="D10" s="9"/>
      <c r="E10" s="9"/>
      <c r="F10" s="9"/>
      <c r="G10" s="9"/>
      <c r="H10" s="1"/>
      <c r="I10" s="1"/>
      <c r="J10" s="1"/>
      <c r="K10" s="1"/>
      <c r="L10" s="1"/>
      <c r="M10" s="1"/>
      <c r="N10" s="1"/>
      <c r="O10" s="1"/>
      <c r="P10" s="1"/>
    </row>
    <row r="11" ht="23" customHeight="1">
      <c r="A11" s="1"/>
      <c r="B11" s="1"/>
      <c r="C11" s="1"/>
      <c r="D11" s="9"/>
      <c r="E11" s="9"/>
      <c r="F11" s="9"/>
      <c r="G11" s="9"/>
      <c r="H11" s="1"/>
      <c r="I11" s="1"/>
      <c r="J11" s="1"/>
      <c r="K11" s="1"/>
      <c r="L11" s="1"/>
      <c r="M11" s="1"/>
      <c r="N11" s="1"/>
      <c r="O11" s="1"/>
      <c r="P11" s="1"/>
    </row>
    <row r="12" ht="23" customHeight="1">
      <c r="A12" s="1"/>
      <c r="B12" s="1"/>
      <c r="C12" s="1"/>
      <c r="D12" s="1"/>
      <c r="E12" s="1"/>
      <c r="F12" s="1"/>
      <c r="G12" s="1"/>
      <c r="H12" s="1"/>
      <c r="I12" s="1"/>
      <c r="J12" s="1"/>
      <c r="K12" s="1"/>
      <c r="L12" s="1"/>
      <c r="M12" s="1"/>
      <c r="N12" s="1"/>
      <c r="O12" s="1"/>
      <c r="P12" s="1"/>
    </row>
    <row r="13" ht="23" customHeight="1">
      <c r="A13" s="1"/>
      <c r="B13" s="1"/>
      <c r="C13" s="1"/>
      <c r="D13" s="1"/>
      <c r="E13" s="1"/>
      <c r="F13" s="1"/>
      <c r="G13" s="1"/>
      <c r="H13" s="1"/>
      <c r="I13" s="1"/>
      <c r="J13" s="1"/>
      <c r="K13" s="1"/>
      <c r="L13" s="1"/>
      <c r="M13" s="1"/>
      <c r="N13" s="1"/>
      <c r="O13" s="1"/>
      <c r="P13" s="1"/>
    </row>
    <row r="14" ht="23" customHeight="1">
      <c r="A14" s="19" t="str">
        <v>Refresh after source edits. The PivotTable counts all cases in the extract; dashboard status measures use the snapshot cutoff. Calculation and cache checks are documented in the project README. Native Excel Desktop refresh remains unverified.</v>
      </c>
      <c r="B14" s="19"/>
      <c r="C14" s="19"/>
      <c r="D14" s="19"/>
      <c r="E14" s="19"/>
      <c r="F14" s="19"/>
      <c r="G14" s="19"/>
      <c r="H14" s="1"/>
      <c r="I14" s="1"/>
      <c r="J14" s="1"/>
      <c r="K14" s="1"/>
      <c r="L14" s="1"/>
      <c r="M14" s="1"/>
      <c r="N14" s="1"/>
      <c r="O14" s="1"/>
      <c r="P14" s="1"/>
    </row>
    <row r="15" ht="23" customHeight="1">
      <c r="A15" s="19"/>
      <c r="B15" s="19"/>
      <c r="C15" s="19"/>
      <c r="D15" s="19"/>
      <c r="E15" s="19"/>
      <c r="F15" s="19"/>
      <c r="G15" s="19"/>
      <c r="H15" s="1"/>
      <c r="I15" s="1"/>
      <c r="J15" s="1"/>
      <c r="K15" s="1"/>
      <c r="L15" s="1"/>
      <c r="M15" s="1"/>
      <c r="N15" s="1"/>
      <c r="O15" s="1"/>
      <c r="P15" s="1"/>
    </row>
    <row r="16" ht="23" customHeight="1">
      <c r="A16" s="19"/>
      <c r="B16" s="19"/>
      <c r="C16" s="19"/>
      <c r="D16" s="19"/>
      <c r="E16" s="19"/>
      <c r="F16" s="19"/>
      <c r="G16" s="19"/>
      <c r="H16" s="1"/>
      <c r="I16" s="1"/>
      <c r="J16" s="1"/>
      <c r="K16" s="1"/>
      <c r="L16" s="1"/>
      <c r="M16" s="1"/>
      <c r="N16" s="1"/>
      <c r="O16" s="1"/>
      <c r="P16" s="1"/>
    </row>
    <row r="17" ht="23" customHeight="1">
      <c r="A17" s="19"/>
      <c r="B17" s="19"/>
      <c r="C17" s="19"/>
      <c r="D17" s="19"/>
      <c r="E17" s="19"/>
      <c r="F17" s="19"/>
      <c r="G17" s="19"/>
      <c r="H17" s="1"/>
      <c r="I17" s="1"/>
      <c r="J17" s="1"/>
      <c r="K17" s="1"/>
      <c r="L17" s="1"/>
      <c r="M17" s="1"/>
      <c r="N17" s="1"/>
      <c r="O17" s="1"/>
      <c r="P17" s="1"/>
    </row>
    <row r="18" ht="23" customHeight="1">
      <c r="A18" s="1"/>
      <c r="B18" s="1"/>
      <c r="C18" s="1"/>
      <c r="D18" s="1"/>
      <c r="E18" s="1"/>
      <c r="F18" s="1"/>
      <c r="G18" s="1"/>
      <c r="H18" s="1"/>
      <c r="I18" s="1"/>
      <c r="J18" s="1"/>
      <c r="K18" s="1"/>
      <c r="L18" s="1"/>
      <c r="M18" s="1"/>
      <c r="N18" s="1"/>
      <c r="O18" s="1"/>
      <c r="P18" s="1"/>
    </row>
    <row r="19" ht="23" customHeight="1">
      <c r="A19" s="1"/>
      <c r="B19" s="1"/>
      <c r="C19" s="1"/>
      <c r="D19" s="1"/>
      <c r="E19" s="1"/>
      <c r="F19" s="1"/>
      <c r="G19" s="1"/>
      <c r="H19" s="1"/>
      <c r="I19" s="1"/>
      <c r="J19" s="1"/>
      <c r="K19" s="1"/>
      <c r="L19" s="1"/>
      <c r="M19" s="1"/>
      <c r="N19" s="1"/>
      <c r="O19" s="1"/>
      <c r="P19" s="1"/>
    </row>
    <row r="20" ht="23" customHeight="1">
      <c r="A20" s="1"/>
      <c r="B20" s="1"/>
      <c r="C20" s="1"/>
      <c r="D20" s="1" t="str">
        <v>Chart source / week</v>
      </c>
      <c r="E20" s="1" t="str">
        <v>Closing backlog</v>
      </c>
      <c r="F20" s="1"/>
      <c r="G20" s="1"/>
      <c r="H20" s="1"/>
      <c r="I20" s="1"/>
      <c r="J20" s="1"/>
      <c r="K20" s="1"/>
      <c r="L20" s="1"/>
      <c r="M20" s="1"/>
      <c r="N20" s="1"/>
      <c r="O20" s="1"/>
      <c r="P20" s="1"/>
    </row>
    <row r="21" ht="23" customHeight="1">
      <c r="A21" s="1"/>
      <c r="B21" s="1"/>
      <c r="C21" s="1"/>
      <c r="D21" s="1" t="str">
        <v>29 Jun</v>
      </c>
      <c r="E21" s="1" t="n">
        <f>Reporting!D24</f>
        <v>82</v>
      </c>
      <c r="F21" s="1"/>
      <c r="G21" s="1"/>
      <c r="H21" s="1"/>
      <c r="I21" s="1"/>
      <c r="J21" s="1"/>
      <c r="K21" s="1"/>
      <c r="L21" s="1"/>
      <c r="M21" s="1"/>
      <c r="N21" s="1"/>
      <c r="O21" s="1"/>
      <c r="P21" s="1"/>
    </row>
    <row r="22" ht="23" customHeight="1">
      <c r="A22" s="1"/>
      <c r="B22" s="1"/>
      <c r="C22" s="1"/>
      <c r="D22" s="1" t="str">
        <v>06 Jul</v>
      </c>
      <c r="E22" s="1" t="n">
        <f>Reporting!D25</f>
        <v>135</v>
      </c>
      <c r="F22" s="1"/>
      <c r="G22" s="1"/>
      <c r="H22" s="1"/>
      <c r="I22" s="1"/>
      <c r="J22" s="1"/>
      <c r="K22" s="1"/>
      <c r="L22" s="1"/>
      <c r="M22" s="1"/>
      <c r="N22" s="1"/>
      <c r="O22" s="1"/>
      <c r="P22" s="1"/>
    </row>
    <row r="23" ht="23" customHeight="1">
      <c r="A23" s="1"/>
      <c r="B23" s="1"/>
      <c r="C23" s="1"/>
      <c r="D23" s="1" t="str">
        <v>13 Jul</v>
      </c>
      <c r="E23" s="1" t="n">
        <f>Reporting!D26</f>
        <v>147</v>
      </c>
      <c r="F23" s="1"/>
      <c r="G23" s="1"/>
      <c r="H23" s="1"/>
      <c r="I23" s="1"/>
      <c r="J23" s="1"/>
      <c r="K23" s="1"/>
      <c r="L23" s="1"/>
      <c r="M23" s="1"/>
      <c r="N23" s="1"/>
      <c r="O23" s="1"/>
      <c r="P23" s="1"/>
    </row>
    <row r="24" ht="23" customHeight="1">
      <c r="A24" s="1"/>
      <c r="B24" s="1"/>
      <c r="C24" s="1"/>
      <c r="D24" s="1" t="str">
        <v>20 Jul</v>
      </c>
      <c r="E24" s="1" t="n">
        <f>Reporting!D27</f>
        <v>156</v>
      </c>
      <c r="F24" s="1"/>
      <c r="G24" s="1"/>
      <c r="H24" s="1"/>
      <c r="I24" s="1"/>
      <c r="J24" s="1"/>
      <c r="K24" s="1"/>
      <c r="L24" s="1"/>
      <c r="M24" s="1"/>
      <c r="N24" s="1"/>
      <c r="O24" s="1"/>
      <c r="P24" s="1"/>
    </row>
    <row r="25" ht="23" customHeight="1">
      <c r="A25" s="1"/>
      <c r="B25" s="1"/>
      <c r="C25" s="1"/>
      <c r="D25" s="1" t="str">
        <v>27 Jul</v>
      </c>
      <c r="E25" s="1" t="n">
        <f>Reporting!D28</f>
        <v>180</v>
      </c>
      <c r="F25" s="1"/>
      <c r="G25" s="1"/>
      <c r="H25" s="1"/>
      <c r="I25" s="1"/>
      <c r="J25" s="1"/>
      <c r="K25" s="1"/>
      <c r="L25" s="1"/>
      <c r="M25" s="1"/>
      <c r="N25" s="1"/>
      <c r="O25" s="1"/>
      <c r="P25" s="1"/>
    </row>
    <row r="26" ht="23" customHeight="1">
      <c r="A26" s="1"/>
      <c r="B26" s="1"/>
      <c r="C26" s="1"/>
      <c r="D26" s="1" t="str">
        <v>03 Aug</v>
      </c>
      <c r="E26" s="1" t="n">
        <f>Reporting!D29</f>
        <v>171</v>
      </c>
      <c r="F26" s="1"/>
      <c r="G26" s="1"/>
      <c r="H26" s="1"/>
      <c r="I26" s="1"/>
      <c r="J26" s="1"/>
      <c r="K26" s="1"/>
      <c r="L26" s="1"/>
      <c r="M26" s="1"/>
      <c r="N26" s="1"/>
      <c r="O26" s="1"/>
      <c r="P26" s="1"/>
    </row>
    <row r="27" ht="23" customHeight="1">
      <c r="A27" s="1"/>
      <c r="B27" s="1"/>
      <c r="C27" s="1"/>
      <c r="D27" s="1" t="str">
        <v>10 Aug</v>
      </c>
      <c r="E27" s="1" t="n">
        <f>Reporting!D30</f>
        <v>170</v>
      </c>
      <c r="F27" s="1"/>
      <c r="G27" s="1"/>
      <c r="H27" s="1"/>
      <c r="I27" s="1"/>
      <c r="J27" s="1"/>
      <c r="K27" s="1"/>
      <c r="L27" s="1"/>
      <c r="M27" s="1"/>
      <c r="N27" s="1"/>
      <c r="O27" s="1"/>
      <c r="P27" s="1"/>
    </row>
    <row r="28" ht="23" customHeight="1">
      <c r="A28" s="1"/>
      <c r="B28" s="1"/>
      <c r="C28" s="1"/>
      <c r="D28" s="1" t="str">
        <v>17 Aug</v>
      </c>
      <c r="E28" s="1" t="n">
        <f>Reporting!D31</f>
        <v>208</v>
      </c>
      <c r="F28" s="1"/>
      <c r="G28" s="1"/>
      <c r="H28" s="1"/>
      <c r="I28" s="1"/>
      <c r="J28" s="1"/>
      <c r="K28" s="1"/>
      <c r="L28" s="1"/>
      <c r="M28" s="1"/>
      <c r="N28" s="1"/>
      <c r="O28" s="1"/>
      <c r="P28" s="1"/>
    </row>
    <row r="29" ht="23" customHeight="1">
      <c r="A29" s="1"/>
      <c r="B29" s="1"/>
      <c r="C29" s="1"/>
      <c r="D29" s="1" t="str">
        <v>24 Aug</v>
      </c>
      <c r="E29" s="1" t="n">
        <f>Reporting!D32</f>
        <v>226</v>
      </c>
      <c r="F29" s="1"/>
      <c r="G29" s="1"/>
      <c r="H29" s="1"/>
      <c r="I29" s="1"/>
      <c r="J29" s="1"/>
      <c r="K29" s="1"/>
      <c r="L29" s="1"/>
      <c r="M29" s="1"/>
      <c r="N29" s="1"/>
      <c r="O29" s="1"/>
      <c r="P29" s="1"/>
    </row>
    <row r="30" ht="23" customHeight="1">
      <c r="A30" s="1"/>
      <c r="B30" s="1"/>
      <c r="C30" s="1"/>
      <c r="D30" s="1" t="str">
        <v>31 Aug</v>
      </c>
      <c r="E30" s="1" t="n">
        <f>Reporting!D33</f>
        <v>238</v>
      </c>
      <c r="F30" s="1"/>
      <c r="G30" s="1"/>
      <c r="H30" s="1"/>
      <c r="I30" s="1"/>
      <c r="J30" s="1"/>
      <c r="K30" s="1"/>
      <c r="L30" s="1"/>
      <c r="M30" s="1"/>
      <c r="N30" s="1"/>
      <c r="O30" s="1"/>
      <c r="P30" s="1"/>
    </row>
    <row r="31" ht="23" customHeight="1">
      <c r="A31" s="1"/>
      <c r="B31" s="1"/>
      <c r="C31" s="1"/>
      <c r="D31" s="1" t="str">
        <v>07 Sept</v>
      </c>
      <c r="E31" s="1" t="n">
        <f>Reporting!D34</f>
        <v>247</v>
      </c>
      <c r="F31" s="1"/>
      <c r="G31" s="1"/>
      <c r="H31" s="1"/>
      <c r="I31" s="1"/>
      <c r="J31" s="1"/>
      <c r="K31" s="1"/>
      <c r="L31" s="1"/>
      <c r="M31" s="1"/>
      <c r="N31" s="1"/>
      <c r="O31" s="1"/>
      <c r="P31" s="1"/>
    </row>
    <row r="32" ht="23" customHeight="1">
      <c r="A32" s="1"/>
      <c r="B32" s="1"/>
      <c r="C32" s="1"/>
      <c r="D32" s="1" t="str">
        <v>14 Sept</v>
      </c>
      <c r="E32" s="1" t="n">
        <f>Reporting!D35</f>
        <v>266</v>
      </c>
      <c r="F32" s="1"/>
      <c r="G32" s="1"/>
      <c r="H32" s="1"/>
      <c r="I32" s="1"/>
      <c r="J32" s="1"/>
      <c r="K32" s="1"/>
      <c r="L32" s="1"/>
      <c r="M32" s="1"/>
      <c r="N32" s="1"/>
      <c r="O32" s="1"/>
      <c r="P32" s="1"/>
    </row>
    <row r="33" ht="23" customHeight="1">
      <c r="A33" s="1"/>
      <c r="B33" s="1"/>
      <c r="C33" s="1"/>
      <c r="D33" s="1"/>
      <c r="E33" s="1"/>
      <c r="F33" s="1"/>
      <c r="G33" s="1"/>
      <c r="H33" s="1"/>
      <c r="I33" s="1"/>
      <c r="J33" s="1"/>
      <c r="K33" s="1"/>
      <c r="L33" s="1"/>
      <c r="M33" s="1"/>
      <c r="N33" s="1"/>
      <c r="O33" s="1"/>
      <c r="P33" s="1"/>
    </row>
    <row r="34" ht="23" customHeight="1">
      <c r="A34" s="1"/>
      <c r="B34" s="1"/>
      <c r="C34" s="1"/>
      <c r="D34" s="1"/>
      <c r="E34" s="1"/>
      <c r="F34" s="1"/>
      <c r="G34" s="1"/>
      <c r="H34" s="1"/>
      <c r="I34" s="1"/>
      <c r="J34" s="1"/>
      <c r="K34" s="1"/>
      <c r="L34" s="1"/>
      <c r="M34" s="1"/>
      <c r="N34" s="1"/>
      <c r="O34" s="1"/>
      <c r="P34" s="1"/>
    </row>
    <row r="35" ht="23" customHeight="1">
      <c r="A35" s="1"/>
      <c r="B35" s="1"/>
      <c r="C35" s="1"/>
      <c r="D35" s="1"/>
      <c r="E35" s="1"/>
      <c r="F35" s="1"/>
      <c r="G35" s="1"/>
      <c r="H35" s="1"/>
      <c r="I35" s="1"/>
      <c r="J35" s="1"/>
      <c r="K35" s="1"/>
      <c r="L35" s="1"/>
      <c r="M35" s="1"/>
      <c r="N35" s="1"/>
      <c r="O35" s="1"/>
      <c r="P35" s="1"/>
    </row>
    <row r="36" ht="23" customHeight="1">
      <c r="A36" s="1"/>
      <c r="B36" s="1"/>
      <c r="C36" s="1"/>
      <c r="D36" s="1"/>
      <c r="E36" s="1"/>
      <c r="F36" s="1"/>
      <c r="G36" s="1"/>
      <c r="H36" s="1"/>
      <c r="I36" s="1"/>
      <c r="J36" s="1"/>
      <c r="K36" s="1"/>
      <c r="L36" s="1"/>
      <c r="M36" s="1"/>
      <c r="N36" s="1"/>
      <c r="O36" s="1"/>
      <c r="P36" s="1"/>
    </row>
    <row r="37" ht="23" customHeight="1">
      <c r="A37" s="1"/>
      <c r="B37" s="1"/>
      <c r="C37" s="1"/>
      <c r="D37" s="1"/>
      <c r="E37" s="1"/>
      <c r="F37" s="1"/>
      <c r="G37" s="1"/>
      <c r="H37" s="1"/>
      <c r="I37" s="1"/>
      <c r="J37" s="1"/>
      <c r="K37" s="1"/>
      <c r="L37" s="1"/>
      <c r="M37" s="1"/>
      <c r="N37" s="1"/>
      <c r="O37" s="1"/>
      <c r="P37" s="1"/>
    </row>
    <row r="38" ht="23" customHeight="1">
      <c r="A38" s="1"/>
      <c r="B38" s="1"/>
      <c r="C38" s="1"/>
      <c r="D38" s="1"/>
      <c r="E38" s="1"/>
      <c r="F38" s="1"/>
      <c r="G38" s="1"/>
      <c r="H38" s="1"/>
      <c r="I38" s="1"/>
      <c r="J38" s="1"/>
      <c r="K38" s="1"/>
      <c r="L38" s="1"/>
      <c r="M38" s="1"/>
      <c r="N38" s="1"/>
      <c r="O38" s="1"/>
      <c r="P38" s="1"/>
    </row>
    <row r="39" ht="23" customHeight="1">
      <c r="A39" s="1"/>
      <c r="B39" s="1"/>
      <c r="C39" s="1"/>
      <c r="D39" s="1"/>
      <c r="E39" s="1"/>
      <c r="F39" s="1"/>
      <c r="G39" s="1"/>
      <c r="H39" s="1"/>
      <c r="I39" s="1"/>
      <c r="J39" s="1"/>
      <c r="K39" s="1"/>
      <c r="L39" s="1"/>
      <c r="M39" s="1"/>
      <c r="N39" s="1"/>
      <c r="O39" s="1"/>
      <c r="P39" s="1"/>
    </row>
    <row r="40" ht="23" customHeight="1">
      <c r="A40" s="1"/>
      <c r="B40" s="1"/>
      <c r="C40" s="1"/>
      <c r="D40" s="1"/>
      <c r="E40" s="1"/>
      <c r="F40" s="1"/>
      <c r="G40" s="1"/>
      <c r="H40" s="1"/>
      <c r="I40" s="1"/>
      <c r="J40" s="1"/>
      <c r="K40" s="1"/>
      <c r="L40" s="1"/>
      <c r="M40" s="1"/>
      <c r="N40" s="1"/>
      <c r="O40" s="1"/>
      <c r="P40" s="1"/>
    </row>
    <row r="41" ht="23" customHeight="1">
      <c r="A41" s="1"/>
      <c r="B41" s="1"/>
      <c r="C41" s="1"/>
      <c r="D41" s="1"/>
      <c r="E41" s="1"/>
      <c r="F41" s="1"/>
      <c r="G41" s="1"/>
      <c r="H41" s="1"/>
      <c r="I41" s="1"/>
      <c r="J41" s="1"/>
      <c r="K41" s="1"/>
      <c r="L41" s="1"/>
      <c r="M41" s="1"/>
      <c r="N41" s="1"/>
      <c r="O41" s="1"/>
      <c r="P41" s="1"/>
    </row>
    <row r="42" ht="23" customHeight="1">
      <c r="A42" s="1"/>
      <c r="B42" s="1"/>
      <c r="C42" s="1"/>
      <c r="D42" s="1"/>
      <c r="E42" s="1"/>
      <c r="F42" s="1"/>
      <c r="G42" s="1"/>
      <c r="H42" s="1"/>
      <c r="I42" s="1"/>
      <c r="J42" s="1"/>
      <c r="K42" s="1"/>
      <c r="L42" s="1"/>
      <c r="M42" s="1"/>
      <c r="N42" s="1"/>
      <c r="O42" s="1"/>
      <c r="P42" s="1"/>
    </row>
    <row r="43" ht="23" customHeight="1">
      <c r="A43" s="1"/>
      <c r="B43" s="1"/>
      <c r="C43" s="1"/>
      <c r="D43" s="1"/>
      <c r="E43" s="1"/>
      <c r="F43" s="1"/>
      <c r="G43" s="1"/>
      <c r="H43" s="1"/>
      <c r="I43" s="1"/>
      <c r="J43" s="1"/>
      <c r="K43" s="1"/>
      <c r="L43" s="1"/>
      <c r="M43" s="1"/>
      <c r="N43" s="1"/>
      <c r="O43" s="1"/>
      <c r="P43" s="1"/>
    </row>
    <row r="44" ht="23" customHeight="1">
      <c r="A44" s="1"/>
      <c r="B44" s="1"/>
      <c r="C44" s="1"/>
      <c r="D44" s="1"/>
      <c r="E44" s="1"/>
      <c r="F44" s="1"/>
      <c r="G44" s="1"/>
      <c r="H44" s="1"/>
      <c r="I44" s="1"/>
      <c r="J44" s="1"/>
      <c r="K44" s="1"/>
      <c r="L44" s="1"/>
      <c r="M44" s="1"/>
      <c r="N44" s="1"/>
      <c r="O44" s="1"/>
      <c r="P44" s="1"/>
    </row>
    <row r="45" ht="23" customHeight="1">
      <c r="A45" s="1"/>
      <c r="B45" s="1"/>
      <c r="C45" s="1"/>
      <c r="D45" s="1"/>
      <c r="E45" s="1"/>
      <c r="F45" s="1"/>
      <c r="G45" s="1"/>
      <c r="H45" s="1"/>
      <c r="I45" s="1"/>
      <c r="J45" s="1"/>
      <c r="K45" s="1"/>
      <c r="L45" s="1"/>
      <c r="M45" s="1"/>
      <c r="N45" s="1"/>
      <c r="O45" s="1"/>
      <c r="P45" s="1"/>
    </row>
    <row r="46" ht="23" customHeight="1">
      <c r="A46" s="1"/>
      <c r="B46" s="1"/>
      <c r="C46" s="1"/>
      <c r="D46" s="1"/>
      <c r="E46" s="1"/>
      <c r="F46" s="1"/>
      <c r="G46" s="1"/>
      <c r="H46" s="1"/>
      <c r="I46" s="1"/>
      <c r="J46" s="1"/>
      <c r="K46" s="1"/>
      <c r="L46" s="1"/>
      <c r="M46" s="1"/>
      <c r="N46" s="1"/>
      <c r="O46" s="1"/>
      <c r="P46" s="1"/>
    </row>
    <row r="47" ht="23" customHeight="1">
      <c r="A47" s="1"/>
      <c r="B47" s="1"/>
      <c r="C47" s="1"/>
      <c r="D47" s="1"/>
      <c r="E47" s="1"/>
      <c r="F47" s="1"/>
      <c r="G47" s="1"/>
      <c r="H47" s="1"/>
      <c r="I47" s="1"/>
      <c r="J47" s="1"/>
      <c r="K47" s="1"/>
      <c r="L47" s="1"/>
      <c r="M47" s="1"/>
      <c r="N47" s="1"/>
      <c r="O47" s="1"/>
      <c r="P47" s="1"/>
    </row>
    <row r="48" ht="23" customHeight="1">
      <c r="A48" s="1"/>
      <c r="B48" s="1"/>
      <c r="C48" s="1"/>
      <c r="D48" s="1"/>
      <c r="E48" s="1"/>
      <c r="F48" s="1"/>
      <c r="G48" s="1"/>
      <c r="H48" s="1"/>
      <c r="I48" s="1"/>
      <c r="J48" s="1"/>
      <c r="K48" s="1"/>
      <c r="L48" s="1"/>
      <c r="M48" s="1"/>
      <c r="N48" s="1"/>
      <c r="O48" s="1"/>
      <c r="P48" s="1"/>
    </row>
    <row r="49" ht="23" customHeight="1">
      <c r="A49" s="1"/>
      <c r="B49" s="1"/>
      <c r="C49" s="1"/>
      <c r="D49" s="1"/>
      <c r="E49" s="1"/>
      <c r="F49" s="1"/>
      <c r="G49" s="1"/>
      <c r="H49" s="1"/>
      <c r="I49" s="1"/>
      <c r="J49" s="1"/>
      <c r="K49" s="1"/>
      <c r="L49" s="1"/>
      <c r="M49" s="1"/>
      <c r="N49" s="1"/>
      <c r="O49" s="1"/>
      <c r="P49" s="1"/>
    </row>
    <row r="50" ht="23" customHeight="1">
      <c r="A50" s="1"/>
      <c r="B50" s="1"/>
      <c r="C50" s="1"/>
      <c r="D50" s="1"/>
      <c r="E50" s="1"/>
      <c r="F50" s="1"/>
      <c r="G50" s="1"/>
      <c r="H50" s="1"/>
      <c r="I50" s="1"/>
      <c r="J50" s="1"/>
      <c r="K50" s="1"/>
      <c r="L50" s="1"/>
      <c r="M50" s="1"/>
      <c r="N50" s="1"/>
      <c r="O50" s="1"/>
      <c r="P50" s="1"/>
    </row>
    <row r="51" ht="23" customHeight="1">
      <c r="A51" s="1"/>
      <c r="B51" s="1"/>
      <c r="C51" s="1"/>
      <c r="D51" s="1"/>
      <c r="E51" s="1"/>
      <c r="F51" s="1"/>
      <c r="G51" s="1"/>
      <c r="H51" s="1"/>
      <c r="I51" s="1"/>
      <c r="J51" s="1"/>
      <c r="K51" s="1"/>
      <c r="L51" s="1"/>
      <c r="M51" s="1"/>
      <c r="N51" s="1"/>
      <c r="O51" s="1"/>
      <c r="P51" s="1"/>
    </row>
    <row r="52" ht="23" customHeight="1">
      <c r="A52" s="1"/>
      <c r="B52" s="1"/>
      <c r="C52" s="1"/>
      <c r="D52" s="1"/>
      <c r="E52" s="1"/>
      <c r="F52" s="1"/>
      <c r="G52" s="1"/>
      <c r="H52" s="1"/>
      <c r="I52" s="1"/>
      <c r="J52" s="1"/>
      <c r="K52" s="1"/>
      <c r="L52" s="1"/>
      <c r="M52" s="1"/>
      <c r="N52" s="1"/>
      <c r="O52" s="1"/>
      <c r="P52" s="1"/>
    </row>
    <row r="53" ht="23" customHeight="1">
      <c r="A53" s="1"/>
      <c r="B53" s="1"/>
      <c r="C53" s="1"/>
      <c r="D53" s="1"/>
      <c r="E53" s="1"/>
      <c r="F53" s="1"/>
      <c r="G53" s="1"/>
      <c r="H53" s="1"/>
      <c r="I53" s="1"/>
      <c r="J53" s="1"/>
      <c r="K53" s="1"/>
      <c r="L53" s="1"/>
      <c r="M53" s="1"/>
      <c r="N53" s="1"/>
      <c r="O53" s="1"/>
      <c r="P53" s="1"/>
    </row>
    <row r="54" ht="23" customHeight="1">
      <c r="A54" s="1"/>
      <c r="B54" s="1"/>
      <c r="C54" s="1"/>
      <c r="D54" s="1"/>
      <c r="E54" s="1"/>
      <c r="F54" s="1"/>
      <c r="G54" s="1"/>
      <c r="H54" s="1"/>
      <c r="I54" s="1"/>
      <c r="J54" s="1"/>
      <c r="K54" s="1"/>
      <c r="L54" s="1"/>
      <c r="M54" s="1"/>
      <c r="N54" s="1"/>
      <c r="O54" s="1"/>
      <c r="P54" s="1"/>
    </row>
    <row r="55" ht="23" customHeight="1">
      <c r="A55" s="1"/>
      <c r="B55" s="1"/>
      <c r="C55" s="1"/>
      <c r="D55" s="1"/>
      <c r="E55" s="1"/>
      <c r="F55" s="1"/>
      <c r="G55" s="1"/>
      <c r="H55" s="1"/>
      <c r="I55" s="1"/>
      <c r="J55" s="1"/>
      <c r="K55" s="1"/>
      <c r="L55" s="1"/>
      <c r="M55" s="1"/>
      <c r="N55" s="1"/>
      <c r="O55" s="1"/>
      <c r="P55" s="1"/>
    </row>
    <row r="56" ht="23" customHeight="1">
      <c r="A56" s="1"/>
      <c r="B56" s="1"/>
      <c r="C56" s="1"/>
      <c r="D56" s="1"/>
      <c r="E56" s="1"/>
      <c r="F56" s="1"/>
      <c r="G56" s="1"/>
      <c r="H56" s="1"/>
      <c r="I56" s="1"/>
      <c r="J56" s="1"/>
      <c r="K56" s="1"/>
      <c r="L56" s="1"/>
      <c r="M56" s="1"/>
      <c r="N56" s="1"/>
      <c r="O56" s="1"/>
      <c r="P56" s="1"/>
    </row>
    <row r="57" ht="23" customHeight="1">
      <c r="A57" s="1"/>
      <c r="B57" s="1"/>
      <c r="C57" s="1"/>
      <c r="D57" s="1"/>
      <c r="E57" s="1"/>
      <c r="F57" s="1"/>
      <c r="G57" s="1"/>
      <c r="H57" s="1"/>
      <c r="I57" s="1"/>
      <c r="J57" s="1"/>
      <c r="K57" s="1"/>
      <c r="L57" s="1"/>
      <c r="M57" s="1"/>
      <c r="N57" s="1"/>
      <c r="O57" s="1"/>
      <c r="P57" s="1"/>
    </row>
    <row r="58" ht="23" customHeight="1">
      <c r="A58" s="1"/>
      <c r="B58" s="1"/>
      <c r="C58" s="1"/>
      <c r="D58" s="1"/>
      <c r="E58" s="1"/>
      <c r="F58" s="1"/>
      <c r="G58" s="1"/>
      <c r="H58" s="1"/>
      <c r="I58" s="1"/>
      <c r="J58" s="1"/>
      <c r="K58" s="1"/>
      <c r="L58" s="1"/>
      <c r="M58" s="1"/>
      <c r="N58" s="1"/>
      <c r="O58" s="1"/>
      <c r="P58" s="1"/>
    </row>
    <row r="59" ht="23" customHeight="1">
      <c r="A59" s="1"/>
      <c r="B59" s="1"/>
      <c r="C59" s="1"/>
      <c r="D59" s="1"/>
      <c r="E59" s="1"/>
      <c r="F59" s="1"/>
      <c r="G59" s="1"/>
      <c r="H59" s="1"/>
      <c r="I59" s="1"/>
      <c r="J59" s="1"/>
      <c r="K59" s="1"/>
      <c r="L59" s="1"/>
      <c r="M59" s="1"/>
      <c r="N59" s="1"/>
      <c r="O59" s="1"/>
      <c r="P59" s="1"/>
    </row>
    <row r="60" ht="23" customHeight="1">
      <c r="A60" s="1"/>
      <c r="B60" s="1"/>
      <c r="C60" s="1"/>
      <c r="D60" s="1"/>
      <c r="E60" s="1"/>
      <c r="F60" s="1"/>
      <c r="G60" s="1"/>
      <c r="H60" s="1"/>
      <c r="I60" s="1"/>
      <c r="J60" s="1"/>
      <c r="K60" s="1"/>
      <c r="L60" s="1"/>
      <c r="M60" s="1"/>
      <c r="N60" s="1"/>
      <c r="O60" s="1"/>
      <c r="P60" s="1"/>
    </row>
  </sheetData>
  <mergeCells>
    <mergeCell ref="A1:F2"/>
    <mergeCell ref="A3:F4"/>
    <mergeCell ref="D6:G11"/>
    <mergeCell ref="A14:G17"/>
  </mergeCells>
  <pageMargins left="0.7" right="0.7" top="0.75" bottom="0.75" header="0.3" footer="0.3"/>
  <pivotParts count="1">
    <pivotPart r:id="rIdNativePivot"/>
  </pivotParts>
</worksheet>
</file>

<file path=xl/worksheets/sheet3.xml><?xml version="1.0" encoding="utf-8"?>
<x:worksheet xmlns:x="http://schemas.openxmlformats.org/spreadsheetml/2006/main">
  <x:sheetPr>
    <x:tabColor rgb="FF087E83"/>
  </x:sheetPr>
  <x:sheetViews>
    <x:sheetView showGridLines="0" workbookViewId="0">
      <x:pane ySplit="5" topLeftCell="A6" activePane="bottomLeft" state="frozen"/>
    </x:sheetView>
  </x:sheetViews>
  <x:sheetFormatPr defaultRowHeight="15"/>
  <x:cols>
    <x:col min="1" max="1" width="17" hidden="0" customWidth="1"/>
    <x:col min="2" max="2" width="24" hidden="0" customWidth="1"/>
    <x:col min="3" max="3" width="23"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23" hidden="0" customWidth="1"/>
    <x:col min="16" max="16" width="17" hidden="0" customWidth="1"/>
  </x:cols>
  <x:sheetData>
    <x:row r="1" ht="23" customHeight="1">
      <x:c r="A1" s="5" t="str">
        <x:v>Operational case register</x:v>
      </x:c>
      <x:c r="B1" s="5"/>
      <x:c r="C1" s="5"/>
      <x:c r="D1" s="5"/>
      <x:c r="E1" s="5"/>
      <x:c r="F1" s="5"/>
      <x:c r="G1" s="5"/>
      <x:c r="H1" s="5"/>
      <x:c r="I1" s="1"/>
      <x:c r="J1" s="1"/>
      <x:c r="K1" s="1"/>
      <x:c r="L1" s="1"/>
      <x:c r="M1" s="1"/>
      <x:c r="N1" s="1"/>
      <x:c r="O1" s="1"/>
      <x:c r="P1" s="1"/>
    </x:row>
    <x:row r="2" ht="23" customHeight="1">
      <x:c r="A2" s="5"/>
      <x:c r="B2" s="5"/>
      <x:c r="C2" s="5"/>
      <x:c r="D2" s="5"/>
      <x:c r="E2" s="5"/>
      <x:c r="F2" s="5"/>
      <x:c r="G2" s="5"/>
      <x:c r="H2" s="5"/>
      <x:c r="I2" s="1"/>
      <x:c r="J2" s="1"/>
      <x:c r="K2" s="1"/>
      <x:c r="L2" s="1"/>
      <x:c r="M2" s="1"/>
      <x:c r="N2" s="1"/>
      <x:c r="O2" s="1"/>
      <x:c r="P2" s="1"/>
    </x:row>
    <x:row r="3" ht="23" customHeight="1">
      <x:c r="A3" s="9" t="str">
        <x:v>One row per case. A:H are inputs; I:O are formula-derived. Blank Closed = still open. Dates are UTC. Filters do not change headline KPIs.</x:v>
      </x:c>
      <x:c r="B3" s="9"/>
      <x:c r="C3" s="9"/>
      <x:c r="D3" s="9"/>
      <x:c r="E3" s="9"/>
      <x:c r="F3" s="9"/>
      <x:c r="G3" s="9"/>
      <x:c r="H3" s="9"/>
      <x:c r="I3" s="1"/>
      <x:c r="J3" s="1"/>
      <x:c r="K3" s="1"/>
      <x:c r="L3" s="1"/>
      <x:c r="M3" s="1"/>
      <x:c r="N3" s="1"/>
      <x:c r="O3" s="1"/>
      <x:c r="P3" s="1"/>
    </x:row>
    <x:row r="4" ht="23" customHeight="1">
      <x:c r="A4" s="9"/>
      <x:c r="B4" s="9"/>
      <x:c r="C4" s="9"/>
      <x:c r="D4" s="9"/>
      <x:c r="E4" s="9"/>
      <x:c r="F4" s="9"/>
      <x:c r="G4" s="9"/>
      <x:c r="H4" s="9"/>
      <x:c r="I4" s="1"/>
      <x:c r="J4" s="1"/>
      <x:c r="K4" s="1"/>
      <x:c r="L4" s="1"/>
      <x:c r="M4" s="1"/>
      <x:c r="N4" s="1"/>
      <x:c r="O4" s="1"/>
      <x:c r="P4" s="1"/>
    </x:row>
    <x:row r="5" ht="32" customHeight="1">
      <x:c r="A5" s="13" t="str">
        <x:v>Case ID</x:v>
      </x:c>
      <x:c r="B5" s="13" t="str">
        <x:v>Department</x:v>
      </x:c>
      <x:c r="C5" s="13" t="str">
        <x:v>Category</x:v>
      </x:c>
      <x:c r="D5" s="13" t="str">
        <x:v>Priority</x:v>
      </x:c>
      <x:c r="E5" s="13" t="str">
        <x:v>Opened</x:v>
      </x:c>
      <x:c r="F5" s="13" t="str">
        <x:v>Due</x:v>
      </x:c>
      <x:c r="G5" s="13" t="str">
        <x:v>Closed</x:v>
      </x:c>
      <x:c r="H5" s="13" t="str">
        <x:v>Dept ID</x:v>
      </x:c>
      <x:c r="I5" s="13" t="str">
        <x:v>Open flag</x:v>
      </x:c>
      <x:c r="J5" s="13" t="str">
        <x:v>Overdue flag</x:v>
      </x:c>
      <x:c r="K5" s="13" t="str">
        <x:v>Due flag</x:v>
      </x:c>
      <x:c r="L5" s="13" t="str">
        <x:v>On-time flag</x:v>
      </x:c>
      <x:c r="M5" s="13" t="str">
        <x:v>Closed flag</x:v>
      </x:c>
      <x:c r="N5" s="13" t="str">
        <x:v>Resolution days</x:v>
      </x:c>
      <x:c r="O5" s="13" t="str">
        <x:v>Status</x:v>
      </x:c>
      <x:c r="P5" s="1"/>
    </x:row>
    <x:row r="6" ht="23" customHeight="1">
      <x:c r="A6" s="14" t="str">
        <x:v>CASE-00001</x:v>
      </x:c>
      <x:c r="B6" s="14" t="str">
        <x:v>Customer Services</x:v>
      </x:c>
      <x:c r="C6" s="14" t="str">
        <x:v>Missing evidence</x:v>
      </x:c>
      <x:c r="D6" s="14" t="str">
        <x:v>High</x:v>
      </x:c>
      <x:c r="E6" s="15" t="n">
        <x:v>46234.375</x:v>
      </x:c>
      <x:c r="F6" s="15" t="n">
        <x:v>46237.375</x:v>
      </x:c>
      <x:c r="G6" s="15" t="n">
        <x:v>46251.375</x:v>
      </x:c>
      <x:c r="H6" s="14" t="n">
        <x:v>1</x:v>
      </x:c>
      <x:c r="I6" s="1" t="n">
        <x:f>IF(AND(E6&lt;Reporting!$B$4,OR(G6="",G6&gt;=Reporting!$B$4)),1,0)</x:f>
        <x:v>0</x:v>
      </x:c>
      <x:c r="J6" s="1" t="n">
        <x:f>IF(AND(I6=1,F6&lt;Reporting!$B$4),1,0)</x:f>
        <x:v>0</x:v>
      </x:c>
      <x:c r="K6" s="1" t="n">
        <x:f>IF(F6&lt;Reporting!$B$4,1,0)</x:f>
        <x:v>1</x:v>
      </x:c>
      <x:c r="L6" s="1" t="n">
        <x:f>IF(AND(K6=1,G6&lt;&gt;"",G6&lt;=F6),1,0)</x:f>
        <x:v>0</x:v>
      </x:c>
      <x:c r="M6" s="1" t="n">
        <x:f>IF(AND(G6&lt;&gt;"",G6&lt;Reporting!$B$4),1,0)</x:f>
        <x:v>1</x:v>
      </x:c>
      <x:c r="N6" s="16" t="n">
        <x:f>IF(M6=1,G6-E6,"")</x:f>
        <x:v>17</x:v>
      </x:c>
      <x:c r="O6" s="1" t="str">
        <x:f>IF(E6&gt;=Reporting!$B$4,"Outside cutoff",IF(M6=1,"Closed",IF(J6=1,"Overdue","Open - within SLA")))</x:f>
        <x:v>Closed</x:v>
      </x:c>
      <x:c r="P6" s="1"/>
    </x:row>
    <x:row r="7" ht="23" customHeight="1">
      <x:c r="A7" s="14" t="str">
        <x:v>CASE-00002</x:v>
      </x:c>
      <x:c r="B7" s="14" t="str">
        <x:v>Installation</x:v>
      </x:c>
      <x:c r="C7" s="14" t="str">
        <x:v>Record mismatch</x:v>
      </x:c>
      <x:c r="D7" s="14" t="str">
        <x:v>Medium</x:v>
      </x:c>
      <x:c r="E7" s="15" t="n">
        <x:v>46230.583333333336</x:v>
      </x:c>
      <x:c r="F7" s="15" t="n">
        <x:v>46237.583333333336</x:v>
      </x:c>
      <x:c r="G7" s="15" t="n">
        <x:v>46242.583333333336</x:v>
      </x:c>
      <x:c r="H7" s="14" t="n">
        <x:v>3</x:v>
      </x:c>
      <x:c r="I7" s="1" t="n">
        <x:f>IF(AND(E7&lt;Reporting!$B$4,OR(G7="",G7&gt;=Reporting!$B$4)),1,0)</x:f>
        <x:v>0</x:v>
      </x:c>
      <x:c r="J7" s="1" t="n">
        <x:f>IF(AND(I7=1,F7&lt;Reporting!$B$4),1,0)</x:f>
        <x:v>0</x:v>
      </x:c>
      <x:c r="K7" s="1" t="n">
        <x:f>IF(F7&lt;Reporting!$B$4,1,0)</x:f>
        <x:v>1</x:v>
      </x:c>
      <x:c r="L7" s="1" t="n">
        <x:f>IF(AND(K7=1,G7&lt;&gt;"",G7&lt;=F7),1,0)</x:f>
        <x:v>0</x:v>
      </x:c>
      <x:c r="M7" s="1" t="n">
        <x:f>IF(AND(G7&lt;&gt;"",G7&lt;Reporting!$B$4),1,0)</x:f>
        <x:v>1</x:v>
      </x:c>
      <x:c r="N7" s="16" t="n">
        <x:f>IF(M7=1,G7-E7,"")</x:f>
        <x:v>12</x:v>
      </x:c>
      <x:c r="O7" s="1" t="str">
        <x:f>IF(E7&gt;=Reporting!$B$4,"Outside cutoff",IF(M7=1,"Closed",IF(J7=1,"Overdue","Open - within SLA")))</x:f>
        <x:v>Closed</x:v>
      </x:c>
      <x:c r="P7" s="1"/>
    </x:row>
    <x:row r="8" ht="23" customHeight="1">
      <x:c r="A8" s="14" t="str">
        <x:v>CASE-00003</x:v>
      </x:c>
      <x:c r="B8" s="14" t="str">
        <x:v>Customer Services</x:v>
      </x:c>
      <x:c r="C8" s="14" t="str">
        <x:v>Record mismatch</x:v>
      </x:c>
      <x:c r="D8" s="14" t="str">
        <x:v>High</x:v>
      </x:c>
      <x:c r="E8" s="15" t="n">
        <x:v>46230.5</x:v>
      </x:c>
      <x:c r="F8" s="15" t="n">
        <x:v>46233.5</x:v>
      </x:c>
      <x:c r="G8" s="15" t="n">
        <x:v>46233.5</x:v>
      </x:c>
      <x:c r="H8" s="14" t="n">
        <x:v>1</x:v>
      </x:c>
      <x:c r="I8" s="1" t="n">
        <x:f>IF(AND(E8&lt;Reporting!$B$4,OR(G8="",G8&gt;=Reporting!$B$4)),1,0)</x:f>
        <x:v>0</x:v>
      </x:c>
      <x:c r="J8" s="1" t="n">
        <x:f>IF(AND(I8=1,F8&lt;Reporting!$B$4),1,0)</x:f>
        <x:v>0</x:v>
      </x:c>
      <x:c r="K8" s="1" t="n">
        <x:f>IF(F8&lt;Reporting!$B$4,1,0)</x:f>
        <x:v>1</x:v>
      </x:c>
      <x:c r="L8" s="1" t="n">
        <x:f>IF(AND(K8=1,G8&lt;&gt;"",G8&lt;=F8),1,0)</x:f>
        <x:v>1</x:v>
      </x:c>
      <x:c r="M8" s="1" t="n">
        <x:f>IF(AND(G8&lt;&gt;"",G8&lt;Reporting!$B$4),1,0)</x:f>
        <x:v>1</x:v>
      </x:c>
      <x:c r="N8" s="16" t="n">
        <x:f>IF(M8=1,G8-E8,"")</x:f>
        <x:v>3</x:v>
      </x:c>
      <x:c r="O8" s="1" t="str">
        <x:f>IF(E8&gt;=Reporting!$B$4,"Outside cutoff",IF(M8=1,"Closed",IF(J8=1,"Overdue","Open - within SLA")))</x:f>
        <x:v>Closed</x:v>
      </x:c>
      <x:c r="P8" s="1"/>
    </x:row>
    <x:row r="9" ht="23" customHeight="1">
      <x:c r="A9" s="14" t="str">
        <x:v>CASE-00004</x:v>
      </x:c>
      <x:c r="B9" s="14" t="str">
        <x:v>Customer Services</x:v>
      </x:c>
      <x:c r="C9" s="14" t="str">
        <x:v>Record mismatch</x:v>
      </x:c>
      <x:c r="D9" s="14" t="str">
        <x:v>Low</x:v>
      </x:c>
      <x:c r="E9" s="15" t="n">
        <x:v>46210.625</x:v>
      </x:c>
      <x:c r="F9" s="15" t="n">
        <x:v>46224.625</x:v>
      </x:c>
      <x:c r="G9" s="15" t="n">
        <x:v>46223.625</x:v>
      </x:c>
      <x:c r="H9" s="14" t="n">
        <x:v>1</x:v>
      </x:c>
      <x:c r="I9" s="1" t="n">
        <x:f>IF(AND(E9&lt;Reporting!$B$4,OR(G9="",G9&gt;=Reporting!$B$4)),1,0)</x:f>
        <x:v>0</x:v>
      </x:c>
      <x:c r="J9" s="1" t="n">
        <x:f>IF(AND(I9=1,F9&lt;Reporting!$B$4),1,0)</x:f>
        <x:v>0</x:v>
      </x:c>
      <x:c r="K9" s="1" t="n">
        <x:f>IF(F9&lt;Reporting!$B$4,1,0)</x:f>
        <x:v>1</x:v>
      </x:c>
      <x:c r="L9" s="1" t="n">
        <x:f>IF(AND(K9=1,G9&lt;&gt;"",G9&lt;=F9),1,0)</x:f>
        <x:v>1</x:v>
      </x:c>
      <x:c r="M9" s="1" t="n">
        <x:f>IF(AND(G9&lt;&gt;"",G9&lt;Reporting!$B$4),1,0)</x:f>
        <x:v>1</x:v>
      </x:c>
      <x:c r="N9" s="16" t="n">
        <x:f>IF(M9=1,G9-E9,"")</x:f>
        <x:v>13</x:v>
      </x:c>
      <x:c r="O9" s="1" t="str">
        <x:f>IF(E9&gt;=Reporting!$B$4,"Outside cutoff",IF(M9=1,"Closed",IF(J9=1,"Overdue","Open - within SLA")))</x:f>
        <x:v>Closed</x:v>
      </x:c>
      <x:c r="P9" s="1"/>
    </x:row>
    <x:row r="10" ht="23" customHeight="1">
      <x:c r="A10" s="14" t="str">
        <x:v>CASE-00005</x:v>
      </x:c>
      <x:c r="B10" s="14" t="str">
        <x:v>Installation</x:v>
      </x:c>
      <x:c r="C10" s="14" t="str">
        <x:v>Late review</x:v>
      </x:c>
      <x:c r="D10" s="14" t="str">
        <x:v>High</x:v>
      </x:c>
      <x:c r="E10" s="15" t="n">
        <x:v>46245.666666666664</x:v>
      </x:c>
      <x:c r="F10" s="15" t="n">
        <x:v>46248.666666666664</x:v>
      </x:c>
      <x:c r="G10" s="15" t="n">
        <x:v>46257.666666666664</x:v>
      </x:c>
      <x:c r="H10" s="14" t="n">
        <x:v>3</x:v>
      </x:c>
      <x:c r="I10" s="1" t="n">
        <x:f>IF(AND(E10&lt;Reporting!$B$4,OR(G10="",G10&gt;=Reporting!$B$4)),1,0)</x:f>
        <x:v>0</x:v>
      </x:c>
      <x:c r="J10" s="1" t="n">
        <x:f>IF(AND(I10=1,F10&lt;Reporting!$B$4),1,0)</x:f>
        <x:v>0</x:v>
      </x:c>
      <x:c r="K10" s="1" t="n">
        <x:f>IF(F10&lt;Reporting!$B$4,1,0)</x:f>
        <x:v>1</x:v>
      </x:c>
      <x:c r="L10" s="1" t="n">
        <x:f>IF(AND(K10=1,G10&lt;&gt;"",G10&lt;=F10),1,0)</x:f>
        <x:v>0</x:v>
      </x:c>
      <x:c r="M10" s="1" t="n">
        <x:f>IF(AND(G10&lt;&gt;"",G10&lt;Reporting!$B$4),1,0)</x:f>
        <x:v>1</x:v>
      </x:c>
      <x:c r="N10" s="16" t="n">
        <x:f>IF(M10=1,G10-E10,"")</x:f>
        <x:v>12</x:v>
      </x:c>
      <x:c r="O10" s="1" t="str">
        <x:f>IF(E10&gt;=Reporting!$B$4,"Outside cutoff",IF(M10=1,"Closed",IF(J10=1,"Overdue","Open - within SLA")))</x:f>
        <x:v>Closed</x:v>
      </x:c>
      <x:c r="P10" s="1"/>
    </x:row>
    <x:row r="11" ht="23" customHeight="1">
      <x:c r="A11" s="14" t="str">
        <x:v>CASE-00006</x:v>
      </x:c>
      <x:c r="B11" s="14" t="str">
        <x:v>Customer Services</x:v>
      </x:c>
      <x:c r="C11" s="14" t="str">
        <x:v>Process deviation</x:v>
      </x:c>
      <x:c r="D11" s="14" t="str">
        <x:v>Medium</x:v>
      </x:c>
      <x:c r="E11" s="15" t="n">
        <x:v>46223.416666666664</x:v>
      </x:c>
      <x:c r="F11" s="15" t="n">
        <x:v>46230.416666666664</x:v>
      </x:c>
      <x:c r="G11" s="15" t="n">
        <x:v>46240.5</x:v>
      </x:c>
      <x:c r="H11" s="14" t="n">
        <x:v>1</x:v>
      </x:c>
      <x:c r="I11" s="1" t="n">
        <x:f>IF(AND(E11&lt;Reporting!$B$4,OR(G11="",G11&gt;=Reporting!$B$4)),1,0)</x:f>
        <x:v>0</x:v>
      </x:c>
      <x:c r="J11" s="1" t="n">
        <x:f>IF(AND(I11=1,F11&lt;Reporting!$B$4),1,0)</x:f>
        <x:v>0</x:v>
      </x:c>
      <x:c r="K11" s="1" t="n">
        <x:f>IF(F11&lt;Reporting!$B$4,1,0)</x:f>
        <x:v>1</x:v>
      </x:c>
      <x:c r="L11" s="1" t="n">
        <x:f>IF(AND(K11=1,G11&lt;&gt;"",G11&lt;=F11),1,0)</x:f>
        <x:v>0</x:v>
      </x:c>
      <x:c r="M11" s="1" t="n">
        <x:f>IF(AND(G11&lt;&gt;"",G11&lt;Reporting!$B$4),1,0)</x:f>
        <x:v>1</x:v>
      </x:c>
      <x:c r="N11" s="16" t="n">
        <x:f>IF(M11=1,G11-E11,"")</x:f>
        <x:v>17.08333333333576</x:v>
      </x:c>
      <x:c r="O11" s="1" t="str">
        <x:f>IF(E11&gt;=Reporting!$B$4,"Outside cutoff",IF(M11=1,"Closed",IF(J11=1,"Overdue","Open - within SLA")))</x:f>
        <x:v>Closed</x:v>
      </x:c>
      <x:c r="P11" s="1"/>
    </x:row>
    <x:row r="12" ht="23" customHeight="1">
      <x:c r="A12" s="14" t="str">
        <x:v>CASE-00007</x:v>
      </x:c>
      <x:c r="B12" s="14" t="str">
        <x:v>Customer Services</x:v>
      </x:c>
      <x:c r="C12" s="14" t="str">
        <x:v>Late review</x:v>
      </x:c>
      <x:c r="D12" s="14" t="str">
        <x:v>Medium</x:v>
      </x:c>
      <x:c r="E12" s="15" t="n">
        <x:v>46227.458333333336</x:v>
      </x:c>
      <x:c r="F12" s="15" t="n">
        <x:v>46234.458333333336</x:v>
      </x:c>
      <x:c r="G12" s="15" t="n">
        <x:v>46232.458333333336</x:v>
      </x:c>
      <x:c r="H12" s="14" t="n">
        <x:v>1</x:v>
      </x:c>
      <x:c r="I12" s="1" t="n">
        <x:f>IF(AND(E12&lt;Reporting!$B$4,OR(G12="",G12&gt;=Reporting!$B$4)),1,0)</x:f>
        <x:v>0</x:v>
      </x:c>
      <x:c r="J12" s="1" t="n">
        <x:f>IF(AND(I12=1,F12&lt;Reporting!$B$4),1,0)</x:f>
        <x:v>0</x:v>
      </x:c>
      <x:c r="K12" s="1" t="n">
        <x:f>IF(F12&lt;Reporting!$B$4,1,0)</x:f>
        <x:v>1</x:v>
      </x:c>
      <x:c r="L12" s="1" t="n">
        <x:f>IF(AND(K12=1,G12&lt;&gt;"",G12&lt;=F12),1,0)</x:f>
        <x:v>1</x:v>
      </x:c>
      <x:c r="M12" s="1" t="n">
        <x:f>IF(AND(G12&lt;&gt;"",G12&lt;Reporting!$B$4),1,0)</x:f>
        <x:v>1</x:v>
      </x:c>
      <x:c r="N12" s="16" t="n">
        <x:f>IF(M12=1,G12-E12,"")</x:f>
        <x:v>5</x:v>
      </x:c>
      <x:c r="O12" s="1" t="str">
        <x:f>IF(E12&gt;=Reporting!$B$4,"Outside cutoff",IF(M12=1,"Closed",IF(J12=1,"Overdue","Open - within SLA")))</x:f>
        <x:v>Closed</x:v>
      </x:c>
      <x:c r="P12" s="1"/>
    </x:row>
    <x:row r="13" ht="23" customHeight="1">
      <x:c r="A13" s="14" t="str">
        <x:v>CASE-00008</x:v>
      </x:c>
      <x:c r="B13" s="14" t="str">
        <x:v>Warehouse</x:v>
      </x:c>
      <x:c r="C13" s="14" t="str">
        <x:v>Process deviation</x:v>
      </x:c>
      <x:c r="D13" s="14" t="str">
        <x:v>Medium</x:v>
      </x:c>
      <x:c r="E13" s="15" t="n">
        <x:v>46254.541666666664</x:v>
      </x:c>
      <x:c r="F13" s="15" t="n">
        <x:v>46261.541666666664</x:v>
      </x:c>
      <x:c r="G13" s="15" t="n">
        <x:v>46276.625</x:v>
      </x:c>
      <x:c r="H13" s="14" t="n">
        <x:v>2</x:v>
      </x:c>
      <x:c r="I13" s="1" t="n">
        <x:f>IF(AND(E13&lt;Reporting!$B$4,OR(G13="",G13&gt;=Reporting!$B$4)),1,0)</x:f>
        <x:v>0</x:v>
      </x:c>
      <x:c r="J13" s="1" t="n">
        <x:f>IF(AND(I13=1,F13&lt;Reporting!$B$4),1,0)</x:f>
        <x:v>0</x:v>
      </x:c>
      <x:c r="K13" s="1" t="n">
        <x:f>IF(F13&lt;Reporting!$B$4,1,0)</x:f>
        <x:v>1</x:v>
      </x:c>
      <x:c r="L13" s="1" t="n">
        <x:f>IF(AND(K13=1,G13&lt;&gt;"",G13&lt;=F13),1,0)</x:f>
        <x:v>0</x:v>
      </x:c>
      <x:c r="M13" s="1" t="n">
        <x:f>IF(AND(G13&lt;&gt;"",G13&lt;Reporting!$B$4),1,0)</x:f>
        <x:v>1</x:v>
      </x:c>
      <x:c r="N13" s="16" t="n">
        <x:f>IF(M13=1,G13-E13,"")</x:f>
        <x:v>22.08333333333576</x:v>
      </x:c>
      <x:c r="O13" s="1" t="str">
        <x:f>IF(E13&gt;=Reporting!$B$4,"Outside cutoff",IF(M13=1,"Closed",IF(J13=1,"Overdue","Open - within SLA")))</x:f>
        <x:v>Closed</x:v>
      </x:c>
      <x:c r="P13" s="1"/>
    </x:row>
    <x:row r="14" ht="23" customHeight="1">
      <x:c r="A14" s="14" t="str">
        <x:v>CASE-00009</x:v>
      </x:c>
      <x:c r="B14" s="14" t="str">
        <x:v>Installation</x:v>
      </x:c>
      <x:c r="C14" s="14" t="str">
        <x:v>Late review</x:v>
      </x:c>
      <x:c r="D14" s="14" t="str">
        <x:v>Medium</x:v>
      </x:c>
      <x:c r="E14" s="15" t="n">
        <x:v>46233.541666666664</x:v>
      </x:c>
      <x:c r="F14" s="15" t="n">
        <x:v>46240.541666666664</x:v>
      </x:c>
      <x:c r="G14" s="15" t="n">
        <x:v>46247.583333333336</x:v>
      </x:c>
      <x:c r="H14" s="14" t="n">
        <x:v>3</x:v>
      </x:c>
      <x:c r="I14" s="1" t="n">
        <x:f>IF(AND(E14&lt;Reporting!$B$4,OR(G14="",G14&gt;=Reporting!$B$4)),1,0)</x:f>
        <x:v>0</x:v>
      </x:c>
      <x:c r="J14" s="1" t="n">
        <x:f>IF(AND(I14=1,F14&lt;Reporting!$B$4),1,0)</x:f>
        <x:v>0</x:v>
      </x:c>
      <x:c r="K14" s="1" t="n">
        <x:f>IF(F14&lt;Reporting!$B$4,1,0)</x:f>
        <x:v>1</x:v>
      </x:c>
      <x:c r="L14" s="1" t="n">
        <x:f>IF(AND(K14=1,G14&lt;&gt;"",G14&lt;=F14),1,0)</x:f>
        <x:v>0</x:v>
      </x:c>
      <x:c r="M14" s="1" t="n">
        <x:f>IF(AND(G14&lt;&gt;"",G14&lt;Reporting!$B$4),1,0)</x:f>
        <x:v>1</x:v>
      </x:c>
      <x:c r="N14" s="16" t="n">
        <x:f>IF(M14=1,G14-E14,"")</x:f>
        <x:v>14.041666666671517</x:v>
      </x:c>
      <x:c r="O14" s="1" t="str">
        <x:f>IF(E14&gt;=Reporting!$B$4,"Outside cutoff",IF(M14=1,"Closed",IF(J14=1,"Overdue","Open - within SLA")))</x:f>
        <x:v>Closed</x:v>
      </x:c>
      <x:c r="P14" s="1"/>
    </x:row>
    <x:row r="15" ht="23" customHeight="1">
      <x:c r="A15" s="14" t="str">
        <x:v>CASE-00010</x:v>
      </x:c>
      <x:c r="B15" s="14" t="str">
        <x:v>Customer Services</x:v>
      </x:c>
      <x:c r="C15" s="14" t="str">
        <x:v>Record mismatch</x:v>
      </x:c>
      <x:c r="D15" s="14" t="str">
        <x:v>Medium</x:v>
      </x:c>
      <x:c r="E15" s="15" t="n">
        <x:v>46261.541666666664</x:v>
      </x:c>
      <x:c r="F15" s="15" t="n">
        <x:v>46268.541666666664</x:v>
      </x:c>
      <x:c r="G15" s="15"/>
      <x:c r="H15" s="14" t="n">
        <x:v>1</x:v>
      </x:c>
      <x:c r="I15" s="1" t="n">
        <x:f>IF(AND(E15&lt;Reporting!$B$4,OR(G15="",G15&gt;=Reporting!$B$4)),1,0)</x:f>
        <x:v>1</x:v>
      </x:c>
      <x:c r="J15" s="1" t="n">
        <x:f>IF(AND(I15=1,F15&lt;Reporting!$B$4),1,0)</x:f>
        <x:v>1</x:v>
      </x:c>
      <x:c r="K15" s="1" t="n">
        <x:f>IF(F15&lt;Reporting!$B$4,1,0)</x:f>
        <x:v>1</x:v>
      </x:c>
      <x:c r="L15" s="1" t="n">
        <x:f>IF(AND(K15=1,G15&lt;&gt;"",G15&lt;=F15),1,0)</x:f>
        <x:v>0</x:v>
      </x:c>
      <x:c r="M15" s="1" t="n">
        <x:f>IF(AND(G15&lt;&gt;"",G15&lt;Reporting!$B$4),1,0)</x:f>
        <x:v>0</x:v>
      </x:c>
      <x:c r="N15" s="16" t="str">
        <x:f>IF(M15=1,G15-E15,"")</x:f>
      </x:c>
      <x:c r="O15" s="1" t="str">
        <x:f>IF(E15&gt;=Reporting!$B$4,"Outside cutoff",IF(M15=1,"Closed",IF(J15=1,"Overdue","Open - within SLA")))</x:f>
        <x:v>Overdue</x:v>
      </x:c>
      <x:c r="P15" s="1"/>
    </x:row>
    <x:row r="16" ht="23" customHeight="1">
      <x:c r="A16" s="14" t="str">
        <x:v>CASE-00011</x:v>
      </x:c>
      <x:c r="B16" s="14" t="str">
        <x:v>Customer Services</x:v>
      </x:c>
      <x:c r="C16" s="14" t="str">
        <x:v>Process deviation</x:v>
      </x:c>
      <x:c r="D16" s="14" t="str">
        <x:v>High</x:v>
      </x:c>
      <x:c r="E16" s="15" t="n">
        <x:v>46257.5</x:v>
      </x:c>
      <x:c r="F16" s="15" t="n">
        <x:v>46260.5</x:v>
      </x:c>
      <x:c r="G16" s="15" t="n">
        <x:v>46270.541666666664</x:v>
      </x:c>
      <x:c r="H16" s="14" t="n">
        <x:v>1</x:v>
      </x:c>
      <x:c r="I16" s="1" t="n">
        <x:f>IF(AND(E16&lt;Reporting!$B$4,OR(G16="",G16&gt;=Reporting!$B$4)),1,0)</x:f>
        <x:v>0</x:v>
      </x:c>
      <x:c r="J16" s="1" t="n">
        <x:f>IF(AND(I16=1,F16&lt;Reporting!$B$4),1,0)</x:f>
        <x:v>0</x:v>
      </x:c>
      <x:c r="K16" s="1" t="n">
        <x:f>IF(F16&lt;Reporting!$B$4,1,0)</x:f>
        <x:v>1</x:v>
      </x:c>
      <x:c r="L16" s="1" t="n">
        <x:f>IF(AND(K16=1,G16&lt;&gt;"",G16&lt;=F16),1,0)</x:f>
        <x:v>0</x:v>
      </x:c>
      <x:c r="M16" s="1" t="n">
        <x:f>IF(AND(G16&lt;&gt;"",G16&lt;Reporting!$B$4),1,0)</x:f>
        <x:v>1</x:v>
      </x:c>
      <x:c r="N16" s="16" t="n">
        <x:f>IF(M16=1,G16-E16,"")</x:f>
        <x:v>13.041666666664241</x:v>
      </x:c>
      <x:c r="O16" s="1" t="str">
        <x:f>IF(E16&gt;=Reporting!$B$4,"Outside cutoff",IF(M16=1,"Closed",IF(J16=1,"Overdue","Open - within SLA")))</x:f>
        <x:v>Closed</x:v>
      </x:c>
      <x:c r="P16" s="1"/>
    </x:row>
    <x:row r="17" ht="23" customHeight="1">
      <x:c r="A17" s="14" t="str">
        <x:v>CASE-00012</x:v>
      </x:c>
      <x:c r="B17" s="14" t="str">
        <x:v>Warehouse</x:v>
      </x:c>
      <x:c r="C17" s="14" t="str">
        <x:v>Record mismatch</x:v>
      </x:c>
      <x:c r="D17" s="14" t="str">
        <x:v>Medium</x:v>
      </x:c>
      <x:c r="E17" s="15" t="n">
        <x:v>46247.583333333336</x:v>
      </x:c>
      <x:c r="F17" s="15" t="n">
        <x:v>46254.583333333336</x:v>
      </x:c>
      <x:c r="G17" s="15" t="n">
        <x:v>46274.583333333336</x:v>
      </x:c>
      <x:c r="H17" s="14" t="n">
        <x:v>2</x:v>
      </x:c>
      <x:c r="I17" s="1" t="n">
        <x:f>IF(AND(E17&lt;Reporting!$B$4,OR(G17="",G17&gt;=Reporting!$B$4)),1,0)</x:f>
        <x:v>0</x:v>
      </x:c>
      <x:c r="J17" s="1" t="n">
        <x:f>IF(AND(I17=1,F17&lt;Reporting!$B$4),1,0)</x:f>
        <x:v>0</x:v>
      </x:c>
      <x:c r="K17" s="1" t="n">
        <x:f>IF(F17&lt;Reporting!$B$4,1,0)</x:f>
        <x:v>1</x:v>
      </x:c>
      <x:c r="L17" s="1" t="n">
        <x:f>IF(AND(K17=1,G17&lt;&gt;"",G17&lt;=F17),1,0)</x:f>
        <x:v>0</x:v>
      </x:c>
      <x:c r="M17" s="1" t="n">
        <x:f>IF(AND(G17&lt;&gt;"",G17&lt;Reporting!$B$4),1,0)</x:f>
        <x:v>1</x:v>
      </x:c>
      <x:c r="N17" s="16" t="n">
        <x:f>IF(M17=1,G17-E17,"")</x:f>
        <x:v>27</x:v>
      </x:c>
      <x:c r="O17" s="1" t="str">
        <x:f>IF(E17&gt;=Reporting!$B$4,"Outside cutoff",IF(M17=1,"Closed",IF(J17=1,"Overdue","Open - within SLA")))</x:f>
        <x:v>Closed</x:v>
      </x:c>
      <x:c r="P17" s="1"/>
    </x:row>
    <x:row r="18" ht="23" customHeight="1">
      <x:c r="A18" s="14" t="str">
        <x:v>CASE-00013</x:v>
      </x:c>
      <x:c r="B18" s="14" t="str">
        <x:v>Customer Services</x:v>
      </x:c>
      <x:c r="C18" s="14" t="str">
        <x:v>Late review</x:v>
      </x:c>
      <x:c r="D18" s="14" t="str">
        <x:v>Medium</x:v>
      </x:c>
      <x:c r="E18" s="15" t="n">
        <x:v>46242.416666666664</x:v>
      </x:c>
      <x:c r="F18" s="15" t="n">
        <x:v>46249.416666666664</x:v>
      </x:c>
      <x:c r="G18" s="15" t="n">
        <x:v>46258.416666666664</x:v>
      </x:c>
      <x:c r="H18" s="14" t="n">
        <x:v>1</x:v>
      </x:c>
      <x:c r="I18" s="1" t="n">
        <x:f>IF(AND(E18&lt;Reporting!$B$4,OR(G18="",G18&gt;=Reporting!$B$4)),1,0)</x:f>
        <x:v>0</x:v>
      </x:c>
      <x:c r="J18" s="1" t="n">
        <x:f>IF(AND(I18=1,F18&lt;Reporting!$B$4),1,0)</x:f>
        <x:v>0</x:v>
      </x:c>
      <x:c r="K18" s="1" t="n">
        <x:f>IF(F18&lt;Reporting!$B$4,1,0)</x:f>
        <x:v>1</x:v>
      </x:c>
      <x:c r="L18" s="1" t="n">
        <x:f>IF(AND(K18=1,G18&lt;&gt;"",G18&lt;=F18),1,0)</x:f>
        <x:v>0</x:v>
      </x:c>
      <x:c r="M18" s="1" t="n">
        <x:f>IF(AND(G18&lt;&gt;"",G18&lt;Reporting!$B$4),1,0)</x:f>
        <x:v>1</x:v>
      </x:c>
      <x:c r="N18" s="16" t="n">
        <x:f>IF(M18=1,G18-E18,"")</x:f>
        <x:v>16</x:v>
      </x:c>
      <x:c r="O18" s="1" t="str">
        <x:f>IF(E18&gt;=Reporting!$B$4,"Outside cutoff",IF(M18=1,"Closed",IF(J18=1,"Overdue","Open - within SLA")))</x:f>
        <x:v>Closed</x:v>
      </x:c>
      <x:c r="P18" s="1"/>
    </x:row>
    <x:row r="19" ht="23" customHeight="1">
      <x:c r="A19" s="14" t="str">
        <x:v>CASE-00014</x:v>
      </x:c>
      <x:c r="B19" s="14" t="str">
        <x:v>Customer Services</x:v>
      </x:c>
      <x:c r="C19" s="14" t="str">
        <x:v>Record mismatch</x:v>
      </x:c>
      <x:c r="D19" s="14" t="str">
        <x:v>Medium</x:v>
      </x:c>
      <x:c r="E19" s="15" t="n">
        <x:v>46220.541666666664</x:v>
      </x:c>
      <x:c r="F19" s="15" t="n">
        <x:v>46227.541666666664</x:v>
      </x:c>
      <x:c r="G19" s="15" t="n">
        <x:v>46236.541666666664</x:v>
      </x:c>
      <x:c r="H19" s="14" t="n">
        <x:v>1</x:v>
      </x:c>
      <x:c r="I19" s="1" t="n">
        <x:f>IF(AND(E19&lt;Reporting!$B$4,OR(G19="",G19&gt;=Reporting!$B$4)),1,0)</x:f>
        <x:v>0</x:v>
      </x:c>
      <x:c r="J19" s="1" t="n">
        <x:f>IF(AND(I19=1,F19&lt;Reporting!$B$4),1,0)</x:f>
        <x:v>0</x:v>
      </x:c>
      <x:c r="K19" s="1" t="n">
        <x:f>IF(F19&lt;Reporting!$B$4,1,0)</x:f>
        <x:v>1</x:v>
      </x:c>
      <x:c r="L19" s="1" t="n">
        <x:f>IF(AND(K19=1,G19&lt;&gt;"",G19&lt;=F19),1,0)</x:f>
        <x:v>0</x:v>
      </x:c>
      <x:c r="M19" s="1" t="n">
        <x:f>IF(AND(G19&lt;&gt;"",G19&lt;Reporting!$B$4),1,0)</x:f>
        <x:v>1</x:v>
      </x:c>
      <x:c r="N19" s="16" t="n">
        <x:f>IF(M19=1,G19-E19,"")</x:f>
        <x:v>16</x:v>
      </x:c>
      <x:c r="O19" s="1" t="str">
        <x:f>IF(E19&gt;=Reporting!$B$4,"Outside cutoff",IF(M19=1,"Closed",IF(J19=1,"Overdue","Open - within SLA")))</x:f>
        <x:v>Closed</x:v>
      </x:c>
      <x:c r="P19" s="1"/>
    </x:row>
    <x:row r="20" ht="23" customHeight="1">
      <x:c r="A20" s="14" t="str">
        <x:v>CASE-00015</x:v>
      </x:c>
      <x:c r="B20" s="14" t="str">
        <x:v>Customer Services</x:v>
      </x:c>
      <x:c r="C20" s="14" t="str">
        <x:v>Record mismatch</x:v>
      </x:c>
      <x:c r="D20" s="14" t="str">
        <x:v>Low</x:v>
      </x:c>
      <x:c r="E20" s="15" t="n">
        <x:v>46239.375</x:v>
      </x:c>
      <x:c r="F20" s="15" t="n">
        <x:v>46253.375</x:v>
      </x:c>
      <x:c r="G20" s="15" t="n">
        <x:v>46241.375</x:v>
      </x:c>
      <x:c r="H20" s="14" t="n">
        <x:v>1</x:v>
      </x:c>
      <x:c r="I20" s="1" t="n">
        <x:f>IF(AND(E20&lt;Reporting!$B$4,OR(G20="",G20&gt;=Reporting!$B$4)),1,0)</x:f>
        <x:v>0</x:v>
      </x:c>
      <x:c r="J20" s="1" t="n">
        <x:f>IF(AND(I20=1,F20&lt;Reporting!$B$4),1,0)</x:f>
        <x:v>0</x:v>
      </x:c>
      <x:c r="K20" s="1" t="n">
        <x:f>IF(F20&lt;Reporting!$B$4,1,0)</x:f>
        <x:v>1</x:v>
      </x:c>
      <x:c r="L20" s="1" t="n">
        <x:f>IF(AND(K20=1,G20&lt;&gt;"",G20&lt;=F20),1,0)</x:f>
        <x:v>1</x:v>
      </x:c>
      <x:c r="M20" s="1" t="n">
        <x:f>IF(AND(G20&lt;&gt;"",G20&lt;Reporting!$B$4),1,0)</x:f>
        <x:v>1</x:v>
      </x:c>
      <x:c r="N20" s="16" t="n">
        <x:f>IF(M20=1,G20-E20,"")</x:f>
        <x:v>2</x:v>
      </x:c>
      <x:c r="O20" s="1" t="str">
        <x:f>IF(E20&gt;=Reporting!$B$4,"Outside cutoff",IF(M20=1,"Closed",IF(J20=1,"Overdue","Open - within SLA")))</x:f>
        <x:v>Closed</x:v>
      </x:c>
      <x:c r="P20" s="1"/>
    </x:row>
    <x:row r="21" ht="23" customHeight="1">
      <x:c r="A21" s="14" t="str">
        <x:v>CASE-00016</x:v>
      </x:c>
      <x:c r="B21" s="14" t="str">
        <x:v>Customer Services</x:v>
      </x:c>
      <x:c r="C21" s="14" t="str">
        <x:v>Missing evidence</x:v>
      </x:c>
      <x:c r="D21" s="14" t="str">
        <x:v>Medium</x:v>
      </x:c>
      <x:c r="E21" s="15" t="n">
        <x:v>46268.375</x:v>
      </x:c>
      <x:c r="F21" s="15" t="n">
        <x:v>46275.375</x:v>
      </x:c>
      <x:c r="G21" s="15" t="n">
        <x:v>46269.416666666664</x:v>
      </x:c>
      <x:c r="H21" s="14" t="n">
        <x:v>1</x:v>
      </x:c>
      <x:c r="I21" s="1" t="n">
        <x:f>IF(AND(E21&lt;Reporting!$B$4,OR(G21="",G21&gt;=Reporting!$B$4)),1,0)</x:f>
        <x:v>0</x:v>
      </x:c>
      <x:c r="J21" s="1" t="n">
        <x:f>IF(AND(I21=1,F21&lt;Reporting!$B$4),1,0)</x:f>
        <x:v>0</x:v>
      </x:c>
      <x:c r="K21" s="1" t="n">
        <x:f>IF(F21&lt;Reporting!$B$4,1,0)</x:f>
        <x:v>1</x:v>
      </x:c>
      <x:c r="L21" s="1" t="n">
        <x:f>IF(AND(K21=1,G21&lt;&gt;"",G21&lt;=F21),1,0)</x:f>
        <x:v>1</x:v>
      </x:c>
      <x:c r="M21" s="1" t="n">
        <x:f>IF(AND(G21&lt;&gt;"",G21&lt;Reporting!$B$4),1,0)</x:f>
        <x:v>1</x:v>
      </x:c>
      <x:c r="N21" s="16" t="n">
        <x:f>IF(M21=1,G21-E21,"")</x:f>
        <x:v>1.0416666666642413</x:v>
      </x:c>
      <x:c r="O21" s="1" t="str">
        <x:f>IF(E21&gt;=Reporting!$B$4,"Outside cutoff",IF(M21=1,"Closed",IF(J21=1,"Overdue","Open - within SLA")))</x:f>
        <x:v>Closed</x:v>
      </x:c>
      <x:c r="P21" s="1"/>
    </x:row>
    <x:row r="22" ht="23" customHeight="1">
      <x:c r="A22" s="14" t="str">
        <x:v>CASE-00017</x:v>
      </x:c>
      <x:c r="B22" s="14" t="str">
        <x:v>Customer Services</x:v>
      </x:c>
      <x:c r="C22" s="14" t="str">
        <x:v>Missing evidence</x:v>
      </x:c>
      <x:c r="D22" s="14" t="str">
        <x:v>Medium</x:v>
      </x:c>
      <x:c r="E22" s="15" t="n">
        <x:v>46229.625</x:v>
      </x:c>
      <x:c r="F22" s="15" t="n">
        <x:v>46236.625</x:v>
      </x:c>
      <x:c r="G22" s="15" t="n">
        <x:v>46237.666666666664</x:v>
      </x:c>
      <x:c r="H22" s="14" t="n">
        <x:v>1</x:v>
      </x:c>
      <x:c r="I22" s="1" t="n">
        <x:f>IF(AND(E22&lt;Reporting!$B$4,OR(G22="",G22&gt;=Reporting!$B$4)),1,0)</x:f>
        <x:v>0</x:v>
      </x:c>
      <x:c r="J22" s="1" t="n">
        <x:f>IF(AND(I22=1,F22&lt;Reporting!$B$4),1,0)</x:f>
        <x:v>0</x:v>
      </x:c>
      <x:c r="K22" s="1" t="n">
        <x:f>IF(F22&lt;Reporting!$B$4,1,0)</x:f>
        <x:v>1</x:v>
      </x:c>
      <x:c r="L22" s="1" t="n">
        <x:f>IF(AND(K22=1,G22&lt;&gt;"",G22&lt;=F22),1,0)</x:f>
        <x:v>0</x:v>
      </x:c>
      <x:c r="M22" s="1" t="n">
        <x:f>IF(AND(G22&lt;&gt;"",G22&lt;Reporting!$B$4),1,0)</x:f>
        <x:v>1</x:v>
      </x:c>
      <x:c r="N22" s="16" t="n">
        <x:f>IF(M22=1,G22-E22,"")</x:f>
        <x:v>8.041666666664241</x:v>
      </x:c>
      <x:c r="O22" s="1" t="str">
        <x:f>IF(E22&gt;=Reporting!$B$4,"Outside cutoff",IF(M22=1,"Closed",IF(J22=1,"Overdue","Open - within SLA")))</x:f>
        <x:v>Closed</x:v>
      </x:c>
      <x:c r="P22" s="1"/>
    </x:row>
    <x:row r="23" ht="23" customHeight="1">
      <x:c r="A23" s="14" t="str">
        <x:v>CASE-00018</x:v>
      </x:c>
      <x:c r="B23" s="14" t="str">
        <x:v>Warehouse</x:v>
      </x:c>
      <x:c r="C23" s="14" t="str">
        <x:v>Record mismatch</x:v>
      </x:c>
      <x:c r="D23" s="14" t="str">
        <x:v>Medium</x:v>
      </x:c>
      <x:c r="E23" s="15" t="n">
        <x:v>46264.625</x:v>
      </x:c>
      <x:c r="F23" s="15" t="n">
        <x:v>46271.625</x:v>
      </x:c>
      <x:c r="G23" s="15" t="n">
        <x:v>46275.666666666664</x:v>
      </x:c>
      <x:c r="H23" s="14" t="n">
        <x:v>2</x:v>
      </x:c>
      <x:c r="I23" s="1" t="n">
        <x:f>IF(AND(E23&lt;Reporting!$B$4,OR(G23="",G23&gt;=Reporting!$B$4)),1,0)</x:f>
        <x:v>0</x:v>
      </x:c>
      <x:c r="J23" s="1" t="n">
        <x:f>IF(AND(I23=1,F23&lt;Reporting!$B$4),1,0)</x:f>
        <x:v>0</x:v>
      </x:c>
      <x:c r="K23" s="1" t="n">
        <x:f>IF(F23&lt;Reporting!$B$4,1,0)</x:f>
        <x:v>1</x:v>
      </x:c>
      <x:c r="L23" s="1" t="n">
        <x:f>IF(AND(K23=1,G23&lt;&gt;"",G23&lt;=F23),1,0)</x:f>
        <x:v>0</x:v>
      </x:c>
      <x:c r="M23" s="1" t="n">
        <x:f>IF(AND(G23&lt;&gt;"",G23&lt;Reporting!$B$4),1,0)</x:f>
        <x:v>1</x:v>
      </x:c>
      <x:c r="N23" s="16" t="n">
        <x:f>IF(M23=1,G23-E23,"")</x:f>
        <x:v>11.041666666664241</x:v>
      </x:c>
      <x:c r="O23" s="1" t="str">
        <x:f>IF(E23&gt;=Reporting!$B$4,"Outside cutoff",IF(M23=1,"Closed",IF(J23=1,"Overdue","Open - within SLA")))</x:f>
        <x:v>Closed</x:v>
      </x:c>
      <x:c r="P23" s="1"/>
    </x:row>
    <x:row r="24" ht="23" customHeight="1">
      <x:c r="A24" s="14" t="str">
        <x:v>CASE-00019</x:v>
      </x:c>
      <x:c r="B24" s="14" t="str">
        <x:v>Warehouse</x:v>
      </x:c>
      <x:c r="C24" s="14" t="str">
        <x:v>Process deviation</x:v>
      </x:c>
      <x:c r="D24" s="14" t="str">
        <x:v>Medium</x:v>
      </x:c>
      <x:c r="E24" s="15" t="n">
        <x:v>46258.583333333336</x:v>
      </x:c>
      <x:c r="F24" s="15" t="n">
        <x:v>46265.583333333336</x:v>
      </x:c>
      <x:c r="G24" s="15" t="n">
        <x:v>46283.583333333336</x:v>
      </x:c>
      <x:c r="H24" s="14" t="n">
        <x:v>2</x:v>
      </x:c>
      <x:c r="I24" s="1" t="n">
        <x:f>IF(AND(E24&lt;Reporting!$B$4,OR(G24="",G24&gt;=Reporting!$B$4)),1,0)</x:f>
        <x:v>0</x:v>
      </x:c>
      <x:c r="J24" s="1" t="n">
        <x:f>IF(AND(I24=1,F24&lt;Reporting!$B$4),1,0)</x:f>
        <x:v>0</x:v>
      </x:c>
      <x:c r="K24" s="1" t="n">
        <x:f>IF(F24&lt;Reporting!$B$4,1,0)</x:f>
        <x:v>1</x:v>
      </x:c>
      <x:c r="L24" s="1" t="n">
        <x:f>IF(AND(K24=1,G24&lt;&gt;"",G24&lt;=F24),1,0)</x:f>
        <x:v>0</x:v>
      </x:c>
      <x:c r="M24" s="1" t="n">
        <x:f>IF(AND(G24&lt;&gt;"",G24&lt;Reporting!$B$4),1,0)</x:f>
        <x:v>1</x:v>
      </x:c>
      <x:c r="N24" s="16" t="n">
        <x:f>IF(M24=1,G24-E24,"")</x:f>
        <x:v>25</x:v>
      </x:c>
      <x:c r="O24" s="1" t="str">
        <x:f>IF(E24&gt;=Reporting!$B$4,"Outside cutoff",IF(M24=1,"Closed",IF(J24=1,"Overdue","Open - within SLA")))</x:f>
        <x:v>Closed</x:v>
      </x:c>
      <x:c r="P24" s="1"/>
    </x:row>
    <x:row r="25" ht="23" customHeight="1">
      <x:c r="A25" s="14" t="str">
        <x:v>CASE-00020</x:v>
      </x:c>
      <x:c r="B25" s="14" t="str">
        <x:v>Warehouse</x:v>
      </x:c>
      <x:c r="C25" s="14" t="str">
        <x:v>Missing evidence</x:v>
      </x:c>
      <x:c r="D25" s="14" t="str">
        <x:v>Low</x:v>
      </x:c>
      <x:c r="E25" s="15" t="n">
        <x:v>46285.375</x:v>
      </x:c>
      <x:c r="F25" s="15" t="n">
        <x:v>46299.375</x:v>
      </x:c>
      <x:c r="G25" s="15"/>
      <x:c r="H25" s="14" t="n">
        <x:v>2</x:v>
      </x:c>
      <x:c r="I25" s="1" t="n">
        <x:f>IF(AND(E25&lt;Reporting!$B$4,OR(G25="",G25&gt;=Reporting!$B$4)),1,0)</x:f>
        <x:v>1</x:v>
      </x:c>
      <x:c r="J25" s="1" t="n">
        <x:f>IF(AND(I25=1,F25&lt;Reporting!$B$4),1,0)</x:f>
        <x:v>0</x:v>
      </x:c>
      <x:c r="K25" s="1" t="n">
        <x:f>IF(F25&lt;Reporting!$B$4,1,0)</x:f>
        <x:v>0</x:v>
      </x:c>
      <x:c r="L25" s="1" t="n">
        <x:f>IF(AND(K25=1,G25&lt;&gt;"",G25&lt;=F25),1,0)</x:f>
        <x:v>0</x:v>
      </x:c>
      <x:c r="M25" s="1" t="n">
        <x:f>IF(AND(G25&lt;&gt;"",G25&lt;Reporting!$B$4),1,0)</x:f>
        <x:v>0</x:v>
      </x:c>
      <x:c r="N25" s="16" t="str">
        <x:f>IF(M25=1,G25-E25,"")</x:f>
      </x:c>
      <x:c r="O25" s="1" t="str">
        <x:f>IF(E25&gt;=Reporting!$B$4,"Outside cutoff",IF(M25=1,"Closed",IF(J25=1,"Overdue","Open - within SLA")))</x:f>
        <x:v>Open - within SLA</x:v>
      </x:c>
      <x:c r="P25" s="1"/>
    </x:row>
    <x:row r="26" ht="23" customHeight="1">
      <x:c r="A26" s="14" t="str">
        <x:v>CASE-00021</x:v>
      </x:c>
      <x:c r="B26" s="14" t="str">
        <x:v>Installation</x:v>
      </x:c>
      <x:c r="C26" s="14" t="str">
        <x:v>Process deviation</x:v>
      </x:c>
      <x:c r="D26" s="14" t="str">
        <x:v>Medium</x:v>
      </x:c>
      <x:c r="E26" s="15" t="n">
        <x:v>46250.458333333336</x:v>
      </x:c>
      <x:c r="F26" s="15" t="n">
        <x:v>46257.458333333336</x:v>
      </x:c>
      <x:c r="G26" s="15" t="n">
        <x:v>46256.541666666664</x:v>
      </x:c>
      <x:c r="H26" s="14" t="n">
        <x:v>3</x:v>
      </x:c>
      <x:c r="I26" s="1" t="n">
        <x:f>IF(AND(E26&lt;Reporting!$B$4,OR(G26="",G26&gt;=Reporting!$B$4)),1,0)</x:f>
        <x:v>0</x:v>
      </x:c>
      <x:c r="J26" s="1" t="n">
        <x:f>IF(AND(I26=1,F26&lt;Reporting!$B$4),1,0)</x:f>
        <x:v>0</x:v>
      </x:c>
      <x:c r="K26" s="1" t="n">
        <x:f>IF(F26&lt;Reporting!$B$4,1,0)</x:f>
        <x:v>1</x:v>
      </x:c>
      <x:c r="L26" s="1" t="n">
        <x:f>IF(AND(K26=1,G26&lt;&gt;"",G26&lt;=F26),1,0)</x:f>
        <x:v>1</x:v>
      </x:c>
      <x:c r="M26" s="1" t="n">
        <x:f>IF(AND(G26&lt;&gt;"",G26&lt;Reporting!$B$4),1,0)</x:f>
        <x:v>1</x:v>
      </x:c>
      <x:c r="N26" s="16" t="n">
        <x:f>IF(M26=1,G26-E26,"")</x:f>
        <x:v>6.083333333328483</x:v>
      </x:c>
      <x:c r="O26" s="1" t="str">
        <x:f>IF(E26&gt;=Reporting!$B$4,"Outside cutoff",IF(M26=1,"Closed",IF(J26=1,"Overdue","Open - within SLA")))</x:f>
        <x:v>Closed</x:v>
      </x:c>
      <x:c r="P26" s="1"/>
    </x:row>
    <x:row r="27" ht="23" customHeight="1">
      <x:c r="A27" s="14" t="str">
        <x:v>CASE-00022</x:v>
      </x:c>
      <x:c r="B27" s="14" t="str">
        <x:v>Customer Services</x:v>
      </x:c>
      <x:c r="C27" s="14" t="str">
        <x:v>Late review</x:v>
      </x:c>
      <x:c r="D27" s="14" t="str">
        <x:v>Medium</x:v>
      </x:c>
      <x:c r="E27" s="15" t="n">
        <x:v>46218.416666666664</x:v>
      </x:c>
      <x:c r="F27" s="15" t="n">
        <x:v>46225.416666666664</x:v>
      </x:c>
      <x:c r="G27" s="15" t="n">
        <x:v>46223.458333333336</x:v>
      </x:c>
      <x:c r="H27" s="14" t="n">
        <x:v>1</x:v>
      </x:c>
      <x:c r="I27" s="1" t="n">
        <x:f>IF(AND(E27&lt;Reporting!$B$4,OR(G27="",G27&gt;=Reporting!$B$4)),1,0)</x:f>
        <x:v>0</x:v>
      </x:c>
      <x:c r="J27" s="1" t="n">
        <x:f>IF(AND(I27=1,F27&lt;Reporting!$B$4),1,0)</x:f>
        <x:v>0</x:v>
      </x:c>
      <x:c r="K27" s="1" t="n">
        <x:f>IF(F27&lt;Reporting!$B$4,1,0)</x:f>
        <x:v>1</x:v>
      </x:c>
      <x:c r="L27" s="1" t="n">
        <x:f>IF(AND(K27=1,G27&lt;&gt;"",G27&lt;=F27),1,0)</x:f>
        <x:v>1</x:v>
      </x:c>
      <x:c r="M27" s="1" t="n">
        <x:f>IF(AND(G27&lt;&gt;"",G27&lt;Reporting!$B$4),1,0)</x:f>
        <x:v>1</x:v>
      </x:c>
      <x:c r="N27" s="16" t="n">
        <x:f>IF(M27=1,G27-E27,"")</x:f>
        <x:v>5.041666666671517</x:v>
      </x:c>
      <x:c r="O27" s="1" t="str">
        <x:f>IF(E27&gt;=Reporting!$B$4,"Outside cutoff",IF(M27=1,"Closed",IF(J27=1,"Overdue","Open - within SLA")))</x:f>
        <x:v>Closed</x:v>
      </x:c>
      <x:c r="P27" s="1"/>
    </x:row>
    <x:row r="28" ht="23" customHeight="1">
      <x:c r="A28" s="14" t="str">
        <x:v>CASE-00023</x:v>
      </x:c>
      <x:c r="B28" s="14" t="str">
        <x:v>Customer Services</x:v>
      </x:c>
      <x:c r="C28" s="14" t="str">
        <x:v>Record mismatch</x:v>
      </x:c>
      <x:c r="D28" s="14" t="str">
        <x:v>Medium</x:v>
      </x:c>
      <x:c r="E28" s="15" t="n">
        <x:v>46235.333333333336</x:v>
      </x:c>
      <x:c r="F28" s="15" t="n">
        <x:v>46242.333333333336</x:v>
      </x:c>
      <x:c r="G28" s="15" t="n">
        <x:v>46251.333333333336</x:v>
      </x:c>
      <x:c r="H28" s="14" t="n">
        <x:v>1</x:v>
      </x:c>
      <x:c r="I28" s="1" t="n">
        <x:f>IF(AND(E28&lt;Reporting!$B$4,OR(G28="",G28&gt;=Reporting!$B$4)),1,0)</x:f>
        <x:v>0</x:v>
      </x:c>
      <x:c r="J28" s="1" t="n">
        <x:f>IF(AND(I28=1,F28&lt;Reporting!$B$4),1,0)</x:f>
        <x:v>0</x:v>
      </x:c>
      <x:c r="K28" s="1" t="n">
        <x:f>IF(F28&lt;Reporting!$B$4,1,0)</x:f>
        <x:v>1</x:v>
      </x:c>
      <x:c r="L28" s="1" t="n">
        <x:f>IF(AND(K28=1,G28&lt;&gt;"",G28&lt;=F28),1,0)</x:f>
        <x:v>0</x:v>
      </x:c>
      <x:c r="M28" s="1" t="n">
        <x:f>IF(AND(G28&lt;&gt;"",G28&lt;Reporting!$B$4),1,0)</x:f>
        <x:v>1</x:v>
      </x:c>
      <x:c r="N28" s="16" t="n">
        <x:f>IF(M28=1,G28-E28,"")</x:f>
        <x:v>16</x:v>
      </x:c>
      <x:c r="O28" s="1" t="str">
        <x:f>IF(E28&gt;=Reporting!$B$4,"Outside cutoff",IF(M28=1,"Closed",IF(J28=1,"Overdue","Open - within SLA")))</x:f>
        <x:v>Closed</x:v>
      </x:c>
      <x:c r="P28" s="1"/>
    </x:row>
    <x:row r="29" ht="23" customHeight="1">
      <x:c r="A29" s="14" t="str">
        <x:v>CASE-00024</x:v>
      </x:c>
      <x:c r="B29" s="14" t="str">
        <x:v>Customer Services</x:v>
      </x:c>
      <x:c r="C29" s="14" t="str">
        <x:v>Missing evidence</x:v>
      </x:c>
      <x:c r="D29" s="14" t="str">
        <x:v>Low</x:v>
      </x:c>
      <x:c r="E29" s="15" t="n">
        <x:v>46275.666666666664</x:v>
      </x:c>
      <x:c r="F29" s="15" t="n">
        <x:v>46289.666666666664</x:v>
      </x:c>
      <x:c r="G29" s="15"/>
      <x:c r="H29" s="14" t="n">
        <x:v>1</x:v>
      </x:c>
      <x:c r="I29" s="1" t="n">
        <x:f>IF(AND(E29&lt;Reporting!$B$4,OR(G29="",G29&gt;=Reporting!$B$4)),1,0)</x:f>
        <x:v>1</x:v>
      </x:c>
      <x:c r="J29" s="1" t="n">
        <x:f>IF(AND(I29=1,F29&lt;Reporting!$B$4),1,0)</x:f>
        <x:v>0</x:v>
      </x:c>
      <x:c r="K29" s="1" t="n">
        <x:f>IF(F29&lt;Reporting!$B$4,1,0)</x:f>
        <x:v>0</x:v>
      </x:c>
      <x:c r="L29" s="1" t="n">
        <x:f>IF(AND(K29=1,G29&lt;&gt;"",G29&lt;=F29),1,0)</x:f>
        <x:v>0</x:v>
      </x:c>
      <x:c r="M29" s="1" t="n">
        <x:f>IF(AND(G29&lt;&gt;"",G29&lt;Reporting!$B$4),1,0)</x:f>
        <x:v>0</x:v>
      </x:c>
      <x:c r="N29" s="16" t="str">
        <x:f>IF(M29=1,G29-E29,"")</x:f>
      </x:c>
      <x:c r="O29" s="1" t="str">
        <x:f>IF(E29&gt;=Reporting!$B$4,"Outside cutoff",IF(M29=1,"Closed",IF(J29=1,"Overdue","Open - within SLA")))</x:f>
        <x:v>Open - within SLA</x:v>
      </x:c>
      <x:c r="P29" s="1"/>
    </x:row>
    <x:row r="30" ht="23" customHeight="1">
      <x:c r="A30" s="14" t="str">
        <x:v>CASE-00025</x:v>
      </x:c>
      <x:c r="B30" s="14" t="str">
        <x:v>Installation</x:v>
      </x:c>
      <x:c r="C30" s="14" t="str">
        <x:v>Missing evidence</x:v>
      </x:c>
      <x:c r="D30" s="14" t="str">
        <x:v>Medium</x:v>
      </x:c>
      <x:c r="E30" s="15" t="n">
        <x:v>46268.375</x:v>
      </x:c>
      <x:c r="F30" s="15" t="n">
        <x:v>46275.375</x:v>
      </x:c>
      <x:c r="G30" s="15" t="n">
        <x:v>46277.375</x:v>
      </x:c>
      <x:c r="H30" s="14" t="n">
        <x:v>3</x:v>
      </x:c>
      <x:c r="I30" s="1" t="n">
        <x:f>IF(AND(E30&lt;Reporting!$B$4,OR(G30="",G30&gt;=Reporting!$B$4)),1,0)</x:f>
        <x:v>0</x:v>
      </x:c>
      <x:c r="J30" s="1" t="n">
        <x:f>IF(AND(I30=1,F30&lt;Reporting!$B$4),1,0)</x:f>
        <x:v>0</x:v>
      </x:c>
      <x:c r="K30" s="1" t="n">
        <x:f>IF(F30&lt;Reporting!$B$4,1,0)</x:f>
        <x:v>1</x:v>
      </x:c>
      <x:c r="L30" s="1" t="n">
        <x:f>IF(AND(K30=1,G30&lt;&gt;"",G30&lt;=F30),1,0)</x:f>
        <x:v>0</x:v>
      </x:c>
      <x:c r="M30" s="1" t="n">
        <x:f>IF(AND(G30&lt;&gt;"",G30&lt;Reporting!$B$4),1,0)</x:f>
        <x:v>1</x:v>
      </x:c>
      <x:c r="N30" s="16" t="n">
        <x:f>IF(M30=1,G30-E30,"")</x:f>
        <x:v>9</x:v>
      </x:c>
      <x:c r="O30" s="1" t="str">
        <x:f>IF(E30&gt;=Reporting!$B$4,"Outside cutoff",IF(M30=1,"Closed",IF(J30=1,"Overdue","Open - within SLA")))</x:f>
        <x:v>Closed</x:v>
      </x:c>
      <x:c r="P30" s="1"/>
    </x:row>
    <x:row r="31" ht="23" customHeight="1">
      <x:c r="A31" s="14" t="str">
        <x:v>CASE-00026</x:v>
      </x:c>
      <x:c r="B31" s="14" t="str">
        <x:v>Customer Services</x:v>
      </x:c>
      <x:c r="C31" s="14" t="str">
        <x:v>Late review</x:v>
      </x:c>
      <x:c r="D31" s="14" t="str">
        <x:v>Medium</x:v>
      </x:c>
      <x:c r="E31" s="15" t="n">
        <x:v>46245.541666666664</x:v>
      </x:c>
      <x:c r="F31" s="15" t="n">
        <x:v>46252.541666666664</x:v>
      </x:c>
      <x:c r="G31" s="15"/>
      <x:c r="H31" s="14" t="n">
        <x:v>1</x:v>
      </x:c>
      <x:c r="I31" s="1" t="n">
        <x:f>IF(AND(E31&lt;Reporting!$B$4,OR(G31="",G31&gt;=Reporting!$B$4)),1,0)</x:f>
        <x:v>1</x:v>
      </x:c>
      <x:c r="J31" s="1" t="n">
        <x:f>IF(AND(I31=1,F31&lt;Reporting!$B$4),1,0)</x:f>
        <x:v>1</x:v>
      </x:c>
      <x:c r="K31" s="1" t="n">
        <x:f>IF(F31&lt;Reporting!$B$4,1,0)</x:f>
        <x:v>1</x:v>
      </x:c>
      <x:c r="L31" s="1" t="n">
        <x:f>IF(AND(K31=1,G31&lt;&gt;"",G31&lt;=F31),1,0)</x:f>
        <x:v>0</x:v>
      </x:c>
      <x:c r="M31" s="1" t="n">
        <x:f>IF(AND(G31&lt;&gt;"",G31&lt;Reporting!$B$4),1,0)</x:f>
        <x:v>0</x:v>
      </x:c>
      <x:c r="N31" s="16" t="str">
        <x:f>IF(M31=1,G31-E31,"")</x:f>
      </x:c>
      <x:c r="O31" s="1" t="str">
        <x:f>IF(E31&gt;=Reporting!$B$4,"Outside cutoff",IF(M31=1,"Closed",IF(J31=1,"Overdue","Open - within SLA")))</x:f>
        <x:v>Overdue</x:v>
      </x:c>
      <x:c r="P31" s="1"/>
    </x:row>
    <x:row r="32" ht="23" customHeight="1">
      <x:c r="A32" s="14" t="str">
        <x:v>CASE-00027</x:v>
      </x:c>
      <x:c r="B32" s="14" t="str">
        <x:v>Customer Services</x:v>
      </x:c>
      <x:c r="C32" s="14" t="str">
        <x:v>Record mismatch</x:v>
      </x:c>
      <x:c r="D32" s="14" t="str">
        <x:v>Medium</x:v>
      </x:c>
      <x:c r="E32" s="15" t="n">
        <x:v>46202.333333333336</x:v>
      </x:c>
      <x:c r="F32" s="15" t="n">
        <x:v>46209.333333333336</x:v>
      </x:c>
      <x:c r="G32" s="15" t="n">
        <x:v>46203.333333333336</x:v>
      </x:c>
      <x:c r="H32" s="14" t="n">
        <x:v>1</x:v>
      </x:c>
      <x:c r="I32" s="1" t="n">
        <x:f>IF(AND(E32&lt;Reporting!$B$4,OR(G32="",G32&gt;=Reporting!$B$4)),1,0)</x:f>
        <x:v>0</x:v>
      </x:c>
      <x:c r="J32" s="1" t="n">
        <x:f>IF(AND(I32=1,F32&lt;Reporting!$B$4),1,0)</x:f>
        <x:v>0</x:v>
      </x:c>
      <x:c r="K32" s="1" t="n">
        <x:f>IF(F32&lt;Reporting!$B$4,1,0)</x:f>
        <x:v>1</x:v>
      </x:c>
      <x:c r="L32" s="1" t="n">
        <x:f>IF(AND(K32=1,G32&lt;&gt;"",G32&lt;=F32),1,0)</x:f>
        <x:v>1</x:v>
      </x:c>
      <x:c r="M32" s="1" t="n">
        <x:f>IF(AND(G32&lt;&gt;"",G32&lt;Reporting!$B$4),1,0)</x:f>
        <x:v>1</x:v>
      </x:c>
      <x:c r="N32" s="16" t="n">
        <x:f>IF(M32=1,G32-E32,"")</x:f>
        <x:v>1</x:v>
      </x:c>
      <x:c r="O32" s="1" t="str">
        <x:f>IF(E32&gt;=Reporting!$B$4,"Outside cutoff",IF(M32=1,"Closed",IF(J32=1,"Overdue","Open - within SLA")))</x:f>
        <x:v>Closed</x:v>
      </x:c>
      <x:c r="P32" s="1"/>
    </x:row>
    <x:row r="33" ht="23" customHeight="1">
      <x:c r="A33" s="14" t="str">
        <x:v>CASE-00028</x:v>
      </x:c>
      <x:c r="B33" s="14" t="str">
        <x:v>Customer Services</x:v>
      </x:c>
      <x:c r="C33" s="14" t="str">
        <x:v>Process deviation</x:v>
      </x:c>
      <x:c r="D33" s="14" t="str">
        <x:v>Low</x:v>
      </x:c>
      <x:c r="E33" s="15" t="n">
        <x:v>46215.333333333336</x:v>
      </x:c>
      <x:c r="F33" s="15" t="n">
        <x:v>46229.333333333336</x:v>
      </x:c>
      <x:c r="G33" s="15" t="n">
        <x:v>46231.416666666664</x:v>
      </x:c>
      <x:c r="H33" s="14" t="n">
        <x:v>1</x:v>
      </x:c>
      <x:c r="I33" s="1" t="n">
        <x:f>IF(AND(E33&lt;Reporting!$B$4,OR(G33="",G33&gt;=Reporting!$B$4)),1,0)</x:f>
        <x:v>0</x:v>
      </x:c>
      <x:c r="J33" s="1" t="n">
        <x:f>IF(AND(I33=1,F33&lt;Reporting!$B$4),1,0)</x:f>
        <x:v>0</x:v>
      </x:c>
      <x:c r="K33" s="1" t="n">
        <x:f>IF(F33&lt;Reporting!$B$4,1,0)</x:f>
        <x:v>1</x:v>
      </x:c>
      <x:c r="L33" s="1" t="n">
        <x:f>IF(AND(K33=1,G33&lt;&gt;"",G33&lt;=F33),1,0)</x:f>
        <x:v>0</x:v>
      </x:c>
      <x:c r="M33" s="1" t="n">
        <x:f>IF(AND(G33&lt;&gt;"",G33&lt;Reporting!$B$4),1,0)</x:f>
        <x:v>1</x:v>
      </x:c>
      <x:c r="N33" s="16" t="n">
        <x:f>IF(M33=1,G33-E33,"")</x:f>
        <x:v>16.083333333328483</x:v>
      </x:c>
      <x:c r="O33" s="1" t="str">
        <x:f>IF(E33&gt;=Reporting!$B$4,"Outside cutoff",IF(M33=1,"Closed",IF(J33=1,"Overdue","Open - within SLA")))</x:f>
        <x:v>Closed</x:v>
      </x:c>
      <x:c r="P33" s="1"/>
    </x:row>
    <x:row r="34" ht="23" customHeight="1">
      <x:c r="A34" s="14" t="str">
        <x:v>CASE-00029</x:v>
      </x:c>
      <x:c r="B34" s="14" t="str">
        <x:v>Installation</x:v>
      </x:c>
      <x:c r="C34" s="14" t="str">
        <x:v>Late review</x:v>
      </x:c>
      <x:c r="D34" s="14" t="str">
        <x:v>Medium</x:v>
      </x:c>
      <x:c r="E34" s="15" t="n">
        <x:v>46273.583333333336</x:v>
      </x:c>
      <x:c r="F34" s="15" t="n">
        <x:v>46280.583333333336</x:v>
      </x:c>
      <x:c r="G34" s="15" t="n">
        <x:v>46280.625</x:v>
      </x:c>
      <x:c r="H34" s="14" t="n">
        <x:v>3</x:v>
      </x:c>
      <x:c r="I34" s="1" t="n">
        <x:f>IF(AND(E34&lt;Reporting!$B$4,OR(G34="",G34&gt;=Reporting!$B$4)),1,0)</x:f>
        <x:v>0</x:v>
      </x:c>
      <x:c r="J34" s="1" t="n">
        <x:f>IF(AND(I34=1,F34&lt;Reporting!$B$4),1,0)</x:f>
        <x:v>0</x:v>
      </x:c>
      <x:c r="K34" s="1" t="n">
        <x:f>IF(F34&lt;Reporting!$B$4,1,0)</x:f>
        <x:v>1</x:v>
      </x:c>
      <x:c r="L34" s="1" t="n">
        <x:f>IF(AND(K34=1,G34&lt;&gt;"",G34&lt;=F34),1,0)</x:f>
        <x:v>0</x:v>
      </x:c>
      <x:c r="M34" s="1" t="n">
        <x:f>IF(AND(G34&lt;&gt;"",G34&lt;Reporting!$B$4),1,0)</x:f>
        <x:v>1</x:v>
      </x:c>
      <x:c r="N34" s="16" t="n">
        <x:f>IF(M34=1,G34-E34,"")</x:f>
        <x:v>7.041666666664241</x:v>
      </x:c>
      <x:c r="O34" s="1" t="str">
        <x:f>IF(E34&gt;=Reporting!$B$4,"Outside cutoff",IF(M34=1,"Closed",IF(J34=1,"Overdue","Open - within SLA")))</x:f>
        <x:v>Closed</x:v>
      </x:c>
      <x:c r="P34" s="1"/>
    </x:row>
    <x:row r="35" ht="23" customHeight="1">
      <x:c r="A35" s="14" t="str">
        <x:v>CASE-00030</x:v>
      </x:c>
      <x:c r="B35" s="14" t="str">
        <x:v>Customer Services</x:v>
      </x:c>
      <x:c r="C35" s="14" t="str">
        <x:v>Late review</x:v>
      </x:c>
      <x:c r="D35" s="14" t="str">
        <x:v>High</x:v>
      </x:c>
      <x:c r="E35" s="15" t="n">
        <x:v>46222.666666666664</x:v>
      </x:c>
      <x:c r="F35" s="15" t="n">
        <x:v>46225.666666666664</x:v>
      </x:c>
      <x:c r="G35" s="15" t="n">
        <x:v>46236.708333333336</x:v>
      </x:c>
      <x:c r="H35" s="14" t="n">
        <x:v>1</x:v>
      </x:c>
      <x:c r="I35" s="1" t="n">
        <x:f>IF(AND(E35&lt;Reporting!$B$4,OR(G35="",G35&gt;=Reporting!$B$4)),1,0)</x:f>
        <x:v>0</x:v>
      </x:c>
      <x:c r="J35" s="1" t="n">
        <x:f>IF(AND(I35=1,F35&lt;Reporting!$B$4),1,0)</x:f>
        <x:v>0</x:v>
      </x:c>
      <x:c r="K35" s="1" t="n">
        <x:f>IF(F35&lt;Reporting!$B$4,1,0)</x:f>
        <x:v>1</x:v>
      </x:c>
      <x:c r="L35" s="1" t="n">
        <x:f>IF(AND(K35=1,G35&lt;&gt;"",G35&lt;=F35),1,0)</x:f>
        <x:v>0</x:v>
      </x:c>
      <x:c r="M35" s="1" t="n">
        <x:f>IF(AND(G35&lt;&gt;"",G35&lt;Reporting!$B$4),1,0)</x:f>
        <x:v>1</x:v>
      </x:c>
      <x:c r="N35" s="16" t="n">
        <x:f>IF(M35=1,G35-E35,"")</x:f>
        <x:v>14.041666666671517</x:v>
      </x:c>
      <x:c r="O35" s="1" t="str">
        <x:f>IF(E35&gt;=Reporting!$B$4,"Outside cutoff",IF(M35=1,"Closed",IF(J35=1,"Overdue","Open - within SLA")))</x:f>
        <x:v>Closed</x:v>
      </x:c>
      <x:c r="P35" s="1"/>
    </x:row>
    <x:row r="36" ht="23" customHeight="1">
      <x:c r="A36" s="14" t="str">
        <x:v>CASE-00031</x:v>
      </x:c>
      <x:c r="B36" s="14" t="str">
        <x:v>Installation</x:v>
      </x:c>
      <x:c r="C36" s="14" t="str">
        <x:v>Late review</x:v>
      </x:c>
      <x:c r="D36" s="14" t="str">
        <x:v>Low</x:v>
      </x:c>
      <x:c r="E36" s="15" t="n">
        <x:v>46282.5</x:v>
      </x:c>
      <x:c r="F36" s="15" t="n">
        <x:v>46296.5</x:v>
      </x:c>
      <x:c r="G36" s="15"/>
      <x:c r="H36" s="14" t="n">
        <x:v>3</x:v>
      </x:c>
      <x:c r="I36" s="1" t="n">
        <x:f>IF(AND(E36&lt;Reporting!$B$4,OR(G36="",G36&gt;=Reporting!$B$4)),1,0)</x:f>
        <x:v>1</x:v>
      </x:c>
      <x:c r="J36" s="1" t="n">
        <x:f>IF(AND(I36=1,F36&lt;Reporting!$B$4),1,0)</x:f>
        <x:v>0</x:v>
      </x:c>
      <x:c r="K36" s="1" t="n">
        <x:f>IF(F36&lt;Reporting!$B$4,1,0)</x:f>
        <x:v>0</x:v>
      </x:c>
      <x:c r="L36" s="1" t="n">
        <x:f>IF(AND(K36=1,G36&lt;&gt;"",G36&lt;=F36),1,0)</x:f>
        <x:v>0</x:v>
      </x:c>
      <x:c r="M36" s="1" t="n">
        <x:f>IF(AND(G36&lt;&gt;"",G36&lt;Reporting!$B$4),1,0)</x:f>
        <x:v>0</x:v>
      </x:c>
      <x:c r="N36" s="16" t="str">
        <x:f>IF(M36=1,G36-E36,"")</x:f>
      </x:c>
      <x:c r="O36" s="1" t="str">
        <x:f>IF(E36&gt;=Reporting!$B$4,"Outside cutoff",IF(M36=1,"Closed",IF(J36=1,"Overdue","Open - within SLA")))</x:f>
        <x:v>Open - within SLA</x:v>
      </x:c>
      <x:c r="P36" s="1"/>
    </x:row>
    <x:row r="37" ht="23" customHeight="1">
      <x:c r="A37" s="14" t="str">
        <x:v>CASE-00032</x:v>
      </x:c>
      <x:c r="B37" s="14" t="str">
        <x:v>Customer Services</x:v>
      </x:c>
      <x:c r="C37" s="14" t="str">
        <x:v>Missing evidence</x:v>
      </x:c>
      <x:c r="D37" s="14" t="str">
        <x:v>Medium</x:v>
      </x:c>
      <x:c r="E37" s="15" t="n">
        <x:v>46221.666666666664</x:v>
      </x:c>
      <x:c r="F37" s="15" t="n">
        <x:v>46228.666666666664</x:v>
      </x:c>
      <x:c r="G37" s="15" t="n">
        <x:v>46225.708333333336</x:v>
      </x:c>
      <x:c r="H37" s="14" t="n">
        <x:v>1</x:v>
      </x:c>
      <x:c r="I37" s="1" t="n">
        <x:f>IF(AND(E37&lt;Reporting!$B$4,OR(G37="",G37&gt;=Reporting!$B$4)),1,0)</x:f>
        <x:v>0</x:v>
      </x:c>
      <x:c r="J37" s="1" t="n">
        <x:f>IF(AND(I37=1,F37&lt;Reporting!$B$4),1,0)</x:f>
        <x:v>0</x:v>
      </x:c>
      <x:c r="K37" s="1" t="n">
        <x:f>IF(F37&lt;Reporting!$B$4,1,0)</x:f>
        <x:v>1</x:v>
      </x:c>
      <x:c r="L37" s="1" t="n">
        <x:f>IF(AND(K37=1,G37&lt;&gt;"",G37&lt;=F37),1,0)</x:f>
        <x:v>1</x:v>
      </x:c>
      <x:c r="M37" s="1" t="n">
        <x:f>IF(AND(G37&lt;&gt;"",G37&lt;Reporting!$B$4),1,0)</x:f>
        <x:v>1</x:v>
      </x:c>
      <x:c r="N37" s="16" t="n">
        <x:f>IF(M37=1,G37-E37,"")</x:f>
        <x:v>4.041666666671517</x:v>
      </x:c>
      <x:c r="O37" s="1" t="str">
        <x:f>IF(E37&gt;=Reporting!$B$4,"Outside cutoff",IF(M37=1,"Closed",IF(J37=1,"Overdue","Open - within SLA")))</x:f>
        <x:v>Closed</x:v>
      </x:c>
      <x:c r="P37" s="1"/>
    </x:row>
    <x:row r="38" ht="23" customHeight="1">
      <x:c r="A38" s="14" t="str">
        <x:v>CASE-00033</x:v>
      </x:c>
      <x:c r="B38" s="14" t="str">
        <x:v>Installation</x:v>
      </x:c>
      <x:c r="C38" s="14" t="str">
        <x:v>Late review</x:v>
      </x:c>
      <x:c r="D38" s="14" t="str">
        <x:v>High</x:v>
      </x:c>
      <x:c r="E38" s="15" t="n">
        <x:v>46222.541666666664</x:v>
      </x:c>
      <x:c r="F38" s="15" t="n">
        <x:v>46225.541666666664</x:v>
      </x:c>
      <x:c r="G38" s="15" t="n">
        <x:v>46237.541666666664</x:v>
      </x:c>
      <x:c r="H38" s="14" t="n">
        <x:v>3</x:v>
      </x:c>
      <x:c r="I38" s="1" t="n">
        <x:f>IF(AND(E38&lt;Reporting!$B$4,OR(G38="",G38&gt;=Reporting!$B$4)),1,0)</x:f>
        <x:v>0</x:v>
      </x:c>
      <x:c r="J38" s="1" t="n">
        <x:f>IF(AND(I38=1,F38&lt;Reporting!$B$4),1,0)</x:f>
        <x:v>0</x:v>
      </x:c>
      <x:c r="K38" s="1" t="n">
        <x:f>IF(F38&lt;Reporting!$B$4,1,0)</x:f>
        <x:v>1</x:v>
      </x:c>
      <x:c r="L38" s="1" t="n">
        <x:f>IF(AND(K38=1,G38&lt;&gt;"",G38&lt;=F38),1,0)</x:f>
        <x:v>0</x:v>
      </x:c>
      <x:c r="M38" s="1" t="n">
        <x:f>IF(AND(G38&lt;&gt;"",G38&lt;Reporting!$B$4),1,0)</x:f>
        <x:v>1</x:v>
      </x:c>
      <x:c r="N38" s="16" t="n">
        <x:f>IF(M38=1,G38-E38,"")</x:f>
        <x:v>15</x:v>
      </x:c>
      <x:c r="O38" s="1" t="str">
        <x:f>IF(E38&gt;=Reporting!$B$4,"Outside cutoff",IF(M38=1,"Closed",IF(J38=1,"Overdue","Open - within SLA")))</x:f>
        <x:v>Closed</x:v>
      </x:c>
      <x:c r="P38" s="1"/>
    </x:row>
    <x:row r="39" ht="23" customHeight="1">
      <x:c r="A39" s="14" t="str">
        <x:v>CASE-00034</x:v>
      </x:c>
      <x:c r="B39" s="14" t="str">
        <x:v>Customer Services</x:v>
      </x:c>
      <x:c r="C39" s="14" t="str">
        <x:v>Record mismatch</x:v>
      </x:c>
      <x:c r="D39" s="14" t="str">
        <x:v>Low</x:v>
      </x:c>
      <x:c r="E39" s="15" t="n">
        <x:v>46212.458333333336</x:v>
      </x:c>
      <x:c r="F39" s="15" t="n">
        <x:v>46226.458333333336</x:v>
      </x:c>
      <x:c r="G39" s="15" t="n">
        <x:v>46218.5</x:v>
      </x:c>
      <x:c r="H39" s="14" t="n">
        <x:v>1</x:v>
      </x:c>
      <x:c r="I39" s="1" t="n">
        <x:f>IF(AND(E39&lt;Reporting!$B$4,OR(G39="",G39&gt;=Reporting!$B$4)),1,0)</x:f>
        <x:v>0</x:v>
      </x:c>
      <x:c r="J39" s="1" t="n">
        <x:f>IF(AND(I39=1,F39&lt;Reporting!$B$4),1,0)</x:f>
        <x:v>0</x:v>
      </x:c>
      <x:c r="K39" s="1" t="n">
        <x:f>IF(F39&lt;Reporting!$B$4,1,0)</x:f>
        <x:v>1</x:v>
      </x:c>
      <x:c r="L39" s="1" t="n">
        <x:f>IF(AND(K39=1,G39&lt;&gt;"",G39&lt;=F39),1,0)</x:f>
        <x:v>1</x:v>
      </x:c>
      <x:c r="M39" s="1" t="n">
        <x:f>IF(AND(G39&lt;&gt;"",G39&lt;Reporting!$B$4),1,0)</x:f>
        <x:v>1</x:v>
      </x:c>
      <x:c r="N39" s="16" t="n">
        <x:f>IF(M39=1,G39-E39,"")</x:f>
        <x:v>6.041666666664241</x:v>
      </x:c>
      <x:c r="O39" s="1" t="str">
        <x:f>IF(E39&gt;=Reporting!$B$4,"Outside cutoff",IF(M39=1,"Closed",IF(J39=1,"Overdue","Open - within SLA")))</x:f>
        <x:v>Closed</x:v>
      </x:c>
      <x:c r="P39" s="1"/>
    </x:row>
    <x:row r="40" ht="23" customHeight="1">
      <x:c r="A40" s="14" t="str">
        <x:v>CASE-00035</x:v>
      </x:c>
      <x:c r="B40" s="14" t="str">
        <x:v>Customer Services</x:v>
      </x:c>
      <x:c r="C40" s="14" t="str">
        <x:v>Missing evidence</x:v>
      </x:c>
      <x:c r="D40" s="14" t="str">
        <x:v>High</x:v>
      </x:c>
      <x:c r="E40" s="15" t="n">
        <x:v>46207.583333333336</x:v>
      </x:c>
      <x:c r="F40" s="15" t="n">
        <x:v>46210.583333333336</x:v>
      </x:c>
      <x:c r="G40" s="15" t="n">
        <x:v>46225.625</x:v>
      </x:c>
      <x:c r="H40" s="14" t="n">
        <x:v>1</x:v>
      </x:c>
      <x:c r="I40" s="1" t="n">
        <x:f>IF(AND(E40&lt;Reporting!$B$4,OR(G40="",G40&gt;=Reporting!$B$4)),1,0)</x:f>
        <x:v>0</x:v>
      </x:c>
      <x:c r="J40" s="1" t="n">
        <x:f>IF(AND(I40=1,F40&lt;Reporting!$B$4),1,0)</x:f>
        <x:v>0</x:v>
      </x:c>
      <x:c r="K40" s="1" t="n">
        <x:f>IF(F40&lt;Reporting!$B$4,1,0)</x:f>
        <x:v>1</x:v>
      </x:c>
      <x:c r="L40" s="1" t="n">
        <x:f>IF(AND(K40=1,G40&lt;&gt;"",G40&lt;=F40),1,0)</x:f>
        <x:v>0</x:v>
      </x:c>
      <x:c r="M40" s="1" t="n">
        <x:f>IF(AND(G40&lt;&gt;"",G40&lt;Reporting!$B$4),1,0)</x:f>
        <x:v>1</x:v>
      </x:c>
      <x:c r="N40" s="16" t="n">
        <x:f>IF(M40=1,G40-E40,"")</x:f>
        <x:v>18.04166666666424</x:v>
      </x:c>
      <x:c r="O40" s="1" t="str">
        <x:f>IF(E40&gt;=Reporting!$B$4,"Outside cutoff",IF(M40=1,"Closed",IF(J40=1,"Overdue","Open - within SLA")))</x:f>
        <x:v>Closed</x:v>
      </x:c>
      <x:c r="P40" s="1"/>
    </x:row>
    <x:row r="41" ht="23" customHeight="1">
      <x:c r="A41" s="14" t="str">
        <x:v>CASE-00036</x:v>
      </x:c>
      <x:c r="B41" s="14" t="str">
        <x:v>Customer Services</x:v>
      </x:c>
      <x:c r="C41" s="14" t="str">
        <x:v>Late review</x:v>
      </x:c>
      <x:c r="D41" s="14" t="str">
        <x:v>Low</x:v>
      </x:c>
      <x:c r="E41" s="15" t="n">
        <x:v>46231.666666666664</x:v>
      </x:c>
      <x:c r="F41" s="15" t="n">
        <x:v>46245.666666666664</x:v>
      </x:c>
      <x:c r="G41" s="15" t="n">
        <x:v>46232.666666666664</x:v>
      </x:c>
      <x:c r="H41" s="14" t="n">
        <x:v>1</x:v>
      </x:c>
      <x:c r="I41" s="1" t="n">
        <x:f>IF(AND(E41&lt;Reporting!$B$4,OR(G41="",G41&gt;=Reporting!$B$4)),1,0)</x:f>
        <x:v>0</x:v>
      </x:c>
      <x:c r="J41" s="1" t="n">
        <x:f>IF(AND(I41=1,F41&lt;Reporting!$B$4),1,0)</x:f>
        <x:v>0</x:v>
      </x:c>
      <x:c r="K41" s="1" t="n">
        <x:f>IF(F41&lt;Reporting!$B$4,1,0)</x:f>
        <x:v>1</x:v>
      </x:c>
      <x:c r="L41" s="1" t="n">
        <x:f>IF(AND(K41=1,G41&lt;&gt;"",G41&lt;=F41),1,0)</x:f>
        <x:v>1</x:v>
      </x:c>
      <x:c r="M41" s="1" t="n">
        <x:f>IF(AND(G41&lt;&gt;"",G41&lt;Reporting!$B$4),1,0)</x:f>
        <x:v>1</x:v>
      </x:c>
      <x:c r="N41" s="16" t="n">
        <x:f>IF(M41=1,G41-E41,"")</x:f>
        <x:v>1</x:v>
      </x:c>
      <x:c r="O41" s="1" t="str">
        <x:f>IF(E41&gt;=Reporting!$B$4,"Outside cutoff",IF(M41=1,"Closed",IF(J41=1,"Overdue","Open - within SLA")))</x:f>
        <x:v>Closed</x:v>
      </x:c>
      <x:c r="P41" s="1"/>
    </x:row>
    <x:row r="42" ht="23" customHeight="1">
      <x:c r="A42" s="14" t="str">
        <x:v>CASE-00037</x:v>
      </x:c>
      <x:c r="B42" s="14" t="str">
        <x:v>Warehouse</x:v>
      </x:c>
      <x:c r="C42" s="14" t="str">
        <x:v>Process deviation</x:v>
      </x:c>
      <x:c r="D42" s="14" t="str">
        <x:v>Low</x:v>
      </x:c>
      <x:c r="E42" s="15" t="n">
        <x:v>46257.333333333336</x:v>
      </x:c>
      <x:c r="F42" s="15" t="n">
        <x:v>46271.333333333336</x:v>
      </x:c>
      <x:c r="G42" s="15" t="n">
        <x:v>46271.375</x:v>
      </x:c>
      <x:c r="H42" s="14" t="n">
        <x:v>2</x:v>
      </x:c>
      <x:c r="I42" s="1" t="n">
        <x:f>IF(AND(E42&lt;Reporting!$B$4,OR(G42="",G42&gt;=Reporting!$B$4)),1,0)</x:f>
        <x:v>0</x:v>
      </x:c>
      <x:c r="J42" s="1" t="n">
        <x:f>IF(AND(I42=1,F42&lt;Reporting!$B$4),1,0)</x:f>
        <x:v>0</x:v>
      </x:c>
      <x:c r="K42" s="1" t="n">
        <x:f>IF(F42&lt;Reporting!$B$4,1,0)</x:f>
        <x:v>1</x:v>
      </x:c>
      <x:c r="L42" s="1" t="n">
        <x:f>IF(AND(K42=1,G42&lt;&gt;"",G42&lt;=F42),1,0)</x:f>
        <x:v>0</x:v>
      </x:c>
      <x:c r="M42" s="1" t="n">
        <x:f>IF(AND(G42&lt;&gt;"",G42&lt;Reporting!$B$4),1,0)</x:f>
        <x:v>1</x:v>
      </x:c>
      <x:c r="N42" s="16" t="n">
        <x:f>IF(M42=1,G42-E42,"")</x:f>
        <x:v>14.041666666664241</x:v>
      </x:c>
      <x:c r="O42" s="1" t="str">
        <x:f>IF(E42&gt;=Reporting!$B$4,"Outside cutoff",IF(M42=1,"Closed",IF(J42=1,"Overdue","Open - within SLA")))</x:f>
        <x:v>Closed</x:v>
      </x:c>
      <x:c r="P42" s="1"/>
    </x:row>
    <x:row r="43" ht="23" customHeight="1">
      <x:c r="A43" s="14" t="str">
        <x:v>CASE-00038</x:v>
      </x:c>
      <x:c r="B43" s="14" t="str">
        <x:v>Installation</x:v>
      </x:c>
      <x:c r="C43" s="14" t="str">
        <x:v>Record mismatch</x:v>
      </x:c>
      <x:c r="D43" s="14" t="str">
        <x:v>Medium</x:v>
      </x:c>
      <x:c r="E43" s="15" t="n">
        <x:v>46204.5</x:v>
      </x:c>
      <x:c r="F43" s="15" t="n">
        <x:v>46211.5</x:v>
      </x:c>
      <x:c r="G43" s="15" t="n">
        <x:v>46210.541666666664</x:v>
      </x:c>
      <x:c r="H43" s="14" t="n">
        <x:v>3</x:v>
      </x:c>
      <x:c r="I43" s="1" t="n">
        <x:f>IF(AND(E43&lt;Reporting!$B$4,OR(G43="",G43&gt;=Reporting!$B$4)),1,0)</x:f>
        <x:v>0</x:v>
      </x:c>
      <x:c r="J43" s="1" t="n">
        <x:f>IF(AND(I43=1,F43&lt;Reporting!$B$4),1,0)</x:f>
        <x:v>0</x:v>
      </x:c>
      <x:c r="K43" s="1" t="n">
        <x:f>IF(F43&lt;Reporting!$B$4,1,0)</x:f>
        <x:v>1</x:v>
      </x:c>
      <x:c r="L43" s="1" t="n">
        <x:f>IF(AND(K43=1,G43&lt;&gt;"",G43&lt;=F43),1,0)</x:f>
        <x:v>1</x:v>
      </x:c>
      <x:c r="M43" s="1" t="n">
        <x:f>IF(AND(G43&lt;&gt;"",G43&lt;Reporting!$B$4),1,0)</x:f>
        <x:v>1</x:v>
      </x:c>
      <x:c r="N43" s="16" t="n">
        <x:f>IF(M43=1,G43-E43,"")</x:f>
        <x:v>6.041666666664241</x:v>
      </x:c>
      <x:c r="O43" s="1" t="str">
        <x:f>IF(E43&gt;=Reporting!$B$4,"Outside cutoff",IF(M43=1,"Closed",IF(J43=1,"Overdue","Open - within SLA")))</x:f>
        <x:v>Closed</x:v>
      </x:c>
      <x:c r="P43" s="1"/>
    </x:row>
    <x:row r="44" ht="23" customHeight="1">
      <x:c r="A44" s="14" t="str">
        <x:v>CASE-00039</x:v>
      </x:c>
      <x:c r="B44" s="14" t="str">
        <x:v>Warehouse</x:v>
      </x:c>
      <x:c r="C44" s="14" t="str">
        <x:v>Process deviation</x:v>
      </x:c>
      <x:c r="D44" s="14" t="str">
        <x:v>Low</x:v>
      </x:c>
      <x:c r="E44" s="15" t="n">
        <x:v>46265.541666666664</x:v>
      </x:c>
      <x:c r="F44" s="15" t="n">
        <x:v>46279.541666666664</x:v>
      </x:c>
      <x:c r="G44" s="15" t="n">
        <x:v>46281.625</x:v>
      </x:c>
      <x:c r="H44" s="14" t="n">
        <x:v>2</x:v>
      </x:c>
      <x:c r="I44" s="1" t="n">
        <x:f>IF(AND(E44&lt;Reporting!$B$4,OR(G44="",G44&gt;=Reporting!$B$4)),1,0)</x:f>
        <x:v>0</x:v>
      </x:c>
      <x:c r="J44" s="1" t="n">
        <x:f>IF(AND(I44=1,F44&lt;Reporting!$B$4),1,0)</x:f>
        <x:v>0</x:v>
      </x:c>
      <x:c r="K44" s="1" t="n">
        <x:f>IF(F44&lt;Reporting!$B$4,1,0)</x:f>
        <x:v>1</x:v>
      </x:c>
      <x:c r="L44" s="1" t="n">
        <x:f>IF(AND(K44=1,G44&lt;&gt;"",G44&lt;=F44),1,0)</x:f>
        <x:v>0</x:v>
      </x:c>
      <x:c r="M44" s="1" t="n">
        <x:f>IF(AND(G44&lt;&gt;"",G44&lt;Reporting!$B$4),1,0)</x:f>
        <x:v>1</x:v>
      </x:c>
      <x:c r="N44" s="16" t="n">
        <x:f>IF(M44=1,G44-E44,"")</x:f>
        <x:v>16.08333333333576</x:v>
      </x:c>
      <x:c r="O44" s="1" t="str">
        <x:f>IF(E44&gt;=Reporting!$B$4,"Outside cutoff",IF(M44=1,"Closed",IF(J44=1,"Overdue","Open - within SLA")))</x:f>
        <x:v>Closed</x:v>
      </x:c>
      <x:c r="P44" s="1"/>
    </x:row>
    <x:row r="45" ht="23" customHeight="1">
      <x:c r="A45" s="14" t="str">
        <x:v>CASE-00040</x:v>
      </x:c>
      <x:c r="B45" s="14" t="str">
        <x:v>Installation</x:v>
      </x:c>
      <x:c r="C45" s="14" t="str">
        <x:v>Late review</x:v>
      </x:c>
      <x:c r="D45" s="14" t="str">
        <x:v>Medium</x:v>
      </x:c>
      <x:c r="E45" s="15" t="n">
        <x:v>46253.416666666664</x:v>
      </x:c>
      <x:c r="F45" s="15" t="n">
        <x:v>46260.416666666664</x:v>
      </x:c>
      <x:c r="G45" s="15" t="n">
        <x:v>46267.458333333336</x:v>
      </x:c>
      <x:c r="H45" s="14" t="n">
        <x:v>3</x:v>
      </x:c>
      <x:c r="I45" s="1" t="n">
        <x:f>IF(AND(E45&lt;Reporting!$B$4,OR(G45="",G45&gt;=Reporting!$B$4)),1,0)</x:f>
        <x:v>0</x:v>
      </x:c>
      <x:c r="J45" s="1" t="n">
        <x:f>IF(AND(I45=1,F45&lt;Reporting!$B$4),1,0)</x:f>
        <x:v>0</x:v>
      </x:c>
      <x:c r="K45" s="1" t="n">
        <x:f>IF(F45&lt;Reporting!$B$4,1,0)</x:f>
        <x:v>1</x:v>
      </x:c>
      <x:c r="L45" s="1" t="n">
        <x:f>IF(AND(K45=1,G45&lt;&gt;"",G45&lt;=F45),1,0)</x:f>
        <x:v>0</x:v>
      </x:c>
      <x:c r="M45" s="1" t="n">
        <x:f>IF(AND(G45&lt;&gt;"",G45&lt;Reporting!$B$4),1,0)</x:f>
        <x:v>1</x:v>
      </x:c>
      <x:c r="N45" s="16" t="n">
        <x:f>IF(M45=1,G45-E45,"")</x:f>
        <x:v>14.041666666671517</x:v>
      </x:c>
      <x:c r="O45" s="1" t="str">
        <x:f>IF(E45&gt;=Reporting!$B$4,"Outside cutoff",IF(M45=1,"Closed",IF(J45=1,"Overdue","Open - within SLA")))</x:f>
        <x:v>Closed</x:v>
      </x:c>
      <x:c r="P45" s="1"/>
    </x:row>
    <x:row r="46" ht="23" customHeight="1">
      <x:c r="A46" s="14" t="str">
        <x:v>CASE-00041</x:v>
      </x:c>
      <x:c r="B46" s="14" t="str">
        <x:v>Customer Services</x:v>
      </x:c>
      <x:c r="C46" s="14" t="str">
        <x:v>Late review</x:v>
      </x:c>
      <x:c r="D46" s="14" t="str">
        <x:v>High</x:v>
      </x:c>
      <x:c r="E46" s="15" t="n">
        <x:v>46255.458333333336</x:v>
      </x:c>
      <x:c r="F46" s="15" t="n">
        <x:v>46258.458333333336</x:v>
      </x:c>
      <x:c r="G46" s="15" t="n">
        <x:v>46258.458333333336</x:v>
      </x:c>
      <x:c r="H46" s="14" t="n">
        <x:v>1</x:v>
      </x:c>
      <x:c r="I46" s="1" t="n">
        <x:f>IF(AND(E46&lt;Reporting!$B$4,OR(G46="",G46&gt;=Reporting!$B$4)),1,0)</x:f>
        <x:v>0</x:v>
      </x:c>
      <x:c r="J46" s="1" t="n">
        <x:f>IF(AND(I46=1,F46&lt;Reporting!$B$4),1,0)</x:f>
        <x:v>0</x:v>
      </x:c>
      <x:c r="K46" s="1" t="n">
        <x:f>IF(F46&lt;Reporting!$B$4,1,0)</x:f>
        <x:v>1</x:v>
      </x:c>
      <x:c r="L46" s="1" t="n">
        <x:f>IF(AND(K46=1,G46&lt;&gt;"",G46&lt;=F46),1,0)</x:f>
        <x:v>1</x:v>
      </x:c>
      <x:c r="M46" s="1" t="n">
        <x:f>IF(AND(G46&lt;&gt;"",G46&lt;Reporting!$B$4),1,0)</x:f>
        <x:v>1</x:v>
      </x:c>
      <x:c r="N46" s="16" t="n">
        <x:f>IF(M46=1,G46-E46,"")</x:f>
        <x:v>3</x:v>
      </x:c>
      <x:c r="O46" s="1" t="str">
        <x:f>IF(E46&gt;=Reporting!$B$4,"Outside cutoff",IF(M46=1,"Closed",IF(J46=1,"Overdue","Open - within SLA")))</x:f>
        <x:v>Closed</x:v>
      </x:c>
      <x:c r="P46" s="1"/>
    </x:row>
    <x:row r="47" ht="23" customHeight="1">
      <x:c r="A47" s="14" t="str">
        <x:v>CASE-00042</x:v>
      </x:c>
      <x:c r="B47" s="14" t="str">
        <x:v>Installation</x:v>
      </x:c>
      <x:c r="C47" s="14" t="str">
        <x:v>Record mismatch</x:v>
      </x:c>
      <x:c r="D47" s="14" t="str">
        <x:v>Medium</x:v>
      </x:c>
      <x:c r="E47" s="15" t="n">
        <x:v>46232.375</x:v>
      </x:c>
      <x:c r="F47" s="15" t="n">
        <x:v>46239.375</x:v>
      </x:c>
      <x:c r="G47" s="15" t="n">
        <x:v>46239.375</x:v>
      </x:c>
      <x:c r="H47" s="14" t="n">
        <x:v>3</x:v>
      </x:c>
      <x:c r="I47" s="1" t="n">
        <x:f>IF(AND(E47&lt;Reporting!$B$4,OR(G47="",G47&gt;=Reporting!$B$4)),1,0)</x:f>
        <x:v>0</x:v>
      </x:c>
      <x:c r="J47" s="1" t="n">
        <x:f>IF(AND(I47=1,F47&lt;Reporting!$B$4),1,0)</x:f>
        <x:v>0</x:v>
      </x:c>
      <x:c r="K47" s="1" t="n">
        <x:f>IF(F47&lt;Reporting!$B$4,1,0)</x:f>
        <x:v>1</x:v>
      </x:c>
      <x:c r="L47" s="1" t="n">
        <x:f>IF(AND(K47=1,G47&lt;&gt;"",G47&lt;=F47),1,0)</x:f>
        <x:v>1</x:v>
      </x:c>
      <x:c r="M47" s="1" t="n">
        <x:f>IF(AND(G47&lt;&gt;"",G47&lt;Reporting!$B$4),1,0)</x:f>
        <x:v>1</x:v>
      </x:c>
      <x:c r="N47" s="16" t="n">
        <x:f>IF(M47=1,G47-E47,"")</x:f>
        <x:v>7</x:v>
      </x:c>
      <x:c r="O47" s="1" t="str">
        <x:f>IF(E47&gt;=Reporting!$B$4,"Outside cutoff",IF(M47=1,"Closed",IF(J47=1,"Overdue","Open - within SLA")))</x:f>
        <x:v>Closed</x:v>
      </x:c>
      <x:c r="P47" s="1"/>
    </x:row>
    <x:row r="48" ht="23" customHeight="1">
      <x:c r="A48" s="14" t="str">
        <x:v>CASE-00043</x:v>
      </x:c>
      <x:c r="B48" s="14" t="str">
        <x:v>Installation</x:v>
      </x:c>
      <x:c r="C48" s="14" t="str">
        <x:v>Record mismatch</x:v>
      </x:c>
      <x:c r="D48" s="14" t="str">
        <x:v>High</x:v>
      </x:c>
      <x:c r="E48" s="15" t="n">
        <x:v>46275.583333333336</x:v>
      </x:c>
      <x:c r="F48" s="15" t="n">
        <x:v>46278.583333333336</x:v>
      </x:c>
      <x:c r="G48" s="15" t="n">
        <x:v>46276.625</x:v>
      </x:c>
      <x:c r="H48" s="14" t="n">
        <x:v>3</x:v>
      </x:c>
      <x:c r="I48" s="1" t="n">
        <x:f>IF(AND(E48&lt;Reporting!$B$4,OR(G48="",G48&gt;=Reporting!$B$4)),1,0)</x:f>
        <x:v>0</x:v>
      </x:c>
      <x:c r="J48" s="1" t="n">
        <x:f>IF(AND(I48=1,F48&lt;Reporting!$B$4),1,0)</x:f>
        <x:v>0</x:v>
      </x:c>
      <x:c r="K48" s="1" t="n">
        <x:f>IF(F48&lt;Reporting!$B$4,1,0)</x:f>
        <x:v>1</x:v>
      </x:c>
      <x:c r="L48" s="1" t="n">
        <x:f>IF(AND(K48=1,G48&lt;&gt;"",G48&lt;=F48),1,0)</x:f>
        <x:v>1</x:v>
      </x:c>
      <x:c r="M48" s="1" t="n">
        <x:f>IF(AND(G48&lt;&gt;"",G48&lt;Reporting!$B$4),1,0)</x:f>
        <x:v>1</x:v>
      </x:c>
      <x:c r="N48" s="16" t="n">
        <x:f>IF(M48=1,G48-E48,"")</x:f>
        <x:v>1.0416666666642413</x:v>
      </x:c>
      <x:c r="O48" s="1" t="str">
        <x:f>IF(E48&gt;=Reporting!$B$4,"Outside cutoff",IF(M48=1,"Closed",IF(J48=1,"Overdue","Open - within SLA")))</x:f>
        <x:v>Closed</x:v>
      </x:c>
      <x:c r="P48" s="1"/>
    </x:row>
    <x:row r="49" ht="23" customHeight="1">
      <x:c r="A49" s="14" t="str">
        <x:v>CASE-00044</x:v>
      </x:c>
      <x:c r="B49" s="14" t="str">
        <x:v>Customer Services</x:v>
      </x:c>
      <x:c r="C49" s="14" t="str">
        <x:v>Late review</x:v>
      </x:c>
      <x:c r="D49" s="14" t="str">
        <x:v>Low</x:v>
      </x:c>
      <x:c r="E49" s="15" t="n">
        <x:v>46229.583333333336</x:v>
      </x:c>
      <x:c r="F49" s="15" t="n">
        <x:v>46243.583333333336</x:v>
      </x:c>
      <x:c r="G49" s="15" t="n">
        <x:v>46241.625</x:v>
      </x:c>
      <x:c r="H49" s="14" t="n">
        <x:v>1</x:v>
      </x:c>
      <x:c r="I49" s="1" t="n">
        <x:f>IF(AND(E49&lt;Reporting!$B$4,OR(G49="",G49&gt;=Reporting!$B$4)),1,0)</x:f>
        <x:v>0</x:v>
      </x:c>
      <x:c r="J49" s="1" t="n">
        <x:f>IF(AND(I49=1,F49&lt;Reporting!$B$4),1,0)</x:f>
        <x:v>0</x:v>
      </x:c>
      <x:c r="K49" s="1" t="n">
        <x:f>IF(F49&lt;Reporting!$B$4,1,0)</x:f>
        <x:v>1</x:v>
      </x:c>
      <x:c r="L49" s="1" t="n">
        <x:f>IF(AND(K49=1,G49&lt;&gt;"",G49&lt;=F49),1,0)</x:f>
        <x:v>1</x:v>
      </x:c>
      <x:c r="M49" s="1" t="n">
        <x:f>IF(AND(G49&lt;&gt;"",G49&lt;Reporting!$B$4),1,0)</x:f>
        <x:v>1</x:v>
      </x:c>
      <x:c r="N49" s="16" t="n">
        <x:f>IF(M49=1,G49-E49,"")</x:f>
        <x:v>12.041666666664241</x:v>
      </x:c>
      <x:c r="O49" s="1" t="str">
        <x:f>IF(E49&gt;=Reporting!$B$4,"Outside cutoff",IF(M49=1,"Closed",IF(J49=1,"Overdue","Open - within SLA")))</x:f>
        <x:v>Closed</x:v>
      </x:c>
      <x:c r="P49" s="1"/>
    </x:row>
    <x:row r="50" ht="23" customHeight="1">
      <x:c r="A50" s="14" t="str">
        <x:v>CASE-00045</x:v>
      </x:c>
      <x:c r="B50" s="14" t="str">
        <x:v>Installation</x:v>
      </x:c>
      <x:c r="C50" s="14" t="str">
        <x:v>Process deviation</x:v>
      </x:c>
      <x:c r="D50" s="14" t="str">
        <x:v>Medium</x:v>
      </x:c>
      <x:c r="E50" s="15" t="n">
        <x:v>46216.666666666664</x:v>
      </x:c>
      <x:c r="F50" s="15" t="n">
        <x:v>46223.666666666664</x:v>
      </x:c>
      <x:c r="G50" s="15" t="n">
        <x:v>46229.708333333336</x:v>
      </x:c>
      <x:c r="H50" s="14" t="n">
        <x:v>3</x:v>
      </x:c>
      <x:c r="I50" s="1" t="n">
        <x:f>IF(AND(E50&lt;Reporting!$B$4,OR(G50="",G50&gt;=Reporting!$B$4)),1,0)</x:f>
        <x:v>0</x:v>
      </x:c>
      <x:c r="J50" s="1" t="n">
        <x:f>IF(AND(I50=1,F50&lt;Reporting!$B$4),1,0)</x:f>
        <x:v>0</x:v>
      </x:c>
      <x:c r="K50" s="1" t="n">
        <x:f>IF(F50&lt;Reporting!$B$4,1,0)</x:f>
        <x:v>1</x:v>
      </x:c>
      <x:c r="L50" s="1" t="n">
        <x:f>IF(AND(K50=1,G50&lt;&gt;"",G50&lt;=F50),1,0)</x:f>
        <x:v>0</x:v>
      </x:c>
      <x:c r="M50" s="1" t="n">
        <x:f>IF(AND(G50&lt;&gt;"",G50&lt;Reporting!$B$4),1,0)</x:f>
        <x:v>1</x:v>
      </x:c>
      <x:c r="N50" s="16" t="n">
        <x:f>IF(M50=1,G50-E50,"")</x:f>
        <x:v>13.041666666671517</x:v>
      </x:c>
      <x:c r="O50" s="1" t="str">
        <x:f>IF(E50&gt;=Reporting!$B$4,"Outside cutoff",IF(M50=1,"Closed",IF(J50=1,"Overdue","Open - within SLA")))</x:f>
        <x:v>Closed</x:v>
      </x:c>
      <x:c r="P50" s="1"/>
    </x:row>
    <x:row r="51" ht="23" customHeight="1">
      <x:c r="A51" s="14" t="str">
        <x:v>CASE-00046</x:v>
      </x:c>
      <x:c r="B51" s="14" t="str">
        <x:v>Customer Services</x:v>
      </x:c>
      <x:c r="C51" s="14" t="str">
        <x:v>Late review</x:v>
      </x:c>
      <x:c r="D51" s="14" t="str">
        <x:v>Low</x:v>
      </x:c>
      <x:c r="E51" s="15" t="n">
        <x:v>46269.375</x:v>
      </x:c>
      <x:c r="F51" s="15" t="n">
        <x:v>46283.375</x:v>
      </x:c>
      <x:c r="G51" s="15" t="n">
        <x:v>46281.416666666664</x:v>
      </x:c>
      <x:c r="H51" s="14" t="n">
        <x:v>1</x:v>
      </x:c>
      <x:c r="I51" s="1" t="n">
        <x:f>IF(AND(E51&lt;Reporting!$B$4,OR(G51="",G51&gt;=Reporting!$B$4)),1,0)</x:f>
        <x:v>0</x:v>
      </x:c>
      <x:c r="J51" s="1" t="n">
        <x:f>IF(AND(I51=1,F51&lt;Reporting!$B$4),1,0)</x:f>
        <x:v>0</x:v>
      </x:c>
      <x:c r="K51" s="1" t="n">
        <x:f>IF(F51&lt;Reporting!$B$4,1,0)</x:f>
        <x:v>1</x:v>
      </x:c>
      <x:c r="L51" s="1" t="n">
        <x:f>IF(AND(K51=1,G51&lt;&gt;"",G51&lt;=F51),1,0)</x:f>
        <x:v>1</x:v>
      </x:c>
      <x:c r="M51" s="1" t="n">
        <x:f>IF(AND(G51&lt;&gt;"",G51&lt;Reporting!$B$4),1,0)</x:f>
        <x:v>1</x:v>
      </x:c>
      <x:c r="N51" s="16" t="n">
        <x:f>IF(M51=1,G51-E51,"")</x:f>
        <x:v>12.041666666664241</x:v>
      </x:c>
      <x:c r="O51" s="1" t="str">
        <x:f>IF(E51&gt;=Reporting!$B$4,"Outside cutoff",IF(M51=1,"Closed",IF(J51=1,"Overdue","Open - within SLA")))</x:f>
        <x:v>Closed</x:v>
      </x:c>
      <x:c r="P51" s="1"/>
    </x:row>
    <x:row r="52" ht="23" customHeight="1">
      <x:c r="A52" s="14" t="str">
        <x:v>CASE-00047</x:v>
      </x:c>
      <x:c r="B52" s="14" t="str">
        <x:v>Warehouse</x:v>
      </x:c>
      <x:c r="C52" s="14" t="str">
        <x:v>Process deviation</x:v>
      </x:c>
      <x:c r="D52" s="14" t="str">
        <x:v>Medium</x:v>
      </x:c>
      <x:c r="E52" s="15" t="n">
        <x:v>46257.583333333336</x:v>
      </x:c>
      <x:c r="F52" s="15" t="n">
        <x:v>46264.583333333336</x:v>
      </x:c>
      <x:c r="G52" s="15"/>
      <x:c r="H52" s="14" t="n">
        <x:v>2</x:v>
      </x:c>
      <x:c r="I52" s="1" t="n">
        <x:f>IF(AND(E52&lt;Reporting!$B$4,OR(G52="",G52&gt;=Reporting!$B$4)),1,0)</x:f>
        <x:v>1</x:v>
      </x:c>
      <x:c r="J52" s="1" t="n">
        <x:f>IF(AND(I52=1,F52&lt;Reporting!$B$4),1,0)</x:f>
        <x:v>1</x:v>
      </x:c>
      <x:c r="K52" s="1" t="n">
        <x:f>IF(F52&lt;Reporting!$B$4,1,0)</x:f>
        <x:v>1</x:v>
      </x:c>
      <x:c r="L52" s="1" t="n">
        <x:f>IF(AND(K52=1,G52&lt;&gt;"",G52&lt;=F52),1,0)</x:f>
        <x:v>0</x:v>
      </x:c>
      <x:c r="M52" s="1" t="n">
        <x:f>IF(AND(G52&lt;&gt;"",G52&lt;Reporting!$B$4),1,0)</x:f>
        <x:v>0</x:v>
      </x:c>
      <x:c r="N52" s="16" t="str">
        <x:f>IF(M52=1,G52-E52,"")</x:f>
      </x:c>
      <x:c r="O52" s="1" t="str">
        <x:f>IF(E52&gt;=Reporting!$B$4,"Outside cutoff",IF(M52=1,"Closed",IF(J52=1,"Overdue","Open - within SLA")))</x:f>
        <x:v>Overdue</x:v>
      </x:c>
      <x:c r="P52" s="1"/>
    </x:row>
    <x:row r="53" ht="23" customHeight="1">
      <x:c r="A53" s="14" t="str">
        <x:v>CASE-00048</x:v>
      </x:c>
      <x:c r="B53" s="14" t="str">
        <x:v>Installation</x:v>
      </x:c>
      <x:c r="C53" s="14" t="str">
        <x:v>Process deviation</x:v>
      </x:c>
      <x:c r="D53" s="14" t="str">
        <x:v>High</x:v>
      </x:c>
      <x:c r="E53" s="15" t="n">
        <x:v>46249.333333333336</x:v>
      </x:c>
      <x:c r="F53" s="15" t="n">
        <x:v>46252.333333333336</x:v>
      </x:c>
      <x:c r="G53" s="15" t="n">
        <x:v>46258.416666666664</x:v>
      </x:c>
      <x:c r="H53" s="14" t="n">
        <x:v>3</x:v>
      </x:c>
      <x:c r="I53" s="1" t="n">
        <x:f>IF(AND(E53&lt;Reporting!$B$4,OR(G53="",G53&gt;=Reporting!$B$4)),1,0)</x:f>
        <x:v>0</x:v>
      </x:c>
      <x:c r="J53" s="1" t="n">
        <x:f>IF(AND(I53=1,F53&lt;Reporting!$B$4),1,0)</x:f>
        <x:v>0</x:v>
      </x:c>
      <x:c r="K53" s="1" t="n">
        <x:f>IF(F53&lt;Reporting!$B$4,1,0)</x:f>
        <x:v>1</x:v>
      </x:c>
      <x:c r="L53" s="1" t="n">
        <x:f>IF(AND(K53=1,G53&lt;&gt;"",G53&lt;=F53),1,0)</x:f>
        <x:v>0</x:v>
      </x:c>
      <x:c r="M53" s="1" t="n">
        <x:f>IF(AND(G53&lt;&gt;"",G53&lt;Reporting!$B$4),1,0)</x:f>
        <x:v>1</x:v>
      </x:c>
      <x:c r="N53" s="16" t="n">
        <x:f>IF(M53=1,G53-E53,"")</x:f>
        <x:v>9.083333333328483</x:v>
      </x:c>
      <x:c r="O53" s="1" t="str">
        <x:f>IF(E53&gt;=Reporting!$B$4,"Outside cutoff",IF(M53=1,"Closed",IF(J53=1,"Overdue","Open - within SLA")))</x:f>
        <x:v>Closed</x:v>
      </x:c>
      <x:c r="P53" s="1"/>
    </x:row>
    <x:row r="54" ht="23" customHeight="1">
      <x:c r="A54" s="14" t="str">
        <x:v>CASE-00049</x:v>
      </x:c>
      <x:c r="B54" s="14" t="str">
        <x:v>Customer Services</x:v>
      </x:c>
      <x:c r="C54" s="14" t="str">
        <x:v>Record mismatch</x:v>
      </x:c>
      <x:c r="D54" s="14" t="str">
        <x:v>Medium</x:v>
      </x:c>
      <x:c r="E54" s="15" t="n">
        <x:v>46253.625</x:v>
      </x:c>
      <x:c r="F54" s="15" t="n">
        <x:v>46260.625</x:v>
      </x:c>
      <x:c r="G54" s="15" t="n">
        <x:v>46259.708333333336</x:v>
      </x:c>
      <x:c r="H54" s="14" t="n">
        <x:v>1</x:v>
      </x:c>
      <x:c r="I54" s="1" t="n">
        <x:f>IF(AND(E54&lt;Reporting!$B$4,OR(G54="",G54&gt;=Reporting!$B$4)),1,0)</x:f>
        <x:v>0</x:v>
      </x:c>
      <x:c r="J54" s="1" t="n">
        <x:f>IF(AND(I54=1,F54&lt;Reporting!$B$4),1,0)</x:f>
        <x:v>0</x:v>
      </x:c>
      <x:c r="K54" s="1" t="n">
        <x:f>IF(F54&lt;Reporting!$B$4,1,0)</x:f>
        <x:v>1</x:v>
      </x:c>
      <x:c r="L54" s="1" t="n">
        <x:f>IF(AND(K54=1,G54&lt;&gt;"",G54&lt;=F54),1,0)</x:f>
        <x:v>1</x:v>
      </x:c>
      <x:c r="M54" s="1" t="n">
        <x:f>IF(AND(G54&lt;&gt;"",G54&lt;Reporting!$B$4),1,0)</x:f>
        <x:v>1</x:v>
      </x:c>
      <x:c r="N54" s="16" t="n">
        <x:f>IF(M54=1,G54-E54,"")</x:f>
        <x:v>6.083333333335759</x:v>
      </x:c>
      <x:c r="O54" s="1" t="str">
        <x:f>IF(E54&gt;=Reporting!$B$4,"Outside cutoff",IF(M54=1,"Closed",IF(J54=1,"Overdue","Open - within SLA")))</x:f>
        <x:v>Closed</x:v>
      </x:c>
      <x:c r="P54" s="1"/>
    </x:row>
    <x:row r="55" ht="23" customHeight="1">
      <x:c r="A55" s="14" t="str">
        <x:v>CASE-00050</x:v>
      </x:c>
      <x:c r="B55" s="14" t="str">
        <x:v>Customer Services</x:v>
      </x:c>
      <x:c r="C55" s="14" t="str">
        <x:v>Late review</x:v>
      </x:c>
      <x:c r="D55" s="14" t="str">
        <x:v>High</x:v>
      </x:c>
      <x:c r="E55" s="15" t="n">
        <x:v>46285.5</x:v>
      </x:c>
      <x:c r="F55" s="15" t="n">
        <x:v>46288.5</x:v>
      </x:c>
      <x:c r="G55" s="15"/>
      <x:c r="H55" s="14" t="n">
        <x:v>1</x:v>
      </x:c>
      <x:c r="I55" s="1" t="n">
        <x:f>IF(AND(E55&lt;Reporting!$B$4,OR(G55="",G55&gt;=Reporting!$B$4)),1,0)</x:f>
        <x:v>1</x:v>
      </x:c>
      <x:c r="J55" s="1" t="n">
        <x:f>IF(AND(I55=1,F55&lt;Reporting!$B$4),1,0)</x:f>
        <x:v>0</x:v>
      </x:c>
      <x:c r="K55" s="1" t="n">
        <x:f>IF(F55&lt;Reporting!$B$4,1,0)</x:f>
        <x:v>0</x:v>
      </x:c>
      <x:c r="L55" s="1" t="n">
        <x:f>IF(AND(K55=1,G55&lt;&gt;"",G55&lt;=F55),1,0)</x:f>
        <x:v>0</x:v>
      </x:c>
      <x:c r="M55" s="1" t="n">
        <x:f>IF(AND(G55&lt;&gt;"",G55&lt;Reporting!$B$4),1,0)</x:f>
        <x:v>0</x:v>
      </x:c>
      <x:c r="N55" s="16" t="str">
        <x:f>IF(M55=1,G55-E55,"")</x:f>
      </x:c>
      <x:c r="O55" s="1" t="str">
        <x:f>IF(E55&gt;=Reporting!$B$4,"Outside cutoff",IF(M55=1,"Closed",IF(J55=1,"Overdue","Open - within SLA")))</x:f>
        <x:v>Open - within SLA</x:v>
      </x:c>
      <x:c r="P55" s="1"/>
    </x:row>
    <x:row r="56" ht="23" customHeight="1">
      <x:c r="A56" s="14" t="str">
        <x:v>CASE-00051</x:v>
      </x:c>
      <x:c r="B56" s="14" t="str">
        <x:v>Warehouse</x:v>
      </x:c>
      <x:c r="C56" s="14" t="str">
        <x:v>Late review</x:v>
      </x:c>
      <x:c r="D56" s="14" t="str">
        <x:v>Medium</x:v>
      </x:c>
      <x:c r="E56" s="15" t="n">
        <x:v>46233.666666666664</x:v>
      </x:c>
      <x:c r="F56" s="15" t="n">
        <x:v>46240.666666666664</x:v>
      </x:c>
      <x:c r="G56" s="15" t="n">
        <x:v>46246.75</x:v>
      </x:c>
      <x:c r="H56" s="14" t="n">
        <x:v>2</x:v>
      </x:c>
      <x:c r="I56" s="1" t="n">
        <x:f>IF(AND(E56&lt;Reporting!$B$4,OR(G56="",G56&gt;=Reporting!$B$4)),1,0)</x:f>
        <x:v>0</x:v>
      </x:c>
      <x:c r="J56" s="1" t="n">
        <x:f>IF(AND(I56=1,F56&lt;Reporting!$B$4),1,0)</x:f>
        <x:v>0</x:v>
      </x:c>
      <x:c r="K56" s="1" t="n">
        <x:f>IF(F56&lt;Reporting!$B$4,1,0)</x:f>
        <x:v>1</x:v>
      </x:c>
      <x:c r="L56" s="1" t="n">
        <x:f>IF(AND(K56=1,G56&lt;&gt;"",G56&lt;=F56),1,0)</x:f>
        <x:v>0</x:v>
      </x:c>
      <x:c r="M56" s="1" t="n">
        <x:f>IF(AND(G56&lt;&gt;"",G56&lt;Reporting!$B$4),1,0)</x:f>
        <x:v>1</x:v>
      </x:c>
      <x:c r="N56" s="16" t="n">
        <x:f>IF(M56=1,G56-E56,"")</x:f>
        <x:v>13.083333333335759</x:v>
      </x:c>
      <x:c r="O56" s="1" t="str">
        <x:f>IF(E56&gt;=Reporting!$B$4,"Outside cutoff",IF(M56=1,"Closed",IF(J56=1,"Overdue","Open - within SLA")))</x:f>
        <x:v>Closed</x:v>
      </x:c>
      <x:c r="P56" s="1"/>
    </x:row>
    <x:row r="57" ht="23" customHeight="1">
      <x:c r="A57" s="14" t="str">
        <x:v>CASE-00052</x:v>
      </x:c>
      <x:c r="B57" s="14" t="str">
        <x:v>Warehouse</x:v>
      </x:c>
      <x:c r="C57" s="14" t="str">
        <x:v>Record mismatch</x:v>
      </x:c>
      <x:c r="D57" s="14" t="str">
        <x:v>Medium</x:v>
      </x:c>
      <x:c r="E57" s="15" t="n">
        <x:v>46232.583333333336</x:v>
      </x:c>
      <x:c r="F57" s="15" t="n">
        <x:v>46239.583333333336</x:v>
      </x:c>
      <x:c r="G57" s="15"/>
      <x:c r="H57" s="14" t="n">
        <x:v>2</x:v>
      </x:c>
      <x:c r="I57" s="1" t="n">
        <x:f>IF(AND(E57&lt;Reporting!$B$4,OR(G57="",G57&gt;=Reporting!$B$4)),1,0)</x:f>
        <x:v>1</x:v>
      </x:c>
      <x:c r="J57" s="1" t="n">
        <x:f>IF(AND(I57=1,F57&lt;Reporting!$B$4),1,0)</x:f>
        <x:v>1</x:v>
      </x:c>
      <x:c r="K57" s="1" t="n">
        <x:f>IF(F57&lt;Reporting!$B$4,1,0)</x:f>
        <x:v>1</x:v>
      </x:c>
      <x:c r="L57" s="1" t="n">
        <x:f>IF(AND(K57=1,G57&lt;&gt;"",G57&lt;=F57),1,0)</x:f>
        <x:v>0</x:v>
      </x:c>
      <x:c r="M57" s="1" t="n">
        <x:f>IF(AND(G57&lt;&gt;"",G57&lt;Reporting!$B$4),1,0)</x:f>
        <x:v>0</x:v>
      </x:c>
      <x:c r="N57" s="16" t="str">
        <x:f>IF(M57=1,G57-E57,"")</x:f>
      </x:c>
      <x:c r="O57" s="1" t="str">
        <x:f>IF(E57&gt;=Reporting!$B$4,"Outside cutoff",IF(M57=1,"Closed",IF(J57=1,"Overdue","Open - within SLA")))</x:f>
        <x:v>Overdue</x:v>
      </x:c>
      <x:c r="P57" s="1"/>
    </x:row>
    <x:row r="58" ht="23" customHeight="1">
      <x:c r="A58" s="14" t="str">
        <x:v>CASE-00053</x:v>
      </x:c>
      <x:c r="B58" s="14" t="str">
        <x:v>Customer Services</x:v>
      </x:c>
      <x:c r="C58" s="14" t="str">
        <x:v>Record mismatch</x:v>
      </x:c>
      <x:c r="D58" s="14" t="str">
        <x:v>Medium</x:v>
      </x:c>
      <x:c r="E58" s="15" t="n">
        <x:v>46261.416666666664</x:v>
      </x:c>
      <x:c r="F58" s="15" t="n">
        <x:v>46268.416666666664</x:v>
      </x:c>
      <x:c r="G58" s="15" t="n">
        <x:v>46271.5</x:v>
      </x:c>
      <x:c r="H58" s="14" t="n">
        <x:v>1</x:v>
      </x:c>
      <x:c r="I58" s="1" t="n">
        <x:f>IF(AND(E58&lt;Reporting!$B$4,OR(G58="",G58&gt;=Reporting!$B$4)),1,0)</x:f>
        <x:v>0</x:v>
      </x:c>
      <x:c r="J58" s="1" t="n">
        <x:f>IF(AND(I58=1,F58&lt;Reporting!$B$4),1,0)</x:f>
        <x:v>0</x:v>
      </x:c>
      <x:c r="K58" s="1" t="n">
        <x:f>IF(F58&lt;Reporting!$B$4,1,0)</x:f>
        <x:v>1</x:v>
      </x:c>
      <x:c r="L58" s="1" t="n">
        <x:f>IF(AND(K58=1,G58&lt;&gt;"",G58&lt;=F58),1,0)</x:f>
        <x:v>0</x:v>
      </x:c>
      <x:c r="M58" s="1" t="n">
        <x:f>IF(AND(G58&lt;&gt;"",G58&lt;Reporting!$B$4),1,0)</x:f>
        <x:v>1</x:v>
      </x:c>
      <x:c r="N58" s="16" t="n">
        <x:f>IF(M58=1,G58-E58,"")</x:f>
        <x:v>10.083333333335759</x:v>
      </x:c>
      <x:c r="O58" s="1" t="str">
        <x:f>IF(E58&gt;=Reporting!$B$4,"Outside cutoff",IF(M58=1,"Closed",IF(J58=1,"Overdue","Open - within SLA")))</x:f>
        <x:v>Closed</x:v>
      </x:c>
      <x:c r="P58" s="1"/>
    </x:row>
    <x:row r="59" ht="23" customHeight="1">
      <x:c r="A59" s="14" t="str">
        <x:v>CASE-00054</x:v>
      </x:c>
      <x:c r="B59" s="14" t="str">
        <x:v>Customer Services</x:v>
      </x:c>
      <x:c r="C59" s="14" t="str">
        <x:v>Process deviation</x:v>
      </x:c>
      <x:c r="D59" s="14" t="str">
        <x:v>Low</x:v>
      </x:c>
      <x:c r="E59" s="15" t="n">
        <x:v>46231.458333333336</x:v>
      </x:c>
      <x:c r="F59" s="15" t="n">
        <x:v>46245.458333333336</x:v>
      </x:c>
      <x:c r="G59" s="15" t="n">
        <x:v>46245.458333333336</x:v>
      </x:c>
      <x:c r="H59" s="14" t="n">
        <x:v>1</x:v>
      </x:c>
      <x:c r="I59" s="1" t="n">
        <x:f>IF(AND(E59&lt;Reporting!$B$4,OR(G59="",G59&gt;=Reporting!$B$4)),1,0)</x:f>
        <x:v>0</x:v>
      </x:c>
      <x:c r="J59" s="1" t="n">
        <x:f>IF(AND(I59=1,F59&lt;Reporting!$B$4),1,0)</x:f>
        <x:v>0</x:v>
      </x:c>
      <x:c r="K59" s="1" t="n">
        <x:f>IF(F59&lt;Reporting!$B$4,1,0)</x:f>
        <x:v>1</x:v>
      </x:c>
      <x:c r="L59" s="1" t="n">
        <x:f>IF(AND(K59=1,G59&lt;&gt;"",G59&lt;=F59),1,0)</x:f>
        <x:v>1</x:v>
      </x:c>
      <x:c r="M59" s="1" t="n">
        <x:f>IF(AND(G59&lt;&gt;"",G59&lt;Reporting!$B$4),1,0)</x:f>
        <x:v>1</x:v>
      </x:c>
      <x:c r="N59" s="16" t="n">
        <x:f>IF(M59=1,G59-E59,"")</x:f>
        <x:v>14</x:v>
      </x:c>
      <x:c r="O59" s="1" t="str">
        <x:f>IF(E59&gt;=Reporting!$B$4,"Outside cutoff",IF(M59=1,"Closed",IF(J59=1,"Overdue","Open - within SLA")))</x:f>
        <x:v>Closed</x:v>
      </x:c>
      <x:c r="P59" s="1"/>
    </x:row>
    <x:row r="60" ht="23" customHeight="1">
      <x:c r="A60" s="14" t="str">
        <x:v>CASE-00055</x:v>
      </x:c>
      <x:c r="B60" s="14" t="str">
        <x:v>Warehouse</x:v>
      </x:c>
      <x:c r="C60" s="14" t="str">
        <x:v>Missing evidence</x:v>
      </x:c>
      <x:c r="D60" s="14" t="str">
        <x:v>Low</x:v>
      </x:c>
      <x:c r="E60" s="15" t="n">
        <x:v>46263.541666666664</x:v>
      </x:c>
      <x:c r="F60" s="15" t="n">
        <x:v>46277.541666666664</x:v>
      </x:c>
      <x:c r="G60" s="15" t="n">
        <x:v>46280.583333333336</x:v>
      </x:c>
      <x:c r="H60" s="14" t="n">
        <x:v>2</x:v>
      </x:c>
      <x:c r="I60" s="1" t="n">
        <x:f>IF(AND(E60&lt;Reporting!$B$4,OR(G60="",G60&gt;=Reporting!$B$4)),1,0)</x:f>
        <x:v>0</x:v>
      </x:c>
      <x:c r="J60" s="1" t="n">
        <x:f>IF(AND(I60=1,F60&lt;Reporting!$B$4),1,0)</x:f>
        <x:v>0</x:v>
      </x:c>
      <x:c r="K60" s="1" t="n">
        <x:f>IF(F60&lt;Reporting!$B$4,1,0)</x:f>
        <x:v>1</x:v>
      </x:c>
      <x:c r="L60" s="1" t="n">
        <x:f>IF(AND(K60=1,G60&lt;&gt;"",G60&lt;=F60),1,0)</x:f>
        <x:v>0</x:v>
      </x:c>
      <x:c r="M60" s="1" t="n">
        <x:f>IF(AND(G60&lt;&gt;"",G60&lt;Reporting!$B$4),1,0)</x:f>
        <x:v>1</x:v>
      </x:c>
      <x:c r="N60" s="16" t="n">
        <x:f>IF(M60=1,G60-E60,"")</x:f>
        <x:v>17.041666666671517</x:v>
      </x:c>
      <x:c r="O60" s="1" t="str">
        <x:f>IF(E60&gt;=Reporting!$B$4,"Outside cutoff",IF(M60=1,"Closed",IF(J60=1,"Overdue","Open - within SLA")))</x:f>
        <x:v>Closed</x:v>
      </x:c>
      <x:c r="P60" s="1"/>
    </x:row>
    <x:row r="61">
      <x:c r="A61" s="14" t="str">
        <x:v>CASE-00056</x:v>
      </x:c>
      <x:c r="B61" s="14" t="str">
        <x:v>Customer Services</x:v>
      </x:c>
      <x:c r="C61" s="14" t="str">
        <x:v>Record mismatch</x:v>
      </x:c>
      <x:c r="D61" s="14" t="str">
        <x:v>Medium</x:v>
      </x:c>
      <x:c r="E61" s="15" t="n">
        <x:v>46281.625</x:v>
      </x:c>
      <x:c r="F61" s="15" t="n">
        <x:v>46288.625</x:v>
      </x:c>
      <x:c r="G61" s="15"/>
      <x:c r="H61" s="14" t="n">
        <x:v>1</x:v>
      </x:c>
      <x:c r="I61" s="1" t="n">
        <x:f>IF(AND(E61&lt;Reporting!$B$4,OR(G61="",G61&gt;=Reporting!$B$4)),1,0)</x:f>
        <x:v>1</x:v>
      </x:c>
      <x:c r="J61" s="1" t="n">
        <x:f>IF(AND(I61=1,F61&lt;Reporting!$B$4),1,0)</x:f>
        <x:v>0</x:v>
      </x:c>
      <x:c r="K61" s="1" t="n">
        <x:f>IF(F61&lt;Reporting!$B$4,1,0)</x:f>
        <x:v>0</x:v>
      </x:c>
      <x:c r="L61" s="1" t="n">
        <x:f>IF(AND(K61=1,G61&lt;&gt;"",G61&lt;=F61),1,0)</x:f>
        <x:v>0</x:v>
      </x:c>
      <x:c r="M61" s="1" t="n">
        <x:f>IF(AND(G61&lt;&gt;"",G61&lt;Reporting!$B$4),1,0)</x:f>
        <x:v>0</x:v>
      </x:c>
      <x:c r="N61" s="16" t="str">
        <x:f>IF(M61=1,G61-E61,"")</x:f>
      </x:c>
      <x:c r="O61" s="1" t="str">
        <x:f>IF(E61&gt;=Reporting!$B$4,"Outside cutoff",IF(M61=1,"Closed",IF(J61=1,"Overdue","Open - within SLA")))</x:f>
        <x:v>Open - within SLA</x:v>
      </x:c>
    </x:row>
    <x:row r="62">
      <x:c r="A62" s="14" t="str">
        <x:v>CASE-00057</x:v>
      </x:c>
      <x:c r="B62" s="14" t="str">
        <x:v>Customer Services</x:v>
      </x:c>
      <x:c r="C62" s="14" t="str">
        <x:v>Record mismatch</x:v>
      </x:c>
      <x:c r="D62" s="14" t="str">
        <x:v>High</x:v>
      </x:c>
      <x:c r="E62" s="15" t="n">
        <x:v>46269.416666666664</x:v>
      </x:c>
      <x:c r="F62" s="15" t="n">
        <x:v>46272.416666666664</x:v>
      </x:c>
      <x:c r="G62" s="15" t="n">
        <x:v>46273.416666666664</x:v>
      </x:c>
      <x:c r="H62" s="14" t="n">
        <x:v>1</x:v>
      </x:c>
      <x:c r="I62" s="1" t="n">
        <x:f>IF(AND(E62&lt;Reporting!$B$4,OR(G62="",G62&gt;=Reporting!$B$4)),1,0)</x:f>
        <x:v>0</x:v>
      </x:c>
      <x:c r="J62" s="1" t="n">
        <x:f>IF(AND(I62=1,F62&lt;Reporting!$B$4),1,0)</x:f>
        <x:v>0</x:v>
      </x:c>
      <x:c r="K62" s="1" t="n">
        <x:f>IF(F62&lt;Reporting!$B$4,1,0)</x:f>
        <x:v>1</x:v>
      </x:c>
      <x:c r="L62" s="1" t="n">
        <x:f>IF(AND(K62=1,G62&lt;&gt;"",G62&lt;=F62),1,0)</x:f>
        <x:v>0</x:v>
      </x:c>
      <x:c r="M62" s="1" t="n">
        <x:f>IF(AND(G62&lt;&gt;"",G62&lt;Reporting!$B$4),1,0)</x:f>
        <x:v>1</x:v>
      </x:c>
      <x:c r="N62" s="16" t="n">
        <x:f>IF(M62=1,G62-E62,"")</x:f>
        <x:v>4</x:v>
      </x:c>
      <x:c r="O62" s="1" t="str">
        <x:f>IF(E62&gt;=Reporting!$B$4,"Outside cutoff",IF(M62=1,"Closed",IF(J62=1,"Overdue","Open - within SLA")))</x:f>
        <x:v>Closed</x:v>
      </x:c>
    </x:row>
    <x:row r="63">
      <x:c r="A63" s="14" t="str">
        <x:v>CASE-00058</x:v>
      </x:c>
      <x:c r="B63" s="14" t="str">
        <x:v>Installation</x:v>
      </x:c>
      <x:c r="C63" s="14" t="str">
        <x:v>Late review</x:v>
      </x:c>
      <x:c r="D63" s="14" t="str">
        <x:v>Low</x:v>
      </x:c>
      <x:c r="E63" s="15" t="n">
        <x:v>46284.333333333336</x:v>
      </x:c>
      <x:c r="F63" s="15" t="n">
        <x:v>46298.333333333336</x:v>
      </x:c>
      <x:c r="G63" s="15"/>
      <x:c r="H63" s="14" t="n">
        <x:v>3</x:v>
      </x:c>
      <x:c r="I63" s="1" t="n">
        <x:f>IF(AND(E63&lt;Reporting!$B$4,OR(G63="",G63&gt;=Reporting!$B$4)),1,0)</x:f>
        <x:v>1</x:v>
      </x:c>
      <x:c r="J63" s="1" t="n">
        <x:f>IF(AND(I63=1,F63&lt;Reporting!$B$4),1,0)</x:f>
        <x:v>0</x:v>
      </x:c>
      <x:c r="K63" s="1" t="n">
        <x:f>IF(F63&lt;Reporting!$B$4,1,0)</x:f>
        <x:v>0</x:v>
      </x:c>
      <x:c r="L63" s="1" t="n">
        <x:f>IF(AND(K63=1,G63&lt;&gt;"",G63&lt;=F63),1,0)</x:f>
        <x:v>0</x:v>
      </x:c>
      <x:c r="M63" s="1" t="n">
        <x:f>IF(AND(G63&lt;&gt;"",G63&lt;Reporting!$B$4),1,0)</x:f>
        <x:v>0</x:v>
      </x:c>
      <x:c r="N63" s="16" t="str">
        <x:f>IF(M63=1,G63-E63,"")</x:f>
      </x:c>
      <x:c r="O63" s="1" t="str">
        <x:f>IF(E63&gt;=Reporting!$B$4,"Outside cutoff",IF(M63=1,"Closed",IF(J63=1,"Overdue","Open - within SLA")))</x:f>
        <x:v>Open - within SLA</x:v>
      </x:c>
    </x:row>
    <x:row r="64">
      <x:c r="A64" s="14" t="str">
        <x:v>CASE-00059</x:v>
      </x:c>
      <x:c r="B64" s="14" t="str">
        <x:v>Customer Services</x:v>
      </x:c>
      <x:c r="C64" s="14" t="str">
        <x:v>Late review</x:v>
      </x:c>
      <x:c r="D64" s="14" t="str">
        <x:v>Medium</x:v>
      </x:c>
      <x:c r="E64" s="15" t="n">
        <x:v>46252.416666666664</x:v>
      </x:c>
      <x:c r="F64" s="15" t="n">
        <x:v>46259.416666666664</x:v>
      </x:c>
      <x:c r="G64" s="15" t="n">
        <x:v>46258.458333333336</x:v>
      </x:c>
      <x:c r="H64" s="14" t="n">
        <x:v>1</x:v>
      </x:c>
      <x:c r="I64" s="1" t="n">
        <x:f>IF(AND(E64&lt;Reporting!$B$4,OR(G64="",G64&gt;=Reporting!$B$4)),1,0)</x:f>
        <x:v>0</x:v>
      </x:c>
      <x:c r="J64" s="1" t="n">
        <x:f>IF(AND(I64=1,F64&lt;Reporting!$B$4),1,0)</x:f>
        <x:v>0</x:v>
      </x:c>
      <x:c r="K64" s="1" t="n">
        <x:f>IF(F64&lt;Reporting!$B$4,1,0)</x:f>
        <x:v>1</x:v>
      </x:c>
      <x:c r="L64" s="1" t="n">
        <x:f>IF(AND(K64=1,G64&lt;&gt;"",G64&lt;=F64),1,0)</x:f>
        <x:v>1</x:v>
      </x:c>
      <x:c r="M64" s="1" t="n">
        <x:f>IF(AND(G64&lt;&gt;"",G64&lt;Reporting!$B$4),1,0)</x:f>
        <x:v>1</x:v>
      </x:c>
      <x:c r="N64" s="16" t="n">
        <x:f>IF(M64=1,G64-E64,"")</x:f>
        <x:v>6.041666666671517</x:v>
      </x:c>
      <x:c r="O64" s="1" t="str">
        <x:f>IF(E64&gt;=Reporting!$B$4,"Outside cutoff",IF(M64=1,"Closed",IF(J64=1,"Overdue","Open - within SLA")))</x:f>
        <x:v>Closed</x:v>
      </x:c>
    </x:row>
    <x:row r="65">
      <x:c r="A65" s="14" t="str">
        <x:v>CASE-00060</x:v>
      </x:c>
      <x:c r="B65" s="14" t="str">
        <x:v>Customer Services</x:v>
      </x:c>
      <x:c r="C65" s="14" t="str">
        <x:v>Late review</x:v>
      </x:c>
      <x:c r="D65" s="14" t="str">
        <x:v>High</x:v>
      </x:c>
      <x:c r="E65" s="15" t="n">
        <x:v>46224.541666666664</x:v>
      </x:c>
      <x:c r="F65" s="15" t="n">
        <x:v>46227.541666666664</x:v>
      </x:c>
      <x:c r="G65" s="15" t="n">
        <x:v>46226.541666666664</x:v>
      </x:c>
      <x:c r="H65" s="14" t="n">
        <x:v>1</x:v>
      </x:c>
      <x:c r="I65" s="1" t="n">
        <x:f>IF(AND(E65&lt;Reporting!$B$4,OR(G65="",G65&gt;=Reporting!$B$4)),1,0)</x:f>
        <x:v>0</x:v>
      </x:c>
      <x:c r="J65" s="1" t="n">
        <x:f>IF(AND(I65=1,F65&lt;Reporting!$B$4),1,0)</x:f>
        <x:v>0</x:v>
      </x:c>
      <x:c r="K65" s="1" t="n">
        <x:f>IF(F65&lt;Reporting!$B$4,1,0)</x:f>
        <x:v>1</x:v>
      </x:c>
      <x:c r="L65" s="1" t="n">
        <x:f>IF(AND(K65=1,G65&lt;&gt;"",G65&lt;=F65),1,0)</x:f>
        <x:v>1</x:v>
      </x:c>
      <x:c r="M65" s="1" t="n">
        <x:f>IF(AND(G65&lt;&gt;"",G65&lt;Reporting!$B$4),1,0)</x:f>
        <x:v>1</x:v>
      </x:c>
      <x:c r="N65" s="16" t="n">
        <x:f>IF(M65=1,G65-E65,"")</x:f>
        <x:v>2</x:v>
      </x:c>
      <x:c r="O65" s="1" t="str">
        <x:f>IF(E65&gt;=Reporting!$B$4,"Outside cutoff",IF(M65=1,"Closed",IF(J65=1,"Overdue","Open - within SLA")))</x:f>
        <x:v>Closed</x:v>
      </x:c>
    </x:row>
    <x:row r="66">
      <x:c r="A66" s="14" t="str">
        <x:v>CASE-00061</x:v>
      </x:c>
      <x:c r="B66" s="14" t="str">
        <x:v>Warehouse</x:v>
      </x:c>
      <x:c r="C66" s="14" t="str">
        <x:v>Late review</x:v>
      </x:c>
      <x:c r="D66" s="14" t="str">
        <x:v>Medium</x:v>
      </x:c>
      <x:c r="E66" s="15" t="n">
        <x:v>46224.541666666664</x:v>
      </x:c>
      <x:c r="F66" s="15" t="n">
        <x:v>46231.541666666664</x:v>
      </x:c>
      <x:c r="G66" s="15" t="n">
        <x:v>46228.625</x:v>
      </x:c>
      <x:c r="H66" s="14" t="n">
        <x:v>2</x:v>
      </x:c>
      <x:c r="I66" s="1" t="n">
        <x:f>IF(AND(E66&lt;Reporting!$B$4,OR(G66="",G66&gt;=Reporting!$B$4)),1,0)</x:f>
        <x:v>0</x:v>
      </x:c>
      <x:c r="J66" s="1" t="n">
        <x:f>IF(AND(I66=1,F66&lt;Reporting!$B$4),1,0)</x:f>
        <x:v>0</x:v>
      </x:c>
      <x:c r="K66" s="1" t="n">
        <x:f>IF(F66&lt;Reporting!$B$4,1,0)</x:f>
        <x:v>1</x:v>
      </x:c>
      <x:c r="L66" s="1" t="n">
        <x:f>IF(AND(K66=1,G66&lt;&gt;"",G66&lt;=F66),1,0)</x:f>
        <x:v>1</x:v>
      </x:c>
      <x:c r="M66" s="1" t="n">
        <x:f>IF(AND(G66&lt;&gt;"",G66&lt;Reporting!$B$4),1,0)</x:f>
        <x:v>1</x:v>
      </x:c>
      <x:c r="N66" s="16" t="n">
        <x:f>IF(M66=1,G66-E66,"")</x:f>
        <x:v>4.083333333335759</x:v>
      </x:c>
      <x:c r="O66" s="1" t="str">
        <x:f>IF(E66&gt;=Reporting!$B$4,"Outside cutoff",IF(M66=1,"Closed",IF(J66=1,"Overdue","Open - within SLA")))</x:f>
        <x:v>Closed</x:v>
      </x:c>
    </x:row>
    <x:row r="67">
      <x:c r="A67" s="14" t="str">
        <x:v>CASE-00062</x:v>
      </x:c>
      <x:c r="B67" s="14" t="str">
        <x:v>Installation</x:v>
      </x:c>
      <x:c r="C67" s="14" t="str">
        <x:v>Record mismatch</x:v>
      </x:c>
      <x:c r="D67" s="14" t="str">
        <x:v>Medium</x:v>
      </x:c>
      <x:c r="E67" s="15" t="n">
        <x:v>46238.5</x:v>
      </x:c>
      <x:c r="F67" s="15" t="n">
        <x:v>46245.5</x:v>
      </x:c>
      <x:c r="G67" s="15" t="n">
        <x:v>46242.5</x:v>
      </x:c>
      <x:c r="H67" s="14" t="n">
        <x:v>3</x:v>
      </x:c>
      <x:c r="I67" s="1" t="n">
        <x:f>IF(AND(E67&lt;Reporting!$B$4,OR(G67="",G67&gt;=Reporting!$B$4)),1,0)</x:f>
        <x:v>0</x:v>
      </x:c>
      <x:c r="J67" s="1" t="n">
        <x:f>IF(AND(I67=1,F67&lt;Reporting!$B$4),1,0)</x:f>
        <x:v>0</x:v>
      </x:c>
      <x:c r="K67" s="1" t="n">
        <x:f>IF(F67&lt;Reporting!$B$4,1,0)</x:f>
        <x:v>1</x:v>
      </x:c>
      <x:c r="L67" s="1" t="n">
        <x:f>IF(AND(K67=1,G67&lt;&gt;"",G67&lt;=F67),1,0)</x:f>
        <x:v>1</x:v>
      </x:c>
      <x:c r="M67" s="1" t="n">
        <x:f>IF(AND(G67&lt;&gt;"",G67&lt;Reporting!$B$4),1,0)</x:f>
        <x:v>1</x:v>
      </x:c>
      <x:c r="N67" s="16" t="n">
        <x:f>IF(M67=1,G67-E67,"")</x:f>
        <x:v>4</x:v>
      </x:c>
      <x:c r="O67" s="1" t="str">
        <x:f>IF(E67&gt;=Reporting!$B$4,"Outside cutoff",IF(M67=1,"Closed",IF(J67=1,"Overdue","Open - within SLA")))</x:f>
        <x:v>Closed</x:v>
      </x:c>
    </x:row>
    <x:row r="68">
      <x:c r="A68" s="14" t="str">
        <x:v>CASE-00063</x:v>
      </x:c>
      <x:c r="B68" s="14" t="str">
        <x:v>Customer Services</x:v>
      </x:c>
      <x:c r="C68" s="14" t="str">
        <x:v>Record mismatch</x:v>
      </x:c>
      <x:c r="D68" s="14" t="str">
        <x:v>High</x:v>
      </x:c>
      <x:c r="E68" s="15" t="n">
        <x:v>46247.458333333336</x:v>
      </x:c>
      <x:c r="F68" s="15" t="n">
        <x:v>46250.458333333336</x:v>
      </x:c>
      <x:c r="G68" s="15" t="n">
        <x:v>46260.541666666664</x:v>
      </x:c>
      <x:c r="H68" s="14" t="n">
        <x:v>1</x:v>
      </x:c>
      <x:c r="I68" s="1" t="n">
        <x:f>IF(AND(E68&lt;Reporting!$B$4,OR(G68="",G68&gt;=Reporting!$B$4)),1,0)</x:f>
        <x:v>0</x:v>
      </x:c>
      <x:c r="J68" s="1" t="n">
        <x:f>IF(AND(I68=1,F68&lt;Reporting!$B$4),1,0)</x:f>
        <x:v>0</x:v>
      </x:c>
      <x:c r="K68" s="1" t="n">
        <x:f>IF(F68&lt;Reporting!$B$4,1,0)</x:f>
        <x:v>1</x:v>
      </x:c>
      <x:c r="L68" s="1" t="n">
        <x:f>IF(AND(K68=1,G68&lt;&gt;"",G68&lt;=F68),1,0)</x:f>
        <x:v>0</x:v>
      </x:c>
      <x:c r="M68" s="1" t="n">
        <x:f>IF(AND(G68&lt;&gt;"",G68&lt;Reporting!$B$4),1,0)</x:f>
        <x:v>1</x:v>
      </x:c>
      <x:c r="N68" s="16" t="n">
        <x:f>IF(M68=1,G68-E68,"")</x:f>
        <x:v>13.083333333328483</x:v>
      </x:c>
      <x:c r="O68" s="1" t="str">
        <x:f>IF(E68&gt;=Reporting!$B$4,"Outside cutoff",IF(M68=1,"Closed",IF(J68=1,"Overdue","Open - within SLA")))</x:f>
        <x:v>Closed</x:v>
      </x:c>
    </x:row>
    <x:row r="69">
      <x:c r="A69" s="14" t="str">
        <x:v>CASE-00064</x:v>
      </x:c>
      <x:c r="B69" s="14" t="str">
        <x:v>Installation</x:v>
      </x:c>
      <x:c r="C69" s="14" t="str">
        <x:v>Process deviation</x:v>
      </x:c>
      <x:c r="D69" s="14" t="str">
        <x:v>High</x:v>
      </x:c>
      <x:c r="E69" s="15" t="n">
        <x:v>46278.416666666664</x:v>
      </x:c>
      <x:c r="F69" s="15" t="n">
        <x:v>46281.416666666664</x:v>
      </x:c>
      <x:c r="G69" s="15" t="n">
        <x:v>46280.416666666664</x:v>
      </x:c>
      <x:c r="H69" s="14" t="n">
        <x:v>3</x:v>
      </x:c>
      <x:c r="I69" s="1" t="n">
        <x:f>IF(AND(E69&lt;Reporting!$B$4,OR(G69="",G69&gt;=Reporting!$B$4)),1,0)</x:f>
        <x:v>0</x:v>
      </x:c>
      <x:c r="J69" s="1" t="n">
        <x:f>IF(AND(I69=1,F69&lt;Reporting!$B$4),1,0)</x:f>
        <x:v>0</x:v>
      </x:c>
      <x:c r="K69" s="1" t="n">
        <x:f>IF(F69&lt;Reporting!$B$4,1,0)</x:f>
        <x:v>1</x:v>
      </x:c>
      <x:c r="L69" s="1" t="n">
        <x:f>IF(AND(K69=1,G69&lt;&gt;"",G69&lt;=F69),1,0)</x:f>
        <x:v>1</x:v>
      </x:c>
      <x:c r="M69" s="1" t="n">
        <x:f>IF(AND(G69&lt;&gt;"",G69&lt;Reporting!$B$4),1,0)</x:f>
        <x:v>1</x:v>
      </x:c>
      <x:c r="N69" s="16" t="n">
        <x:f>IF(M69=1,G69-E69,"")</x:f>
        <x:v>2</x:v>
      </x:c>
      <x:c r="O69" s="1" t="str">
        <x:f>IF(E69&gt;=Reporting!$B$4,"Outside cutoff",IF(M69=1,"Closed",IF(J69=1,"Overdue","Open - within SLA")))</x:f>
        <x:v>Closed</x:v>
      </x:c>
    </x:row>
    <x:row r="70">
      <x:c r="A70" s="14" t="str">
        <x:v>CASE-00065</x:v>
      </x:c>
      <x:c r="B70" s="14" t="str">
        <x:v>Customer Services</x:v>
      </x:c>
      <x:c r="C70" s="14" t="str">
        <x:v>Process deviation</x:v>
      </x:c>
      <x:c r="D70" s="14" t="str">
        <x:v>Medium</x:v>
      </x:c>
      <x:c r="E70" s="15" t="n">
        <x:v>46206.333333333336</x:v>
      </x:c>
      <x:c r="F70" s="15" t="n">
        <x:v>46213.333333333336</x:v>
      </x:c>
      <x:c r="G70" s="15" t="n">
        <x:v>46214.375</x:v>
      </x:c>
      <x:c r="H70" s="14" t="n">
        <x:v>1</x:v>
      </x:c>
      <x:c r="I70" s="1" t="n">
        <x:f>IF(AND(E70&lt;Reporting!$B$4,OR(G70="",G70&gt;=Reporting!$B$4)),1,0)</x:f>
        <x:v>0</x:v>
      </x:c>
      <x:c r="J70" s="1" t="n">
        <x:f>IF(AND(I70=1,F70&lt;Reporting!$B$4),1,0)</x:f>
        <x:v>0</x:v>
      </x:c>
      <x:c r="K70" s="1" t="n">
        <x:f>IF(F70&lt;Reporting!$B$4,1,0)</x:f>
        <x:v>1</x:v>
      </x:c>
      <x:c r="L70" s="1" t="n">
        <x:f>IF(AND(K70=1,G70&lt;&gt;"",G70&lt;=F70),1,0)</x:f>
        <x:v>0</x:v>
      </x:c>
      <x:c r="M70" s="1" t="n">
        <x:f>IF(AND(G70&lt;&gt;"",G70&lt;Reporting!$B$4),1,0)</x:f>
        <x:v>1</x:v>
      </x:c>
      <x:c r="N70" s="16" t="n">
        <x:f>IF(M70=1,G70-E70,"")</x:f>
        <x:v>8.041666666664241</x:v>
      </x:c>
      <x:c r="O70" s="1" t="str">
        <x:f>IF(E70&gt;=Reporting!$B$4,"Outside cutoff",IF(M70=1,"Closed",IF(J70=1,"Overdue","Open - within SLA")))</x:f>
        <x:v>Closed</x:v>
      </x:c>
    </x:row>
    <x:row r="71">
      <x:c r="A71" s="14" t="str">
        <x:v>CASE-00066</x:v>
      </x:c>
      <x:c r="B71" s="14" t="str">
        <x:v>Installation</x:v>
      </x:c>
      <x:c r="C71" s="14" t="str">
        <x:v>Process deviation</x:v>
      </x:c>
      <x:c r="D71" s="14" t="str">
        <x:v>Low</x:v>
      </x:c>
      <x:c r="E71" s="15" t="n">
        <x:v>46206.5</x:v>
      </x:c>
      <x:c r="F71" s="15" t="n">
        <x:v>46220.5</x:v>
      </x:c>
      <x:c r="G71" s="15"/>
      <x:c r="H71" s="14" t="n">
        <x:v>3</x:v>
      </x:c>
      <x:c r="I71" s="1" t="n">
        <x:f>IF(AND(E71&lt;Reporting!$B$4,OR(G71="",G71&gt;=Reporting!$B$4)),1,0)</x:f>
        <x:v>1</x:v>
      </x:c>
      <x:c r="J71" s="1" t="n">
        <x:f>IF(AND(I71=1,F71&lt;Reporting!$B$4),1,0)</x:f>
        <x:v>1</x:v>
      </x:c>
      <x:c r="K71" s="1" t="n">
        <x:f>IF(F71&lt;Reporting!$B$4,1,0)</x:f>
        <x:v>1</x:v>
      </x:c>
      <x:c r="L71" s="1" t="n">
        <x:f>IF(AND(K71=1,G71&lt;&gt;"",G71&lt;=F71),1,0)</x:f>
        <x:v>0</x:v>
      </x:c>
      <x:c r="M71" s="1" t="n">
        <x:f>IF(AND(G71&lt;&gt;"",G71&lt;Reporting!$B$4),1,0)</x:f>
        <x:v>0</x:v>
      </x:c>
      <x:c r="N71" s="16" t="str">
        <x:f>IF(M71=1,G71-E71,"")</x:f>
      </x:c>
      <x:c r="O71" s="1" t="str">
        <x:f>IF(E71&gt;=Reporting!$B$4,"Outside cutoff",IF(M71=1,"Closed",IF(J71=1,"Overdue","Open - within SLA")))</x:f>
        <x:v>Overdue</x:v>
      </x:c>
    </x:row>
    <x:row r="72">
      <x:c r="A72" s="14" t="str">
        <x:v>CASE-00067</x:v>
      </x:c>
      <x:c r="B72" s="14" t="str">
        <x:v>Customer Services</x:v>
      </x:c>
      <x:c r="C72" s="14" t="str">
        <x:v>Late review</x:v>
      </x:c>
      <x:c r="D72" s="14" t="str">
        <x:v>Medium</x:v>
      </x:c>
      <x:c r="E72" s="15" t="n">
        <x:v>46212.416666666664</x:v>
      </x:c>
      <x:c r="F72" s="15" t="n">
        <x:v>46219.416666666664</x:v>
      </x:c>
      <x:c r="G72" s="15" t="n">
        <x:v>46215.5</x:v>
      </x:c>
      <x:c r="H72" s="14" t="n">
        <x:v>1</x:v>
      </x:c>
      <x:c r="I72" s="1" t="n">
        <x:f>IF(AND(E72&lt;Reporting!$B$4,OR(G72="",G72&gt;=Reporting!$B$4)),1,0)</x:f>
        <x:v>0</x:v>
      </x:c>
      <x:c r="J72" s="1" t="n">
        <x:f>IF(AND(I72=1,F72&lt;Reporting!$B$4),1,0)</x:f>
        <x:v>0</x:v>
      </x:c>
      <x:c r="K72" s="1" t="n">
        <x:f>IF(F72&lt;Reporting!$B$4,1,0)</x:f>
        <x:v>1</x:v>
      </x:c>
      <x:c r="L72" s="1" t="n">
        <x:f>IF(AND(K72=1,G72&lt;&gt;"",G72&lt;=F72),1,0)</x:f>
        <x:v>1</x:v>
      </x:c>
      <x:c r="M72" s="1" t="n">
        <x:f>IF(AND(G72&lt;&gt;"",G72&lt;Reporting!$B$4),1,0)</x:f>
        <x:v>1</x:v>
      </x:c>
      <x:c r="N72" s="16" t="n">
        <x:f>IF(M72=1,G72-E72,"")</x:f>
        <x:v>3.0833333333357587</x:v>
      </x:c>
      <x:c r="O72" s="1" t="str">
        <x:f>IF(E72&gt;=Reporting!$B$4,"Outside cutoff",IF(M72=1,"Closed",IF(J72=1,"Overdue","Open - within SLA")))</x:f>
        <x:v>Closed</x:v>
      </x:c>
    </x:row>
    <x:row r="73">
      <x:c r="A73" s="14" t="str">
        <x:v>CASE-00068</x:v>
      </x:c>
      <x:c r="B73" s="14" t="str">
        <x:v>Customer Services</x:v>
      </x:c>
      <x:c r="C73" s="14" t="str">
        <x:v>Missing evidence</x:v>
      </x:c>
      <x:c r="D73" s="14" t="str">
        <x:v>Low</x:v>
      </x:c>
      <x:c r="E73" s="15" t="n">
        <x:v>46235.333333333336</x:v>
      </x:c>
      <x:c r="F73" s="15" t="n">
        <x:v>46249.333333333336</x:v>
      </x:c>
      <x:c r="G73" s="15" t="n">
        <x:v>46241.416666666664</x:v>
      </x:c>
      <x:c r="H73" s="14" t="n">
        <x:v>1</x:v>
      </x:c>
      <x:c r="I73" s="1" t="n">
        <x:f>IF(AND(E73&lt;Reporting!$B$4,OR(G73="",G73&gt;=Reporting!$B$4)),1,0)</x:f>
        <x:v>0</x:v>
      </x:c>
      <x:c r="J73" s="1" t="n">
        <x:f>IF(AND(I73=1,F73&lt;Reporting!$B$4),1,0)</x:f>
        <x:v>0</x:v>
      </x:c>
      <x:c r="K73" s="1" t="n">
        <x:f>IF(F73&lt;Reporting!$B$4,1,0)</x:f>
        <x:v>1</x:v>
      </x:c>
      <x:c r="L73" s="1" t="n">
        <x:f>IF(AND(K73=1,G73&lt;&gt;"",G73&lt;=F73),1,0)</x:f>
        <x:v>1</x:v>
      </x:c>
      <x:c r="M73" s="1" t="n">
        <x:f>IF(AND(G73&lt;&gt;"",G73&lt;Reporting!$B$4),1,0)</x:f>
        <x:v>1</x:v>
      </x:c>
      <x:c r="N73" s="16" t="n">
        <x:f>IF(M73=1,G73-E73,"")</x:f>
        <x:v>6.083333333328483</x:v>
      </x:c>
      <x:c r="O73" s="1" t="str">
        <x:f>IF(E73&gt;=Reporting!$B$4,"Outside cutoff",IF(M73=1,"Closed",IF(J73=1,"Overdue","Open - within SLA")))</x:f>
        <x:v>Closed</x:v>
      </x:c>
    </x:row>
    <x:row r="74">
      <x:c r="A74" s="14" t="str">
        <x:v>CASE-00069</x:v>
      </x:c>
      <x:c r="B74" s="14" t="str">
        <x:v>Warehouse</x:v>
      </x:c>
      <x:c r="C74" s="14" t="str">
        <x:v>Late review</x:v>
      </x:c>
      <x:c r="D74" s="14" t="str">
        <x:v>Medium</x:v>
      </x:c>
      <x:c r="E74" s="15" t="n">
        <x:v>46249.5</x:v>
      </x:c>
      <x:c r="F74" s="15" t="n">
        <x:v>46256.5</x:v>
      </x:c>
      <x:c r="G74" s="15" t="n">
        <x:v>46267.5</x:v>
      </x:c>
      <x:c r="H74" s="14" t="n">
        <x:v>2</x:v>
      </x:c>
      <x:c r="I74" s="1" t="n">
        <x:f>IF(AND(E74&lt;Reporting!$B$4,OR(G74="",G74&gt;=Reporting!$B$4)),1,0)</x:f>
        <x:v>0</x:v>
      </x:c>
      <x:c r="J74" s="1" t="n">
        <x:f>IF(AND(I74=1,F74&lt;Reporting!$B$4),1,0)</x:f>
        <x:v>0</x:v>
      </x:c>
      <x:c r="K74" s="1" t="n">
        <x:f>IF(F74&lt;Reporting!$B$4,1,0)</x:f>
        <x:v>1</x:v>
      </x:c>
      <x:c r="L74" s="1" t="n">
        <x:f>IF(AND(K74=1,G74&lt;&gt;"",G74&lt;=F74),1,0)</x:f>
        <x:v>0</x:v>
      </x:c>
      <x:c r="M74" s="1" t="n">
        <x:f>IF(AND(G74&lt;&gt;"",G74&lt;Reporting!$B$4),1,0)</x:f>
        <x:v>1</x:v>
      </x:c>
      <x:c r="N74" s="16" t="n">
        <x:f>IF(M74=1,G74-E74,"")</x:f>
        <x:v>18</x:v>
      </x:c>
      <x:c r="O74" s="1" t="str">
        <x:f>IF(E74&gt;=Reporting!$B$4,"Outside cutoff",IF(M74=1,"Closed",IF(J74=1,"Overdue","Open - within SLA")))</x:f>
        <x:v>Closed</x:v>
      </x:c>
    </x:row>
    <x:row r="75">
      <x:c r="A75" s="14" t="str">
        <x:v>CASE-00070</x:v>
      </x:c>
      <x:c r="B75" s="14" t="str">
        <x:v>Customer Services</x:v>
      </x:c>
      <x:c r="C75" s="14" t="str">
        <x:v>Record mismatch</x:v>
      </x:c>
      <x:c r="D75" s="14" t="str">
        <x:v>High</x:v>
      </x:c>
      <x:c r="E75" s="15" t="n">
        <x:v>46281.625</x:v>
      </x:c>
      <x:c r="F75" s="15" t="n">
        <x:v>46284.625</x:v>
      </x:c>
      <x:c r="G75" s="15"/>
      <x:c r="H75" s="14" t="n">
        <x:v>1</x:v>
      </x:c>
      <x:c r="I75" s="1" t="n">
        <x:f>IF(AND(E75&lt;Reporting!$B$4,OR(G75="",G75&gt;=Reporting!$B$4)),1,0)</x:f>
        <x:v>1</x:v>
      </x:c>
      <x:c r="J75" s="1" t="n">
        <x:f>IF(AND(I75=1,F75&lt;Reporting!$B$4),1,0)</x:f>
        <x:v>1</x:v>
      </x:c>
      <x:c r="K75" s="1" t="n">
        <x:f>IF(F75&lt;Reporting!$B$4,1,0)</x:f>
        <x:v>1</x:v>
      </x:c>
      <x:c r="L75" s="1" t="n">
        <x:f>IF(AND(K75=1,G75&lt;&gt;"",G75&lt;=F75),1,0)</x:f>
        <x:v>0</x:v>
      </x:c>
      <x:c r="M75" s="1" t="n">
        <x:f>IF(AND(G75&lt;&gt;"",G75&lt;Reporting!$B$4),1,0)</x:f>
        <x:v>0</x:v>
      </x:c>
      <x:c r="N75" s="16" t="str">
        <x:f>IF(M75=1,G75-E75,"")</x:f>
      </x:c>
      <x:c r="O75" s="1" t="str">
        <x:f>IF(E75&gt;=Reporting!$B$4,"Outside cutoff",IF(M75=1,"Closed",IF(J75=1,"Overdue","Open - within SLA")))</x:f>
        <x:v>Overdue</x:v>
      </x:c>
    </x:row>
    <x:row r="76">
      <x:c r="A76" s="14" t="str">
        <x:v>CASE-00071</x:v>
      </x:c>
      <x:c r="B76" s="14" t="str">
        <x:v>Installation</x:v>
      </x:c>
      <x:c r="C76" s="14" t="str">
        <x:v>Late review</x:v>
      </x:c>
      <x:c r="D76" s="14" t="str">
        <x:v>Medium</x:v>
      </x:c>
      <x:c r="E76" s="15" t="n">
        <x:v>46277.666666666664</x:v>
      </x:c>
      <x:c r="F76" s="15" t="n">
        <x:v>46284.666666666664</x:v>
      </x:c>
      <x:c r="G76" s="15" t="n">
        <x:v>46282.75</x:v>
      </x:c>
      <x:c r="H76" s="14" t="n">
        <x:v>3</x:v>
      </x:c>
      <x:c r="I76" s="1" t="n">
        <x:f>IF(AND(E76&lt;Reporting!$B$4,OR(G76="",G76&gt;=Reporting!$B$4)),1,0)</x:f>
        <x:v>0</x:v>
      </x:c>
      <x:c r="J76" s="1" t="n">
        <x:f>IF(AND(I76=1,F76&lt;Reporting!$B$4),1,0)</x:f>
        <x:v>0</x:v>
      </x:c>
      <x:c r="K76" s="1" t="n">
        <x:f>IF(F76&lt;Reporting!$B$4,1,0)</x:f>
        <x:v>1</x:v>
      </x:c>
      <x:c r="L76" s="1" t="n">
        <x:f>IF(AND(K76=1,G76&lt;&gt;"",G76&lt;=F76),1,0)</x:f>
        <x:v>1</x:v>
      </x:c>
      <x:c r="M76" s="1" t="n">
        <x:f>IF(AND(G76&lt;&gt;"",G76&lt;Reporting!$B$4),1,0)</x:f>
        <x:v>1</x:v>
      </x:c>
      <x:c r="N76" s="16" t="n">
        <x:f>IF(M76=1,G76-E76,"")</x:f>
        <x:v>5.083333333335759</x:v>
      </x:c>
      <x:c r="O76" s="1" t="str">
        <x:f>IF(E76&gt;=Reporting!$B$4,"Outside cutoff",IF(M76=1,"Closed",IF(J76=1,"Overdue","Open - within SLA")))</x:f>
        <x:v>Closed</x:v>
      </x:c>
    </x:row>
    <x:row r="77">
      <x:c r="A77" s="14" t="str">
        <x:v>CASE-00072</x:v>
      </x:c>
      <x:c r="B77" s="14" t="str">
        <x:v>Warehouse</x:v>
      </x:c>
      <x:c r="C77" s="14" t="str">
        <x:v>Process deviation</x:v>
      </x:c>
      <x:c r="D77" s="14" t="str">
        <x:v>Medium</x:v>
      </x:c>
      <x:c r="E77" s="15" t="n">
        <x:v>46248.416666666664</x:v>
      </x:c>
      <x:c r="F77" s="15" t="n">
        <x:v>46255.416666666664</x:v>
      </x:c>
      <x:c r="G77" s="15" t="n">
        <x:v>46275.416666666664</x:v>
      </x:c>
      <x:c r="H77" s="14" t="n">
        <x:v>2</x:v>
      </x:c>
      <x:c r="I77" s="1" t="n">
        <x:f>IF(AND(E77&lt;Reporting!$B$4,OR(G77="",G77&gt;=Reporting!$B$4)),1,0)</x:f>
        <x:v>0</x:v>
      </x:c>
      <x:c r="J77" s="1" t="n">
        <x:f>IF(AND(I77=1,F77&lt;Reporting!$B$4),1,0)</x:f>
        <x:v>0</x:v>
      </x:c>
      <x:c r="K77" s="1" t="n">
        <x:f>IF(F77&lt;Reporting!$B$4,1,0)</x:f>
        <x:v>1</x:v>
      </x:c>
      <x:c r="L77" s="1" t="n">
        <x:f>IF(AND(K77=1,G77&lt;&gt;"",G77&lt;=F77),1,0)</x:f>
        <x:v>0</x:v>
      </x:c>
      <x:c r="M77" s="1" t="n">
        <x:f>IF(AND(G77&lt;&gt;"",G77&lt;Reporting!$B$4),1,0)</x:f>
        <x:v>1</x:v>
      </x:c>
      <x:c r="N77" s="16" t="n">
        <x:f>IF(M77=1,G77-E77,"")</x:f>
        <x:v>27</x:v>
      </x:c>
      <x:c r="O77" s="1" t="str">
        <x:f>IF(E77&gt;=Reporting!$B$4,"Outside cutoff",IF(M77=1,"Closed",IF(J77=1,"Overdue","Open - within SLA")))</x:f>
        <x:v>Closed</x:v>
      </x:c>
    </x:row>
    <x:row r="78">
      <x:c r="A78" s="14" t="str">
        <x:v>CASE-00073</x:v>
      </x:c>
      <x:c r="B78" s="14" t="str">
        <x:v>Warehouse</x:v>
      </x:c>
      <x:c r="C78" s="14" t="str">
        <x:v>Missing evidence</x:v>
      </x:c>
      <x:c r="D78" s="14" t="str">
        <x:v>Low</x:v>
      </x:c>
      <x:c r="E78" s="15" t="n">
        <x:v>46237.458333333336</x:v>
      </x:c>
      <x:c r="F78" s="15" t="n">
        <x:v>46251.458333333336</x:v>
      </x:c>
      <x:c r="G78" s="15" t="n">
        <x:v>46250.541666666664</x:v>
      </x:c>
      <x:c r="H78" s="14" t="n">
        <x:v>2</x:v>
      </x:c>
      <x:c r="I78" s="1" t="n">
        <x:f>IF(AND(E78&lt;Reporting!$B$4,OR(G78="",G78&gt;=Reporting!$B$4)),1,0)</x:f>
        <x:v>0</x:v>
      </x:c>
      <x:c r="J78" s="1" t="n">
        <x:f>IF(AND(I78=1,F78&lt;Reporting!$B$4),1,0)</x:f>
        <x:v>0</x:v>
      </x:c>
      <x:c r="K78" s="1" t="n">
        <x:f>IF(F78&lt;Reporting!$B$4,1,0)</x:f>
        <x:v>1</x:v>
      </x:c>
      <x:c r="L78" s="1" t="n">
        <x:f>IF(AND(K78=1,G78&lt;&gt;"",G78&lt;=F78),1,0)</x:f>
        <x:v>1</x:v>
      </x:c>
      <x:c r="M78" s="1" t="n">
        <x:f>IF(AND(G78&lt;&gt;"",G78&lt;Reporting!$B$4),1,0)</x:f>
        <x:v>1</x:v>
      </x:c>
      <x:c r="N78" s="16" t="n">
        <x:f>IF(M78=1,G78-E78,"")</x:f>
        <x:v>13.083333333328483</x:v>
      </x:c>
      <x:c r="O78" s="1" t="str">
        <x:f>IF(E78&gt;=Reporting!$B$4,"Outside cutoff",IF(M78=1,"Closed",IF(J78=1,"Overdue","Open - within SLA")))</x:f>
        <x:v>Closed</x:v>
      </x:c>
    </x:row>
    <x:row r="79">
      <x:c r="A79" s="14" t="str">
        <x:v>CASE-00074</x:v>
      </x:c>
      <x:c r="B79" s="14" t="str">
        <x:v>Customer Services</x:v>
      </x:c>
      <x:c r="C79" s="14" t="str">
        <x:v>Process deviation</x:v>
      </x:c>
      <x:c r="D79" s="14" t="str">
        <x:v>Medium</x:v>
      </x:c>
      <x:c r="E79" s="15" t="n">
        <x:v>46213.625</x:v>
      </x:c>
      <x:c r="F79" s="15" t="n">
        <x:v>46220.625</x:v>
      </x:c>
      <x:c r="G79" s="15" t="n">
        <x:v>46214.666666666664</x:v>
      </x:c>
      <x:c r="H79" s="14" t="n">
        <x:v>1</x:v>
      </x:c>
      <x:c r="I79" s="1" t="n">
        <x:f>IF(AND(E79&lt;Reporting!$B$4,OR(G79="",G79&gt;=Reporting!$B$4)),1,0)</x:f>
        <x:v>0</x:v>
      </x:c>
      <x:c r="J79" s="1" t="n">
        <x:f>IF(AND(I79=1,F79&lt;Reporting!$B$4),1,0)</x:f>
        <x:v>0</x:v>
      </x:c>
      <x:c r="K79" s="1" t="n">
        <x:f>IF(F79&lt;Reporting!$B$4,1,0)</x:f>
        <x:v>1</x:v>
      </x:c>
      <x:c r="L79" s="1" t="n">
        <x:f>IF(AND(K79=1,G79&lt;&gt;"",G79&lt;=F79),1,0)</x:f>
        <x:v>1</x:v>
      </x:c>
      <x:c r="M79" s="1" t="n">
        <x:f>IF(AND(G79&lt;&gt;"",G79&lt;Reporting!$B$4),1,0)</x:f>
        <x:v>1</x:v>
      </x:c>
      <x:c r="N79" s="16" t="n">
        <x:f>IF(M79=1,G79-E79,"")</x:f>
        <x:v>1.0416666666642413</x:v>
      </x:c>
      <x:c r="O79" s="1" t="str">
        <x:f>IF(E79&gt;=Reporting!$B$4,"Outside cutoff",IF(M79=1,"Closed",IF(J79=1,"Overdue","Open - within SLA")))</x:f>
        <x:v>Closed</x:v>
      </x:c>
    </x:row>
    <x:row r="80">
      <x:c r="A80" s="14" t="str">
        <x:v>CASE-00075</x:v>
      </x:c>
      <x:c r="B80" s="14" t="str">
        <x:v>Customer Services</x:v>
      </x:c>
      <x:c r="C80" s="14" t="str">
        <x:v>Late review</x:v>
      </x:c>
      <x:c r="D80" s="14" t="str">
        <x:v>Medium</x:v>
      </x:c>
      <x:c r="E80" s="15" t="n">
        <x:v>46229.625</x:v>
      </x:c>
      <x:c r="F80" s="15" t="n">
        <x:v>46236.625</x:v>
      </x:c>
      <x:c r="G80" s="15" t="n">
        <x:v>46241.625</x:v>
      </x:c>
      <x:c r="H80" s="14" t="n">
        <x:v>1</x:v>
      </x:c>
      <x:c r="I80" s="1" t="n">
        <x:f>IF(AND(E80&lt;Reporting!$B$4,OR(G80="",G80&gt;=Reporting!$B$4)),1,0)</x:f>
        <x:v>0</x:v>
      </x:c>
      <x:c r="J80" s="1" t="n">
        <x:f>IF(AND(I80=1,F80&lt;Reporting!$B$4),1,0)</x:f>
        <x:v>0</x:v>
      </x:c>
      <x:c r="K80" s="1" t="n">
        <x:f>IF(F80&lt;Reporting!$B$4,1,0)</x:f>
        <x:v>1</x:v>
      </x:c>
      <x:c r="L80" s="1" t="n">
        <x:f>IF(AND(K80=1,G80&lt;&gt;"",G80&lt;=F80),1,0)</x:f>
        <x:v>0</x:v>
      </x:c>
      <x:c r="M80" s="1" t="n">
        <x:f>IF(AND(G80&lt;&gt;"",G80&lt;Reporting!$B$4),1,0)</x:f>
        <x:v>1</x:v>
      </x:c>
      <x:c r="N80" s="16" t="n">
        <x:f>IF(M80=1,G80-E80,"")</x:f>
        <x:v>12</x:v>
      </x:c>
      <x:c r="O80" s="1" t="str">
        <x:f>IF(E80&gt;=Reporting!$B$4,"Outside cutoff",IF(M80=1,"Closed",IF(J80=1,"Overdue","Open - within SLA")))</x:f>
        <x:v>Closed</x:v>
      </x:c>
    </x:row>
    <x:row r="81">
      <x:c r="A81" s="14" t="str">
        <x:v>CASE-00076</x:v>
      </x:c>
      <x:c r="B81" s="14" t="str">
        <x:v>Warehouse</x:v>
      </x:c>
      <x:c r="C81" s="14" t="str">
        <x:v>Record mismatch</x:v>
      </x:c>
      <x:c r="D81" s="14" t="str">
        <x:v>High</x:v>
      </x:c>
      <x:c r="E81" s="15" t="n">
        <x:v>46239.5</x:v>
      </x:c>
      <x:c r="F81" s="15" t="n">
        <x:v>46242.5</x:v>
      </x:c>
      <x:c r="G81" s="15" t="n">
        <x:v>46249.583333333336</x:v>
      </x:c>
      <x:c r="H81" s="14" t="n">
        <x:v>2</x:v>
      </x:c>
      <x:c r="I81" s="1" t="n">
        <x:f>IF(AND(E81&lt;Reporting!$B$4,OR(G81="",G81&gt;=Reporting!$B$4)),1,0)</x:f>
        <x:v>0</x:v>
      </x:c>
      <x:c r="J81" s="1" t="n">
        <x:f>IF(AND(I81=1,F81&lt;Reporting!$B$4),1,0)</x:f>
        <x:v>0</x:v>
      </x:c>
      <x:c r="K81" s="1" t="n">
        <x:f>IF(F81&lt;Reporting!$B$4,1,0)</x:f>
        <x:v>1</x:v>
      </x:c>
      <x:c r="L81" s="1" t="n">
        <x:f>IF(AND(K81=1,G81&lt;&gt;"",G81&lt;=F81),1,0)</x:f>
        <x:v>0</x:v>
      </x:c>
      <x:c r="M81" s="1" t="n">
        <x:f>IF(AND(G81&lt;&gt;"",G81&lt;Reporting!$B$4),1,0)</x:f>
        <x:v>1</x:v>
      </x:c>
      <x:c r="N81" s="16" t="n">
        <x:f>IF(M81=1,G81-E81,"")</x:f>
        <x:v>10.083333333335759</x:v>
      </x:c>
      <x:c r="O81" s="1" t="str">
        <x:f>IF(E81&gt;=Reporting!$B$4,"Outside cutoff",IF(M81=1,"Closed",IF(J81=1,"Overdue","Open - within SLA")))</x:f>
        <x:v>Closed</x:v>
      </x:c>
    </x:row>
    <x:row r="82">
      <x:c r="A82" s="14" t="str">
        <x:v>CASE-00077</x:v>
      </x:c>
      <x:c r="B82" s="14" t="str">
        <x:v>Warehouse</x:v>
      </x:c>
      <x:c r="C82" s="14" t="str">
        <x:v>Record mismatch</x:v>
      </x:c>
      <x:c r="D82" s="14" t="str">
        <x:v>Medium</x:v>
      </x:c>
      <x:c r="E82" s="15" t="n">
        <x:v>46247.666666666664</x:v>
      </x:c>
      <x:c r="F82" s="15" t="n">
        <x:v>46254.666666666664</x:v>
      </x:c>
      <x:c r="G82" s="15" t="n">
        <x:v>46262.708333333336</x:v>
      </x:c>
      <x:c r="H82" s="14" t="n">
        <x:v>2</x:v>
      </x:c>
      <x:c r="I82" s="1" t="n">
        <x:f>IF(AND(E82&lt;Reporting!$B$4,OR(G82="",G82&gt;=Reporting!$B$4)),1,0)</x:f>
        <x:v>0</x:v>
      </x:c>
      <x:c r="J82" s="1" t="n">
        <x:f>IF(AND(I82=1,F82&lt;Reporting!$B$4),1,0)</x:f>
        <x:v>0</x:v>
      </x:c>
      <x:c r="K82" s="1" t="n">
        <x:f>IF(F82&lt;Reporting!$B$4,1,0)</x:f>
        <x:v>1</x:v>
      </x:c>
      <x:c r="L82" s="1" t="n">
        <x:f>IF(AND(K82=1,G82&lt;&gt;"",G82&lt;=F82),1,0)</x:f>
        <x:v>0</x:v>
      </x:c>
      <x:c r="M82" s="1" t="n">
        <x:f>IF(AND(G82&lt;&gt;"",G82&lt;Reporting!$B$4),1,0)</x:f>
        <x:v>1</x:v>
      </x:c>
      <x:c r="N82" s="16" t="n">
        <x:f>IF(M82=1,G82-E82,"")</x:f>
        <x:v>15.041666666671517</x:v>
      </x:c>
      <x:c r="O82" s="1" t="str">
        <x:f>IF(E82&gt;=Reporting!$B$4,"Outside cutoff",IF(M82=1,"Closed",IF(J82=1,"Overdue","Open - within SLA")))</x:f>
        <x:v>Closed</x:v>
      </x:c>
    </x:row>
    <x:row r="83">
      <x:c r="A83" s="14" t="str">
        <x:v>CASE-00078</x:v>
      </x:c>
      <x:c r="B83" s="14" t="str">
        <x:v>Customer Services</x:v>
      </x:c>
      <x:c r="C83" s="14" t="str">
        <x:v>Record mismatch</x:v>
      </x:c>
      <x:c r="D83" s="14" t="str">
        <x:v>Low</x:v>
      </x:c>
      <x:c r="E83" s="15" t="n">
        <x:v>46224.5</x:v>
      </x:c>
      <x:c r="F83" s="15" t="n">
        <x:v>46238.5</x:v>
      </x:c>
      <x:c r="G83" s="15" t="n">
        <x:v>46227.583333333336</x:v>
      </x:c>
      <x:c r="H83" s="14" t="n">
        <x:v>1</x:v>
      </x:c>
      <x:c r="I83" s="1" t="n">
        <x:f>IF(AND(E83&lt;Reporting!$B$4,OR(G83="",G83&gt;=Reporting!$B$4)),1,0)</x:f>
        <x:v>0</x:v>
      </x:c>
      <x:c r="J83" s="1" t="n">
        <x:f>IF(AND(I83=1,F83&lt;Reporting!$B$4),1,0)</x:f>
        <x:v>0</x:v>
      </x:c>
      <x:c r="K83" s="1" t="n">
        <x:f>IF(F83&lt;Reporting!$B$4,1,0)</x:f>
        <x:v>1</x:v>
      </x:c>
      <x:c r="L83" s="1" t="n">
        <x:f>IF(AND(K83=1,G83&lt;&gt;"",G83&lt;=F83),1,0)</x:f>
        <x:v>1</x:v>
      </x:c>
      <x:c r="M83" s="1" t="n">
        <x:f>IF(AND(G83&lt;&gt;"",G83&lt;Reporting!$B$4),1,0)</x:f>
        <x:v>1</x:v>
      </x:c>
      <x:c r="N83" s="16" t="n">
        <x:f>IF(M83=1,G83-E83,"")</x:f>
        <x:v>3.0833333333357587</x:v>
      </x:c>
      <x:c r="O83" s="1" t="str">
        <x:f>IF(E83&gt;=Reporting!$B$4,"Outside cutoff",IF(M83=1,"Closed",IF(J83=1,"Overdue","Open - within SLA")))</x:f>
        <x:v>Closed</x:v>
      </x:c>
    </x:row>
    <x:row r="84">
      <x:c r="A84" s="14" t="str">
        <x:v>CASE-00079</x:v>
      </x:c>
      <x:c r="B84" s="14" t="str">
        <x:v>Warehouse</x:v>
      </x:c>
      <x:c r="C84" s="14" t="str">
        <x:v>Process deviation</x:v>
      </x:c>
      <x:c r="D84" s="14" t="str">
        <x:v>Medium</x:v>
      </x:c>
      <x:c r="E84" s="15" t="n">
        <x:v>46243.458333333336</x:v>
      </x:c>
      <x:c r="F84" s="15" t="n">
        <x:v>46250.458333333336</x:v>
      </x:c>
      <x:c r="G84" s="15"/>
      <x:c r="H84" s="14" t="n">
        <x:v>2</x:v>
      </x:c>
      <x:c r="I84" s="1" t="n">
        <x:f>IF(AND(E84&lt;Reporting!$B$4,OR(G84="",G84&gt;=Reporting!$B$4)),1,0)</x:f>
        <x:v>1</x:v>
      </x:c>
      <x:c r="J84" s="1" t="n">
        <x:f>IF(AND(I84=1,F84&lt;Reporting!$B$4),1,0)</x:f>
        <x:v>1</x:v>
      </x:c>
      <x:c r="K84" s="1" t="n">
        <x:f>IF(F84&lt;Reporting!$B$4,1,0)</x:f>
        <x:v>1</x:v>
      </x:c>
      <x:c r="L84" s="1" t="n">
        <x:f>IF(AND(K84=1,G84&lt;&gt;"",G84&lt;=F84),1,0)</x:f>
        <x:v>0</x:v>
      </x:c>
      <x:c r="M84" s="1" t="n">
        <x:f>IF(AND(G84&lt;&gt;"",G84&lt;Reporting!$B$4),1,0)</x:f>
        <x:v>0</x:v>
      </x:c>
      <x:c r="N84" s="16" t="str">
        <x:f>IF(M84=1,G84-E84,"")</x:f>
      </x:c>
      <x:c r="O84" s="1" t="str">
        <x:f>IF(E84&gt;=Reporting!$B$4,"Outside cutoff",IF(M84=1,"Closed",IF(J84=1,"Overdue","Open - within SLA")))</x:f>
        <x:v>Overdue</x:v>
      </x:c>
    </x:row>
    <x:row r="85">
      <x:c r="A85" s="14" t="str">
        <x:v>CASE-00080</x:v>
      </x:c>
      <x:c r="B85" s="14" t="str">
        <x:v>Warehouse</x:v>
      </x:c>
      <x:c r="C85" s="14" t="str">
        <x:v>Process deviation</x:v>
      </x:c>
      <x:c r="D85" s="14" t="str">
        <x:v>Low</x:v>
      </x:c>
      <x:c r="E85" s="15" t="n">
        <x:v>46223.333333333336</x:v>
      </x:c>
      <x:c r="F85" s="15" t="n">
        <x:v>46237.333333333336</x:v>
      </x:c>
      <x:c r="G85" s="15" t="n">
        <x:v>46238.333333333336</x:v>
      </x:c>
      <x:c r="H85" s="14" t="n">
        <x:v>2</x:v>
      </x:c>
      <x:c r="I85" s="1" t="n">
        <x:f>IF(AND(E85&lt;Reporting!$B$4,OR(G85="",G85&gt;=Reporting!$B$4)),1,0)</x:f>
        <x:v>0</x:v>
      </x:c>
      <x:c r="J85" s="1" t="n">
        <x:f>IF(AND(I85=1,F85&lt;Reporting!$B$4),1,0)</x:f>
        <x:v>0</x:v>
      </x:c>
      <x:c r="K85" s="1" t="n">
        <x:f>IF(F85&lt;Reporting!$B$4,1,0)</x:f>
        <x:v>1</x:v>
      </x:c>
      <x:c r="L85" s="1" t="n">
        <x:f>IF(AND(K85=1,G85&lt;&gt;"",G85&lt;=F85),1,0)</x:f>
        <x:v>0</x:v>
      </x:c>
      <x:c r="M85" s="1" t="n">
        <x:f>IF(AND(G85&lt;&gt;"",G85&lt;Reporting!$B$4),1,0)</x:f>
        <x:v>1</x:v>
      </x:c>
      <x:c r="N85" s="16" t="n">
        <x:f>IF(M85=1,G85-E85,"")</x:f>
        <x:v>15</x:v>
      </x:c>
      <x:c r="O85" s="1" t="str">
        <x:f>IF(E85&gt;=Reporting!$B$4,"Outside cutoff",IF(M85=1,"Closed",IF(J85=1,"Overdue","Open - within SLA")))</x:f>
        <x:v>Closed</x:v>
      </x:c>
    </x:row>
    <x:row r="86">
      <x:c r="A86" s="14" t="str">
        <x:v>CASE-00081</x:v>
      </x:c>
      <x:c r="B86" s="14" t="str">
        <x:v>Customer Services</x:v>
      </x:c>
      <x:c r="C86" s="14" t="str">
        <x:v>Missing evidence</x:v>
      </x:c>
      <x:c r="D86" s="14" t="str">
        <x:v>High</x:v>
      </x:c>
      <x:c r="E86" s="15" t="n">
        <x:v>46214.5</x:v>
      </x:c>
      <x:c r="F86" s="15" t="n">
        <x:v>46217.5</x:v>
      </x:c>
      <x:c r="G86" s="15" t="n">
        <x:v>46223.5</x:v>
      </x:c>
      <x:c r="H86" s="14" t="n">
        <x:v>1</x:v>
      </x:c>
      <x:c r="I86" s="1" t="n">
        <x:f>IF(AND(E86&lt;Reporting!$B$4,OR(G86="",G86&gt;=Reporting!$B$4)),1,0)</x:f>
        <x:v>0</x:v>
      </x:c>
      <x:c r="J86" s="1" t="n">
        <x:f>IF(AND(I86=1,F86&lt;Reporting!$B$4),1,0)</x:f>
        <x:v>0</x:v>
      </x:c>
      <x:c r="K86" s="1" t="n">
        <x:f>IF(F86&lt;Reporting!$B$4,1,0)</x:f>
        <x:v>1</x:v>
      </x:c>
      <x:c r="L86" s="1" t="n">
        <x:f>IF(AND(K86=1,G86&lt;&gt;"",G86&lt;=F86),1,0)</x:f>
        <x:v>0</x:v>
      </x:c>
      <x:c r="M86" s="1" t="n">
        <x:f>IF(AND(G86&lt;&gt;"",G86&lt;Reporting!$B$4),1,0)</x:f>
        <x:v>1</x:v>
      </x:c>
      <x:c r="N86" s="16" t="n">
        <x:f>IF(M86=1,G86-E86,"")</x:f>
        <x:v>9</x:v>
      </x:c>
      <x:c r="O86" s="1" t="str">
        <x:f>IF(E86&gt;=Reporting!$B$4,"Outside cutoff",IF(M86=1,"Closed",IF(J86=1,"Overdue","Open - within SLA")))</x:f>
        <x:v>Closed</x:v>
      </x:c>
    </x:row>
    <x:row r="87">
      <x:c r="A87" s="14" t="str">
        <x:v>CASE-00082</x:v>
      </x:c>
      <x:c r="B87" s="14" t="str">
        <x:v>Customer Services</x:v>
      </x:c>
      <x:c r="C87" s="14" t="str">
        <x:v>Record mismatch</x:v>
      </x:c>
      <x:c r="D87" s="14" t="str">
        <x:v>Medium</x:v>
      </x:c>
      <x:c r="E87" s="15" t="n">
        <x:v>46270.375</x:v>
      </x:c>
      <x:c r="F87" s="15" t="n">
        <x:v>46277.375</x:v>
      </x:c>
      <x:c r="G87" s="15" t="n">
        <x:v>46278.375</x:v>
      </x:c>
      <x:c r="H87" s="14" t="n">
        <x:v>1</x:v>
      </x:c>
      <x:c r="I87" s="1" t="n">
        <x:f>IF(AND(E87&lt;Reporting!$B$4,OR(G87="",G87&gt;=Reporting!$B$4)),1,0)</x:f>
        <x:v>0</x:v>
      </x:c>
      <x:c r="J87" s="1" t="n">
        <x:f>IF(AND(I87=1,F87&lt;Reporting!$B$4),1,0)</x:f>
        <x:v>0</x:v>
      </x:c>
      <x:c r="K87" s="1" t="n">
        <x:f>IF(F87&lt;Reporting!$B$4,1,0)</x:f>
        <x:v>1</x:v>
      </x:c>
      <x:c r="L87" s="1" t="n">
        <x:f>IF(AND(K87=1,G87&lt;&gt;"",G87&lt;=F87),1,0)</x:f>
        <x:v>0</x:v>
      </x:c>
      <x:c r="M87" s="1" t="n">
        <x:f>IF(AND(G87&lt;&gt;"",G87&lt;Reporting!$B$4),1,0)</x:f>
        <x:v>1</x:v>
      </x:c>
      <x:c r="N87" s="16" t="n">
        <x:f>IF(M87=1,G87-E87,"")</x:f>
        <x:v>8</x:v>
      </x:c>
      <x:c r="O87" s="1" t="str">
        <x:f>IF(E87&gt;=Reporting!$B$4,"Outside cutoff",IF(M87=1,"Closed",IF(J87=1,"Overdue","Open - within SLA")))</x:f>
        <x:v>Closed</x:v>
      </x:c>
    </x:row>
    <x:row r="88">
      <x:c r="A88" s="14" t="str">
        <x:v>CASE-00083</x:v>
      </x:c>
      <x:c r="B88" s="14" t="str">
        <x:v>Warehouse</x:v>
      </x:c>
      <x:c r="C88" s="14" t="str">
        <x:v>Late review</x:v>
      </x:c>
      <x:c r="D88" s="14" t="str">
        <x:v>Medium</x:v>
      </x:c>
      <x:c r="E88" s="15" t="n">
        <x:v>46269.416666666664</x:v>
      </x:c>
      <x:c r="F88" s="15" t="n">
        <x:v>46276.416666666664</x:v>
      </x:c>
      <x:c r="G88" s="15"/>
      <x:c r="H88" s="14" t="n">
        <x:v>2</x:v>
      </x:c>
      <x:c r="I88" s="1" t="n">
        <x:f>IF(AND(E88&lt;Reporting!$B$4,OR(G88="",G88&gt;=Reporting!$B$4)),1,0)</x:f>
        <x:v>1</x:v>
      </x:c>
      <x:c r="J88" s="1" t="n">
        <x:f>IF(AND(I88=1,F88&lt;Reporting!$B$4),1,0)</x:f>
        <x:v>1</x:v>
      </x:c>
      <x:c r="K88" s="1" t="n">
        <x:f>IF(F88&lt;Reporting!$B$4,1,0)</x:f>
        <x:v>1</x:v>
      </x:c>
      <x:c r="L88" s="1" t="n">
        <x:f>IF(AND(K88=1,G88&lt;&gt;"",G88&lt;=F88),1,0)</x:f>
        <x:v>0</x:v>
      </x:c>
      <x:c r="M88" s="1" t="n">
        <x:f>IF(AND(G88&lt;&gt;"",G88&lt;Reporting!$B$4),1,0)</x:f>
        <x:v>0</x:v>
      </x:c>
      <x:c r="N88" s="16" t="str">
        <x:f>IF(M88=1,G88-E88,"")</x:f>
      </x:c>
      <x:c r="O88" s="1" t="str">
        <x:f>IF(E88&gt;=Reporting!$B$4,"Outside cutoff",IF(M88=1,"Closed",IF(J88=1,"Overdue","Open - within SLA")))</x:f>
        <x:v>Overdue</x:v>
      </x:c>
    </x:row>
    <x:row r="89">
      <x:c r="A89" s="14" t="str">
        <x:v>CASE-00084</x:v>
      </x:c>
      <x:c r="B89" s="14" t="str">
        <x:v>Installation</x:v>
      </x:c>
      <x:c r="C89" s="14" t="str">
        <x:v>Process deviation</x:v>
      </x:c>
      <x:c r="D89" s="14" t="str">
        <x:v>Low</x:v>
      </x:c>
      <x:c r="E89" s="15" t="n">
        <x:v>46283.541666666664</x:v>
      </x:c>
      <x:c r="F89" s="15" t="n">
        <x:v>46297.541666666664</x:v>
      </x:c>
      <x:c r="G89" s="15" t="n">
        <x:v>46284.541666666664</x:v>
      </x:c>
      <x:c r="H89" s="14" t="n">
        <x:v>3</x:v>
      </x:c>
      <x:c r="I89" s="1" t="n">
        <x:f>IF(AND(E89&lt;Reporting!$B$4,OR(G89="",G89&gt;=Reporting!$B$4)),1,0)</x:f>
        <x:v>0</x:v>
      </x:c>
      <x:c r="J89" s="1" t="n">
        <x:f>IF(AND(I89=1,F89&lt;Reporting!$B$4),1,0)</x:f>
        <x:v>0</x:v>
      </x:c>
      <x:c r="K89" s="1" t="n">
        <x:f>IF(F89&lt;Reporting!$B$4,1,0)</x:f>
        <x:v>0</x:v>
      </x:c>
      <x:c r="L89" s="1" t="n">
        <x:f>IF(AND(K89=1,G89&lt;&gt;"",G89&lt;=F89),1,0)</x:f>
        <x:v>0</x:v>
      </x:c>
      <x:c r="M89" s="1" t="n">
        <x:f>IF(AND(G89&lt;&gt;"",G89&lt;Reporting!$B$4),1,0)</x:f>
        <x:v>1</x:v>
      </x:c>
      <x:c r="N89" s="16" t="n">
        <x:f>IF(M89=1,G89-E89,"")</x:f>
        <x:v>1</x:v>
      </x:c>
      <x:c r="O89" s="1" t="str">
        <x:f>IF(E89&gt;=Reporting!$B$4,"Outside cutoff",IF(M89=1,"Closed",IF(J89=1,"Overdue","Open - within SLA")))</x:f>
        <x:v>Closed</x:v>
      </x:c>
    </x:row>
    <x:row r="90">
      <x:c r="A90" s="14" t="str">
        <x:v>CASE-00085</x:v>
      </x:c>
      <x:c r="B90" s="14" t="str">
        <x:v>Installation</x:v>
      </x:c>
      <x:c r="C90" s="14" t="str">
        <x:v>Process deviation</x:v>
      </x:c>
      <x:c r="D90" s="14" t="str">
        <x:v>High</x:v>
      </x:c>
      <x:c r="E90" s="15" t="n">
        <x:v>46210.333333333336</x:v>
      </x:c>
      <x:c r="F90" s="15" t="n">
        <x:v>46213.333333333336</x:v>
      </x:c>
      <x:c r="G90" s="15" t="n">
        <x:v>46224.333333333336</x:v>
      </x:c>
      <x:c r="H90" s="14" t="n">
        <x:v>3</x:v>
      </x:c>
      <x:c r="I90" s="1" t="n">
        <x:f>IF(AND(E90&lt;Reporting!$B$4,OR(G90="",G90&gt;=Reporting!$B$4)),1,0)</x:f>
        <x:v>0</x:v>
      </x:c>
      <x:c r="J90" s="1" t="n">
        <x:f>IF(AND(I90=1,F90&lt;Reporting!$B$4),1,0)</x:f>
        <x:v>0</x:v>
      </x:c>
      <x:c r="K90" s="1" t="n">
        <x:f>IF(F90&lt;Reporting!$B$4,1,0)</x:f>
        <x:v>1</x:v>
      </x:c>
      <x:c r="L90" s="1" t="n">
        <x:f>IF(AND(K90=1,G90&lt;&gt;"",G90&lt;=F90),1,0)</x:f>
        <x:v>0</x:v>
      </x:c>
      <x:c r="M90" s="1" t="n">
        <x:f>IF(AND(G90&lt;&gt;"",G90&lt;Reporting!$B$4),1,0)</x:f>
        <x:v>1</x:v>
      </x:c>
      <x:c r="N90" s="16" t="n">
        <x:f>IF(M90=1,G90-E90,"")</x:f>
        <x:v>14</x:v>
      </x:c>
      <x:c r="O90" s="1" t="str">
        <x:f>IF(E90&gt;=Reporting!$B$4,"Outside cutoff",IF(M90=1,"Closed",IF(J90=1,"Overdue","Open - within SLA")))</x:f>
        <x:v>Closed</x:v>
      </x:c>
    </x:row>
    <x:row r="91">
      <x:c r="A91" s="14" t="str">
        <x:v>CASE-00086</x:v>
      </x:c>
      <x:c r="B91" s="14" t="str">
        <x:v>Customer Services</x:v>
      </x:c>
      <x:c r="C91" s="14" t="str">
        <x:v>Process deviation</x:v>
      </x:c>
      <x:c r="D91" s="14" t="str">
        <x:v>Medium</x:v>
      </x:c>
      <x:c r="E91" s="15" t="n">
        <x:v>46257.333333333336</x:v>
      </x:c>
      <x:c r="F91" s="15" t="n">
        <x:v>46264.333333333336</x:v>
      </x:c>
      <x:c r="G91" s="15" t="n">
        <x:v>46271.375</x:v>
      </x:c>
      <x:c r="H91" s="14" t="n">
        <x:v>1</x:v>
      </x:c>
      <x:c r="I91" s="1" t="n">
        <x:f>IF(AND(E91&lt;Reporting!$B$4,OR(G91="",G91&gt;=Reporting!$B$4)),1,0)</x:f>
        <x:v>0</x:v>
      </x:c>
      <x:c r="J91" s="1" t="n">
        <x:f>IF(AND(I91=1,F91&lt;Reporting!$B$4),1,0)</x:f>
        <x:v>0</x:v>
      </x:c>
      <x:c r="K91" s="1" t="n">
        <x:f>IF(F91&lt;Reporting!$B$4,1,0)</x:f>
        <x:v>1</x:v>
      </x:c>
      <x:c r="L91" s="1" t="n">
        <x:f>IF(AND(K91=1,G91&lt;&gt;"",G91&lt;=F91),1,0)</x:f>
        <x:v>0</x:v>
      </x:c>
      <x:c r="M91" s="1" t="n">
        <x:f>IF(AND(G91&lt;&gt;"",G91&lt;Reporting!$B$4),1,0)</x:f>
        <x:v>1</x:v>
      </x:c>
      <x:c r="N91" s="16" t="n">
        <x:f>IF(M91=1,G91-E91,"")</x:f>
        <x:v>14.041666666664241</x:v>
      </x:c>
      <x:c r="O91" s="1" t="str">
        <x:f>IF(E91&gt;=Reporting!$B$4,"Outside cutoff",IF(M91=1,"Closed",IF(J91=1,"Overdue","Open - within SLA")))</x:f>
        <x:v>Closed</x:v>
      </x:c>
    </x:row>
    <x:row r="92">
      <x:c r="A92" s="14" t="str">
        <x:v>CASE-00087</x:v>
      </x:c>
      <x:c r="B92" s="14" t="str">
        <x:v>Customer Services</x:v>
      </x:c>
      <x:c r="C92" s="14" t="str">
        <x:v>Missing evidence</x:v>
      </x:c>
      <x:c r="D92" s="14" t="str">
        <x:v>Low</x:v>
      </x:c>
      <x:c r="E92" s="15" t="n">
        <x:v>46215.333333333336</x:v>
      </x:c>
      <x:c r="F92" s="15" t="n">
        <x:v>46229.333333333336</x:v>
      </x:c>
      <x:c r="G92" s="15" t="n">
        <x:v>46231.375</x:v>
      </x:c>
      <x:c r="H92" s="14" t="n">
        <x:v>1</x:v>
      </x:c>
      <x:c r="I92" s="1" t="n">
        <x:f>IF(AND(E92&lt;Reporting!$B$4,OR(G92="",G92&gt;=Reporting!$B$4)),1,0)</x:f>
        <x:v>0</x:v>
      </x:c>
      <x:c r="J92" s="1" t="n">
        <x:f>IF(AND(I92=1,F92&lt;Reporting!$B$4),1,0)</x:f>
        <x:v>0</x:v>
      </x:c>
      <x:c r="K92" s="1" t="n">
        <x:f>IF(F92&lt;Reporting!$B$4,1,0)</x:f>
        <x:v>1</x:v>
      </x:c>
      <x:c r="L92" s="1" t="n">
        <x:f>IF(AND(K92=1,G92&lt;&gt;"",G92&lt;=F92),1,0)</x:f>
        <x:v>0</x:v>
      </x:c>
      <x:c r="M92" s="1" t="n">
        <x:f>IF(AND(G92&lt;&gt;"",G92&lt;Reporting!$B$4),1,0)</x:f>
        <x:v>1</x:v>
      </x:c>
      <x:c r="N92" s="16" t="n">
        <x:f>IF(M92=1,G92-E92,"")</x:f>
        <x:v>16.04166666666424</x:v>
      </x:c>
      <x:c r="O92" s="1" t="str">
        <x:f>IF(E92&gt;=Reporting!$B$4,"Outside cutoff",IF(M92=1,"Closed",IF(J92=1,"Overdue","Open - within SLA")))</x:f>
        <x:v>Closed</x:v>
      </x:c>
    </x:row>
    <x:row r="93">
      <x:c r="A93" s="14" t="str">
        <x:v>CASE-00088</x:v>
      </x:c>
      <x:c r="B93" s="14" t="str">
        <x:v>Customer Services</x:v>
      </x:c>
      <x:c r="C93" s="14" t="str">
        <x:v>Record mismatch</x:v>
      </x:c>
      <x:c r="D93" s="14" t="str">
        <x:v>Medium</x:v>
      </x:c>
      <x:c r="E93" s="15" t="n">
        <x:v>46212.583333333336</x:v>
      </x:c>
      <x:c r="F93" s="15" t="n">
        <x:v>46219.583333333336</x:v>
      </x:c>
      <x:c r="G93" s="15" t="n">
        <x:v>46216.583333333336</x:v>
      </x:c>
      <x:c r="H93" s="14" t="n">
        <x:v>1</x:v>
      </x:c>
      <x:c r="I93" s="1" t="n">
        <x:f>IF(AND(E93&lt;Reporting!$B$4,OR(G93="",G93&gt;=Reporting!$B$4)),1,0)</x:f>
        <x:v>0</x:v>
      </x:c>
      <x:c r="J93" s="1" t="n">
        <x:f>IF(AND(I93=1,F93&lt;Reporting!$B$4),1,0)</x:f>
        <x:v>0</x:v>
      </x:c>
      <x:c r="K93" s="1" t="n">
        <x:f>IF(F93&lt;Reporting!$B$4,1,0)</x:f>
        <x:v>1</x:v>
      </x:c>
      <x:c r="L93" s="1" t="n">
        <x:f>IF(AND(K93=1,G93&lt;&gt;"",G93&lt;=F93),1,0)</x:f>
        <x:v>1</x:v>
      </x:c>
      <x:c r="M93" s="1" t="n">
        <x:f>IF(AND(G93&lt;&gt;"",G93&lt;Reporting!$B$4),1,0)</x:f>
        <x:v>1</x:v>
      </x:c>
      <x:c r="N93" s="16" t="n">
        <x:f>IF(M93=1,G93-E93,"")</x:f>
        <x:v>4</x:v>
      </x:c>
      <x:c r="O93" s="1" t="str">
        <x:f>IF(E93&gt;=Reporting!$B$4,"Outside cutoff",IF(M93=1,"Closed",IF(J93=1,"Overdue","Open - within SLA")))</x:f>
        <x:v>Closed</x:v>
      </x:c>
    </x:row>
    <x:row r="94">
      <x:c r="A94" s="14" t="str">
        <x:v>CASE-00089</x:v>
      </x:c>
      <x:c r="B94" s="14" t="str">
        <x:v>Customer Services</x:v>
      </x:c>
      <x:c r="C94" s="14" t="str">
        <x:v>Missing evidence</x:v>
      </x:c>
      <x:c r="D94" s="14" t="str">
        <x:v>High</x:v>
      </x:c>
      <x:c r="E94" s="15" t="n">
        <x:v>46270.583333333336</x:v>
      </x:c>
      <x:c r="F94" s="15" t="n">
        <x:v>46273.583333333336</x:v>
      </x:c>
      <x:c r="G94" s="15" t="n">
        <x:v>46271.583333333336</x:v>
      </x:c>
      <x:c r="H94" s="14" t="n">
        <x:v>1</x:v>
      </x:c>
      <x:c r="I94" s="1" t="n">
        <x:f>IF(AND(E94&lt;Reporting!$B$4,OR(G94="",G94&gt;=Reporting!$B$4)),1,0)</x:f>
        <x:v>0</x:v>
      </x:c>
      <x:c r="J94" s="1" t="n">
        <x:f>IF(AND(I94=1,F94&lt;Reporting!$B$4),1,0)</x:f>
        <x:v>0</x:v>
      </x:c>
      <x:c r="K94" s="1" t="n">
        <x:f>IF(F94&lt;Reporting!$B$4,1,0)</x:f>
        <x:v>1</x:v>
      </x:c>
      <x:c r="L94" s="1" t="n">
        <x:f>IF(AND(K94=1,G94&lt;&gt;"",G94&lt;=F94),1,0)</x:f>
        <x:v>1</x:v>
      </x:c>
      <x:c r="M94" s="1" t="n">
        <x:f>IF(AND(G94&lt;&gt;"",G94&lt;Reporting!$B$4),1,0)</x:f>
        <x:v>1</x:v>
      </x:c>
      <x:c r="N94" s="16" t="n">
        <x:f>IF(M94=1,G94-E94,"")</x:f>
        <x:v>1</x:v>
      </x:c>
      <x:c r="O94" s="1" t="str">
        <x:f>IF(E94&gt;=Reporting!$B$4,"Outside cutoff",IF(M94=1,"Closed",IF(J94=1,"Overdue","Open - within SLA")))</x:f>
        <x:v>Closed</x:v>
      </x:c>
    </x:row>
    <x:row r="95">
      <x:c r="A95" s="14" t="str">
        <x:v>CASE-00090</x:v>
      </x:c>
      <x:c r="B95" s="14" t="str">
        <x:v>Customer Services</x:v>
      </x:c>
      <x:c r="C95" s="14" t="str">
        <x:v>Missing evidence</x:v>
      </x:c>
      <x:c r="D95" s="14" t="str">
        <x:v>Low</x:v>
      </x:c>
      <x:c r="E95" s="15" t="n">
        <x:v>46212.416666666664</x:v>
      </x:c>
      <x:c r="F95" s="15" t="n">
        <x:v>46226.416666666664</x:v>
      </x:c>
      <x:c r="G95" s="15" t="n">
        <x:v>46215.416666666664</x:v>
      </x:c>
      <x:c r="H95" s="14" t="n">
        <x:v>1</x:v>
      </x:c>
      <x:c r="I95" s="1" t="n">
        <x:f>IF(AND(E95&lt;Reporting!$B$4,OR(G95="",G95&gt;=Reporting!$B$4)),1,0)</x:f>
        <x:v>0</x:v>
      </x:c>
      <x:c r="J95" s="1" t="n">
        <x:f>IF(AND(I95=1,F95&lt;Reporting!$B$4),1,0)</x:f>
        <x:v>0</x:v>
      </x:c>
      <x:c r="K95" s="1" t="n">
        <x:f>IF(F95&lt;Reporting!$B$4,1,0)</x:f>
        <x:v>1</x:v>
      </x:c>
      <x:c r="L95" s="1" t="n">
        <x:f>IF(AND(K95=1,G95&lt;&gt;"",G95&lt;=F95),1,0)</x:f>
        <x:v>1</x:v>
      </x:c>
      <x:c r="M95" s="1" t="n">
        <x:f>IF(AND(G95&lt;&gt;"",G95&lt;Reporting!$B$4),1,0)</x:f>
        <x:v>1</x:v>
      </x:c>
      <x:c r="N95" s="16" t="n">
        <x:f>IF(M95=1,G95-E95,"")</x:f>
        <x:v>3</x:v>
      </x:c>
      <x:c r="O95" s="1" t="str">
        <x:f>IF(E95&gt;=Reporting!$B$4,"Outside cutoff",IF(M95=1,"Closed",IF(J95=1,"Overdue","Open - within SLA")))</x:f>
        <x:v>Closed</x:v>
      </x:c>
    </x:row>
    <x:row r="96">
      <x:c r="A96" s="14" t="str">
        <x:v>CASE-00091</x:v>
      </x:c>
      <x:c r="B96" s="14" t="str">
        <x:v>Customer Services</x:v>
      </x:c>
      <x:c r="C96" s="14" t="str">
        <x:v>Late review</x:v>
      </x:c>
      <x:c r="D96" s="14" t="str">
        <x:v>High</x:v>
      </x:c>
      <x:c r="E96" s="15" t="n">
        <x:v>46227.666666666664</x:v>
      </x:c>
      <x:c r="F96" s="15" t="n">
        <x:v>46230.666666666664</x:v>
      </x:c>
      <x:c r="G96" s="15" t="n">
        <x:v>46242.708333333336</x:v>
      </x:c>
      <x:c r="H96" s="14" t="n">
        <x:v>1</x:v>
      </x:c>
      <x:c r="I96" s="1" t="n">
        <x:f>IF(AND(E96&lt;Reporting!$B$4,OR(G96="",G96&gt;=Reporting!$B$4)),1,0)</x:f>
        <x:v>0</x:v>
      </x:c>
      <x:c r="J96" s="1" t="n">
        <x:f>IF(AND(I96=1,F96&lt;Reporting!$B$4),1,0)</x:f>
        <x:v>0</x:v>
      </x:c>
      <x:c r="K96" s="1" t="n">
        <x:f>IF(F96&lt;Reporting!$B$4,1,0)</x:f>
        <x:v>1</x:v>
      </x:c>
      <x:c r="L96" s="1" t="n">
        <x:f>IF(AND(K96=1,G96&lt;&gt;"",G96&lt;=F96),1,0)</x:f>
        <x:v>0</x:v>
      </x:c>
      <x:c r="M96" s="1" t="n">
        <x:f>IF(AND(G96&lt;&gt;"",G96&lt;Reporting!$B$4),1,0)</x:f>
        <x:v>1</x:v>
      </x:c>
      <x:c r="N96" s="16" t="n">
        <x:f>IF(M96=1,G96-E96,"")</x:f>
        <x:v>15.041666666671517</x:v>
      </x:c>
      <x:c r="O96" s="1" t="str">
        <x:f>IF(E96&gt;=Reporting!$B$4,"Outside cutoff",IF(M96=1,"Closed",IF(J96=1,"Overdue","Open - within SLA")))</x:f>
        <x:v>Closed</x:v>
      </x:c>
    </x:row>
    <x:row r="97">
      <x:c r="A97" s="14" t="str">
        <x:v>CASE-00092</x:v>
      </x:c>
      <x:c r="B97" s="14" t="str">
        <x:v>Installation</x:v>
      </x:c>
      <x:c r="C97" s="14" t="str">
        <x:v>Record mismatch</x:v>
      </x:c>
      <x:c r="D97" s="14" t="str">
        <x:v>High</x:v>
      </x:c>
      <x:c r="E97" s="15" t="n">
        <x:v>46213.666666666664</x:v>
      </x:c>
      <x:c r="F97" s="15" t="n">
        <x:v>46216.666666666664</x:v>
      </x:c>
      <x:c r="G97" s="15" t="n">
        <x:v>46218.666666666664</x:v>
      </x:c>
      <x:c r="H97" s="14" t="n">
        <x:v>3</x:v>
      </x:c>
      <x:c r="I97" s="1" t="n">
        <x:f>IF(AND(E97&lt;Reporting!$B$4,OR(G97="",G97&gt;=Reporting!$B$4)),1,0)</x:f>
        <x:v>0</x:v>
      </x:c>
      <x:c r="J97" s="1" t="n">
        <x:f>IF(AND(I97=1,F97&lt;Reporting!$B$4),1,0)</x:f>
        <x:v>0</x:v>
      </x:c>
      <x:c r="K97" s="1" t="n">
        <x:f>IF(F97&lt;Reporting!$B$4,1,0)</x:f>
        <x:v>1</x:v>
      </x:c>
      <x:c r="L97" s="1" t="n">
        <x:f>IF(AND(K97=1,G97&lt;&gt;"",G97&lt;=F97),1,0)</x:f>
        <x:v>0</x:v>
      </x:c>
      <x:c r="M97" s="1" t="n">
        <x:f>IF(AND(G97&lt;&gt;"",G97&lt;Reporting!$B$4),1,0)</x:f>
        <x:v>1</x:v>
      </x:c>
      <x:c r="N97" s="16" t="n">
        <x:f>IF(M97=1,G97-E97,"")</x:f>
        <x:v>5</x:v>
      </x:c>
      <x:c r="O97" s="1" t="str">
        <x:f>IF(E97&gt;=Reporting!$B$4,"Outside cutoff",IF(M97=1,"Closed",IF(J97=1,"Overdue","Open - within SLA")))</x:f>
        <x:v>Closed</x:v>
      </x:c>
    </x:row>
    <x:row r="98">
      <x:c r="A98" s="14" t="str">
        <x:v>CASE-00093</x:v>
      </x:c>
      <x:c r="B98" s="14" t="str">
        <x:v>Installation</x:v>
      </x:c>
      <x:c r="C98" s="14" t="str">
        <x:v>Late review</x:v>
      </x:c>
      <x:c r="D98" s="14" t="str">
        <x:v>Low</x:v>
      </x:c>
      <x:c r="E98" s="15" t="n">
        <x:v>46239.541666666664</x:v>
      </x:c>
      <x:c r="F98" s="15" t="n">
        <x:v>46253.541666666664</x:v>
      </x:c>
      <x:c r="G98" s="15" t="n">
        <x:v>46240.625</x:v>
      </x:c>
      <x:c r="H98" s="14" t="n">
        <x:v>3</x:v>
      </x:c>
      <x:c r="I98" s="1" t="n">
        <x:f>IF(AND(E98&lt;Reporting!$B$4,OR(G98="",G98&gt;=Reporting!$B$4)),1,0)</x:f>
        <x:v>0</x:v>
      </x:c>
      <x:c r="J98" s="1" t="n">
        <x:f>IF(AND(I98=1,F98&lt;Reporting!$B$4),1,0)</x:f>
        <x:v>0</x:v>
      </x:c>
      <x:c r="K98" s="1" t="n">
        <x:f>IF(F98&lt;Reporting!$B$4,1,0)</x:f>
        <x:v>1</x:v>
      </x:c>
      <x:c r="L98" s="1" t="n">
        <x:f>IF(AND(K98=1,G98&lt;&gt;"",G98&lt;=F98),1,0)</x:f>
        <x:v>1</x:v>
      </x:c>
      <x:c r="M98" s="1" t="n">
        <x:f>IF(AND(G98&lt;&gt;"",G98&lt;Reporting!$B$4),1,0)</x:f>
        <x:v>1</x:v>
      </x:c>
      <x:c r="N98" s="16" t="n">
        <x:f>IF(M98=1,G98-E98,"")</x:f>
        <x:v>1.0833333333357587</x:v>
      </x:c>
      <x:c r="O98" s="1" t="str">
        <x:f>IF(E98&gt;=Reporting!$B$4,"Outside cutoff",IF(M98=1,"Closed",IF(J98=1,"Overdue","Open - within SLA")))</x:f>
        <x:v>Closed</x:v>
      </x:c>
    </x:row>
    <x:row r="99">
      <x:c r="A99" s="14" t="str">
        <x:v>CASE-00094</x:v>
      </x:c>
      <x:c r="B99" s="14" t="str">
        <x:v>Customer Services</x:v>
      </x:c>
      <x:c r="C99" s="14" t="str">
        <x:v>Late review</x:v>
      </x:c>
      <x:c r="D99" s="14" t="str">
        <x:v>Medium</x:v>
      </x:c>
      <x:c r="E99" s="15" t="n">
        <x:v>46226.375</x:v>
      </x:c>
      <x:c r="F99" s="15" t="n">
        <x:v>46233.375</x:v>
      </x:c>
      <x:c r="G99" s="15" t="n">
        <x:v>46237.375</x:v>
      </x:c>
      <x:c r="H99" s="14" t="n">
        <x:v>1</x:v>
      </x:c>
      <x:c r="I99" s="1" t="n">
        <x:f>IF(AND(E99&lt;Reporting!$B$4,OR(G99="",G99&gt;=Reporting!$B$4)),1,0)</x:f>
        <x:v>0</x:v>
      </x:c>
      <x:c r="J99" s="1" t="n">
        <x:f>IF(AND(I99=1,F99&lt;Reporting!$B$4),1,0)</x:f>
        <x:v>0</x:v>
      </x:c>
      <x:c r="K99" s="1" t="n">
        <x:f>IF(F99&lt;Reporting!$B$4,1,0)</x:f>
        <x:v>1</x:v>
      </x:c>
      <x:c r="L99" s="1" t="n">
        <x:f>IF(AND(K99=1,G99&lt;&gt;"",G99&lt;=F99),1,0)</x:f>
        <x:v>0</x:v>
      </x:c>
      <x:c r="M99" s="1" t="n">
        <x:f>IF(AND(G99&lt;&gt;"",G99&lt;Reporting!$B$4),1,0)</x:f>
        <x:v>1</x:v>
      </x:c>
      <x:c r="N99" s="16" t="n">
        <x:f>IF(M99=1,G99-E99,"")</x:f>
        <x:v>11</x:v>
      </x:c>
      <x:c r="O99" s="1" t="str">
        <x:f>IF(E99&gt;=Reporting!$B$4,"Outside cutoff",IF(M99=1,"Closed",IF(J99=1,"Overdue","Open - within SLA")))</x:f>
        <x:v>Closed</x:v>
      </x:c>
    </x:row>
    <x:row r="100">
      <x:c r="A100" s="14" t="str">
        <x:v>CASE-00095</x:v>
      </x:c>
      <x:c r="B100" s="14" t="str">
        <x:v>Warehouse</x:v>
      </x:c>
      <x:c r="C100" s="14" t="str">
        <x:v>Late review</x:v>
      </x:c>
      <x:c r="D100" s="14" t="str">
        <x:v>Medium</x:v>
      </x:c>
      <x:c r="E100" s="15" t="n">
        <x:v>46209.625</x:v>
      </x:c>
      <x:c r="F100" s="15" t="n">
        <x:v>46216.625</x:v>
      </x:c>
      <x:c r="G100" s="15" t="n">
        <x:v>46220.625</x:v>
      </x:c>
      <x:c r="H100" s="14" t="n">
        <x:v>2</x:v>
      </x:c>
      <x:c r="I100" s="1" t="n">
        <x:f>IF(AND(E100&lt;Reporting!$B$4,OR(G100="",G100&gt;=Reporting!$B$4)),1,0)</x:f>
        <x:v>0</x:v>
      </x:c>
      <x:c r="J100" s="1" t="n">
        <x:f>IF(AND(I100=1,F100&lt;Reporting!$B$4),1,0)</x:f>
        <x:v>0</x:v>
      </x:c>
      <x:c r="K100" s="1" t="n">
        <x:f>IF(F100&lt;Reporting!$B$4,1,0)</x:f>
        <x:v>1</x:v>
      </x:c>
      <x:c r="L100" s="1" t="n">
        <x:f>IF(AND(K100=1,G100&lt;&gt;"",G100&lt;=F100),1,0)</x:f>
        <x:v>0</x:v>
      </x:c>
      <x:c r="M100" s="1" t="n">
        <x:f>IF(AND(G100&lt;&gt;"",G100&lt;Reporting!$B$4),1,0)</x:f>
        <x:v>1</x:v>
      </x:c>
      <x:c r="N100" s="16" t="n">
        <x:f>IF(M100=1,G100-E100,"")</x:f>
        <x:v>11</x:v>
      </x:c>
      <x:c r="O100" s="1" t="str">
        <x:f>IF(E100&gt;=Reporting!$B$4,"Outside cutoff",IF(M100=1,"Closed",IF(J100=1,"Overdue","Open - within SLA")))</x:f>
        <x:v>Closed</x:v>
      </x:c>
    </x:row>
    <x:row r="101">
      <x:c r="A101" s="14" t="str">
        <x:v>CASE-00096</x:v>
      </x:c>
      <x:c r="B101" s="14" t="str">
        <x:v>Customer Services</x:v>
      </x:c>
      <x:c r="C101" s="14" t="str">
        <x:v>Record mismatch</x:v>
      </x:c>
      <x:c r="D101" s="14" t="str">
        <x:v>Medium</x:v>
      </x:c>
      <x:c r="E101" s="15" t="n">
        <x:v>46240.583333333336</x:v>
      </x:c>
      <x:c r="F101" s="15" t="n">
        <x:v>46247.583333333336</x:v>
      </x:c>
      <x:c r="G101" s="15" t="n">
        <x:v>46251.625</x:v>
      </x:c>
      <x:c r="H101" s="14" t="n">
        <x:v>1</x:v>
      </x:c>
      <x:c r="I101" s="1" t="n">
        <x:f>IF(AND(E101&lt;Reporting!$B$4,OR(G101="",G101&gt;=Reporting!$B$4)),1,0)</x:f>
        <x:v>0</x:v>
      </x:c>
      <x:c r="J101" s="1" t="n">
        <x:f>IF(AND(I101=1,F101&lt;Reporting!$B$4),1,0)</x:f>
        <x:v>0</x:v>
      </x:c>
      <x:c r="K101" s="1" t="n">
        <x:f>IF(F101&lt;Reporting!$B$4,1,0)</x:f>
        <x:v>1</x:v>
      </x:c>
      <x:c r="L101" s="1" t="n">
        <x:f>IF(AND(K101=1,G101&lt;&gt;"",G101&lt;=F101),1,0)</x:f>
        <x:v>0</x:v>
      </x:c>
      <x:c r="M101" s="1" t="n">
        <x:f>IF(AND(G101&lt;&gt;"",G101&lt;Reporting!$B$4),1,0)</x:f>
        <x:v>1</x:v>
      </x:c>
      <x:c r="N101" s="16" t="n">
        <x:f>IF(M101=1,G101-E101,"")</x:f>
        <x:v>11.041666666664241</x:v>
      </x:c>
      <x:c r="O101" s="1" t="str">
        <x:f>IF(E101&gt;=Reporting!$B$4,"Outside cutoff",IF(M101=1,"Closed",IF(J101=1,"Overdue","Open - within SLA")))</x:f>
        <x:v>Closed</x:v>
      </x:c>
    </x:row>
    <x:row r="102">
      <x:c r="A102" s="14" t="str">
        <x:v>CASE-00097</x:v>
      </x:c>
      <x:c r="B102" s="14" t="str">
        <x:v>Installation</x:v>
      </x:c>
      <x:c r="C102" s="14" t="str">
        <x:v>Process deviation</x:v>
      </x:c>
      <x:c r="D102" s="14" t="str">
        <x:v>Low</x:v>
      </x:c>
      <x:c r="E102" s="15" t="n">
        <x:v>46277.375</x:v>
      </x:c>
      <x:c r="F102" s="15" t="n">
        <x:v>46291.375</x:v>
      </x:c>
      <x:c r="G102" s="15"/>
      <x:c r="H102" s="14" t="n">
        <x:v>3</x:v>
      </x:c>
      <x:c r="I102" s="1" t="n">
        <x:f>IF(AND(E102&lt;Reporting!$B$4,OR(G102="",G102&gt;=Reporting!$B$4)),1,0)</x:f>
        <x:v>1</x:v>
      </x:c>
      <x:c r="J102" s="1" t="n">
        <x:f>IF(AND(I102=1,F102&lt;Reporting!$B$4),1,0)</x:f>
        <x:v>0</x:v>
      </x:c>
      <x:c r="K102" s="1" t="n">
        <x:f>IF(F102&lt;Reporting!$B$4,1,0)</x:f>
        <x:v>0</x:v>
      </x:c>
      <x:c r="L102" s="1" t="n">
        <x:f>IF(AND(K102=1,G102&lt;&gt;"",G102&lt;=F102),1,0)</x:f>
        <x:v>0</x:v>
      </x:c>
      <x:c r="M102" s="1" t="n">
        <x:f>IF(AND(G102&lt;&gt;"",G102&lt;Reporting!$B$4),1,0)</x:f>
        <x:v>0</x:v>
      </x:c>
      <x:c r="N102" s="16" t="str">
        <x:f>IF(M102=1,G102-E102,"")</x:f>
      </x:c>
      <x:c r="O102" s="1" t="str">
        <x:f>IF(E102&gt;=Reporting!$B$4,"Outside cutoff",IF(M102=1,"Closed",IF(J102=1,"Overdue","Open - within SLA")))</x:f>
        <x:v>Open - within SLA</x:v>
      </x:c>
    </x:row>
    <x:row r="103">
      <x:c r="A103" s="14" t="str">
        <x:v>CASE-00098</x:v>
      </x:c>
      <x:c r="B103" s="14" t="str">
        <x:v>Installation</x:v>
      </x:c>
      <x:c r="C103" s="14" t="str">
        <x:v>Process deviation</x:v>
      </x:c>
      <x:c r="D103" s="14" t="str">
        <x:v>Low</x:v>
      </x:c>
      <x:c r="E103" s="15" t="n">
        <x:v>46264.666666666664</x:v>
      </x:c>
      <x:c r="F103" s="15" t="n">
        <x:v>46278.666666666664</x:v>
      </x:c>
      <x:c r="G103" s="15" t="n">
        <x:v>46275.75</x:v>
      </x:c>
      <x:c r="H103" s="14" t="n">
        <x:v>3</x:v>
      </x:c>
      <x:c r="I103" s="1" t="n">
        <x:f>IF(AND(E103&lt;Reporting!$B$4,OR(G103="",G103&gt;=Reporting!$B$4)),1,0)</x:f>
        <x:v>0</x:v>
      </x:c>
      <x:c r="J103" s="1" t="n">
        <x:f>IF(AND(I103=1,F103&lt;Reporting!$B$4),1,0)</x:f>
        <x:v>0</x:v>
      </x:c>
      <x:c r="K103" s="1" t="n">
        <x:f>IF(F103&lt;Reporting!$B$4,1,0)</x:f>
        <x:v>1</x:v>
      </x:c>
      <x:c r="L103" s="1" t="n">
        <x:f>IF(AND(K103=1,G103&lt;&gt;"",G103&lt;=F103),1,0)</x:f>
        <x:v>1</x:v>
      </x:c>
      <x:c r="M103" s="1" t="n">
        <x:f>IF(AND(G103&lt;&gt;"",G103&lt;Reporting!$B$4),1,0)</x:f>
        <x:v>1</x:v>
      </x:c>
      <x:c r="N103" s="16" t="n">
        <x:f>IF(M103=1,G103-E103,"")</x:f>
        <x:v>11.083333333335759</x:v>
      </x:c>
      <x:c r="O103" s="1" t="str">
        <x:f>IF(E103&gt;=Reporting!$B$4,"Outside cutoff",IF(M103=1,"Closed",IF(J103=1,"Overdue","Open - within SLA")))</x:f>
        <x:v>Closed</x:v>
      </x:c>
    </x:row>
    <x:row r="104">
      <x:c r="A104" s="14" t="str">
        <x:v>CASE-00099</x:v>
      </x:c>
      <x:c r="B104" s="14" t="str">
        <x:v>Warehouse</x:v>
      </x:c>
      <x:c r="C104" s="14" t="str">
        <x:v>Late review</x:v>
      </x:c>
      <x:c r="D104" s="14" t="str">
        <x:v>Low</x:v>
      </x:c>
      <x:c r="E104" s="15" t="n">
        <x:v>46244.416666666664</x:v>
      </x:c>
      <x:c r="F104" s="15" t="n">
        <x:v>46258.416666666664</x:v>
      </x:c>
      <x:c r="G104" s="15" t="n">
        <x:v>46259.416666666664</x:v>
      </x:c>
      <x:c r="H104" s="14" t="n">
        <x:v>2</x:v>
      </x:c>
      <x:c r="I104" s="1" t="n">
        <x:f>IF(AND(E104&lt;Reporting!$B$4,OR(G104="",G104&gt;=Reporting!$B$4)),1,0)</x:f>
        <x:v>0</x:v>
      </x:c>
      <x:c r="J104" s="1" t="n">
        <x:f>IF(AND(I104=1,F104&lt;Reporting!$B$4),1,0)</x:f>
        <x:v>0</x:v>
      </x:c>
      <x:c r="K104" s="1" t="n">
        <x:f>IF(F104&lt;Reporting!$B$4,1,0)</x:f>
        <x:v>1</x:v>
      </x:c>
      <x:c r="L104" s="1" t="n">
        <x:f>IF(AND(K104=1,G104&lt;&gt;"",G104&lt;=F104),1,0)</x:f>
        <x:v>0</x:v>
      </x:c>
      <x:c r="M104" s="1" t="n">
        <x:f>IF(AND(G104&lt;&gt;"",G104&lt;Reporting!$B$4),1,0)</x:f>
        <x:v>1</x:v>
      </x:c>
      <x:c r="N104" s="16" t="n">
        <x:f>IF(M104=1,G104-E104,"")</x:f>
        <x:v>15</x:v>
      </x:c>
      <x:c r="O104" s="1" t="str">
        <x:f>IF(E104&gt;=Reporting!$B$4,"Outside cutoff",IF(M104=1,"Closed",IF(J104=1,"Overdue","Open - within SLA")))</x:f>
        <x:v>Closed</x:v>
      </x:c>
    </x:row>
    <x:row r="105">
      <x:c r="A105" s="14" t="str">
        <x:v>CASE-00100</x:v>
      </x:c>
      <x:c r="B105" s="14" t="str">
        <x:v>Customer Services</x:v>
      </x:c>
      <x:c r="C105" s="14" t="str">
        <x:v>Late review</x:v>
      </x:c>
      <x:c r="D105" s="14" t="str">
        <x:v>Medium</x:v>
      </x:c>
      <x:c r="E105" s="15" t="n">
        <x:v>46219.375</x:v>
      </x:c>
      <x:c r="F105" s="15" t="n">
        <x:v>46226.375</x:v>
      </x:c>
      <x:c r="G105" s="15" t="n">
        <x:v>46222.375</x:v>
      </x:c>
      <x:c r="H105" s="14" t="n">
        <x:v>1</x:v>
      </x:c>
      <x:c r="I105" s="1" t="n">
        <x:f>IF(AND(E105&lt;Reporting!$B$4,OR(G105="",G105&gt;=Reporting!$B$4)),1,0)</x:f>
        <x:v>0</x:v>
      </x:c>
      <x:c r="J105" s="1" t="n">
        <x:f>IF(AND(I105=1,F105&lt;Reporting!$B$4),1,0)</x:f>
        <x:v>0</x:v>
      </x:c>
      <x:c r="K105" s="1" t="n">
        <x:f>IF(F105&lt;Reporting!$B$4,1,0)</x:f>
        <x:v>1</x:v>
      </x:c>
      <x:c r="L105" s="1" t="n">
        <x:f>IF(AND(K105=1,G105&lt;&gt;"",G105&lt;=F105),1,0)</x:f>
        <x:v>1</x:v>
      </x:c>
      <x:c r="M105" s="1" t="n">
        <x:f>IF(AND(G105&lt;&gt;"",G105&lt;Reporting!$B$4),1,0)</x:f>
        <x:v>1</x:v>
      </x:c>
      <x:c r="N105" s="16" t="n">
        <x:f>IF(M105=1,G105-E105,"")</x:f>
        <x:v>3</x:v>
      </x:c>
      <x:c r="O105" s="1" t="str">
        <x:f>IF(E105&gt;=Reporting!$B$4,"Outside cutoff",IF(M105=1,"Closed",IF(J105=1,"Overdue","Open - within SLA")))</x:f>
        <x:v>Closed</x:v>
      </x:c>
    </x:row>
    <x:row r="106">
      <x:c r="A106" s="14" t="str">
        <x:v>CASE-00101</x:v>
      </x:c>
      <x:c r="B106" s="14" t="str">
        <x:v>Warehouse</x:v>
      </x:c>
      <x:c r="C106" s="14" t="str">
        <x:v>Missing evidence</x:v>
      </x:c>
      <x:c r="D106" s="14" t="str">
        <x:v>Medium</x:v>
      </x:c>
      <x:c r="E106" s="15" t="n">
        <x:v>46251.5</x:v>
      </x:c>
      <x:c r="F106" s="15" t="n">
        <x:v>46258.5</x:v>
      </x:c>
      <x:c r="G106" s="15" t="n">
        <x:v>46276.541666666664</x:v>
      </x:c>
      <x:c r="H106" s="14" t="n">
        <x:v>2</x:v>
      </x:c>
      <x:c r="I106" s="1" t="n">
        <x:f>IF(AND(E106&lt;Reporting!$B$4,OR(G106="",G106&gt;=Reporting!$B$4)),1,0)</x:f>
        <x:v>0</x:v>
      </x:c>
      <x:c r="J106" s="1" t="n">
        <x:f>IF(AND(I106=1,F106&lt;Reporting!$B$4),1,0)</x:f>
        <x:v>0</x:v>
      </x:c>
      <x:c r="K106" s="1" t="n">
        <x:f>IF(F106&lt;Reporting!$B$4,1,0)</x:f>
        <x:v>1</x:v>
      </x:c>
      <x:c r="L106" s="1" t="n">
        <x:f>IF(AND(K106=1,G106&lt;&gt;"",G106&lt;=F106),1,0)</x:f>
        <x:v>0</x:v>
      </x:c>
      <x:c r="M106" s="1" t="n">
        <x:f>IF(AND(G106&lt;&gt;"",G106&lt;Reporting!$B$4),1,0)</x:f>
        <x:v>1</x:v>
      </x:c>
      <x:c r="N106" s="16" t="n">
        <x:f>IF(M106=1,G106-E106,"")</x:f>
        <x:v>25.04166666666424</x:v>
      </x:c>
      <x:c r="O106" s="1" t="str">
        <x:f>IF(E106&gt;=Reporting!$B$4,"Outside cutoff",IF(M106=1,"Closed",IF(J106=1,"Overdue","Open - within SLA")))</x:f>
        <x:v>Closed</x:v>
      </x:c>
    </x:row>
    <x:row r="107">
      <x:c r="A107" s="14" t="str">
        <x:v>CASE-00102</x:v>
      </x:c>
      <x:c r="B107" s="14" t="str">
        <x:v>Installation</x:v>
      </x:c>
      <x:c r="C107" s="14" t="str">
        <x:v>Record mismatch</x:v>
      </x:c>
      <x:c r="D107" s="14" t="str">
        <x:v>Medium</x:v>
      </x:c>
      <x:c r="E107" s="15" t="n">
        <x:v>46218.416666666664</x:v>
      </x:c>
      <x:c r="F107" s="15" t="n">
        <x:v>46225.416666666664</x:v>
      </x:c>
      <x:c r="G107" s="15" t="n">
        <x:v>46231.458333333336</x:v>
      </x:c>
      <x:c r="H107" s="14" t="n">
        <x:v>3</x:v>
      </x:c>
      <x:c r="I107" s="1" t="n">
        <x:f>IF(AND(E107&lt;Reporting!$B$4,OR(G107="",G107&gt;=Reporting!$B$4)),1,0)</x:f>
        <x:v>0</x:v>
      </x:c>
      <x:c r="J107" s="1" t="n">
        <x:f>IF(AND(I107=1,F107&lt;Reporting!$B$4),1,0)</x:f>
        <x:v>0</x:v>
      </x:c>
      <x:c r="K107" s="1" t="n">
        <x:f>IF(F107&lt;Reporting!$B$4,1,0)</x:f>
        <x:v>1</x:v>
      </x:c>
      <x:c r="L107" s="1" t="n">
        <x:f>IF(AND(K107=1,G107&lt;&gt;"",G107&lt;=F107),1,0)</x:f>
        <x:v>0</x:v>
      </x:c>
      <x:c r="M107" s="1" t="n">
        <x:f>IF(AND(G107&lt;&gt;"",G107&lt;Reporting!$B$4),1,0)</x:f>
        <x:v>1</x:v>
      </x:c>
      <x:c r="N107" s="16" t="n">
        <x:f>IF(M107=1,G107-E107,"")</x:f>
        <x:v>13.041666666671517</x:v>
      </x:c>
      <x:c r="O107" s="1" t="str">
        <x:f>IF(E107&gt;=Reporting!$B$4,"Outside cutoff",IF(M107=1,"Closed",IF(J107=1,"Overdue","Open - within SLA")))</x:f>
        <x:v>Closed</x:v>
      </x:c>
    </x:row>
    <x:row r="108">
      <x:c r="A108" s="14" t="str">
        <x:v>CASE-00103</x:v>
      </x:c>
      <x:c r="B108" s="14" t="str">
        <x:v>Warehouse</x:v>
      </x:c>
      <x:c r="C108" s="14" t="str">
        <x:v>Process deviation</x:v>
      </x:c>
      <x:c r="D108" s="14" t="str">
        <x:v>High</x:v>
      </x:c>
      <x:c r="E108" s="15" t="n">
        <x:v>46233.416666666664</x:v>
      </x:c>
      <x:c r="F108" s="15" t="n">
        <x:v>46236.416666666664</x:v>
      </x:c>
      <x:c r="G108" s="15" t="n">
        <x:v>46234.458333333336</x:v>
      </x:c>
      <x:c r="H108" s="14" t="n">
        <x:v>2</x:v>
      </x:c>
      <x:c r="I108" s="1" t="n">
        <x:f>IF(AND(E108&lt;Reporting!$B$4,OR(G108="",G108&gt;=Reporting!$B$4)),1,0)</x:f>
        <x:v>0</x:v>
      </x:c>
      <x:c r="J108" s="1" t="n">
        <x:f>IF(AND(I108=1,F108&lt;Reporting!$B$4),1,0)</x:f>
        <x:v>0</x:v>
      </x:c>
      <x:c r="K108" s="1" t="n">
        <x:f>IF(F108&lt;Reporting!$B$4,1,0)</x:f>
        <x:v>1</x:v>
      </x:c>
      <x:c r="L108" s="1" t="n">
        <x:f>IF(AND(K108=1,G108&lt;&gt;"",G108&lt;=F108),1,0)</x:f>
        <x:v>1</x:v>
      </x:c>
      <x:c r="M108" s="1" t="n">
        <x:f>IF(AND(G108&lt;&gt;"",G108&lt;Reporting!$B$4),1,0)</x:f>
        <x:v>1</x:v>
      </x:c>
      <x:c r="N108" s="16" t="n">
        <x:f>IF(M108=1,G108-E108,"")</x:f>
        <x:v>1.0416666666715173</x:v>
      </x:c>
      <x:c r="O108" s="1" t="str">
        <x:f>IF(E108&gt;=Reporting!$B$4,"Outside cutoff",IF(M108=1,"Closed",IF(J108=1,"Overdue","Open - within SLA")))</x:f>
        <x:v>Closed</x:v>
      </x:c>
    </x:row>
    <x:row r="109">
      <x:c r="A109" s="14" t="str">
        <x:v>CASE-00104</x:v>
      </x:c>
      <x:c r="B109" s="14" t="str">
        <x:v>Customer Services</x:v>
      </x:c>
      <x:c r="C109" s="14" t="str">
        <x:v>Late review</x:v>
      </x:c>
      <x:c r="D109" s="14" t="str">
        <x:v>High</x:v>
      </x:c>
      <x:c r="E109" s="15" t="n">
        <x:v>46236.666666666664</x:v>
      </x:c>
      <x:c r="F109" s="15" t="n">
        <x:v>46239.666666666664</x:v>
      </x:c>
      <x:c r="G109" s="15" t="n">
        <x:v>46249.708333333336</x:v>
      </x:c>
      <x:c r="H109" s="14" t="n">
        <x:v>1</x:v>
      </x:c>
      <x:c r="I109" s="1" t="n">
        <x:f>IF(AND(E109&lt;Reporting!$B$4,OR(G109="",G109&gt;=Reporting!$B$4)),1,0)</x:f>
        <x:v>0</x:v>
      </x:c>
      <x:c r="J109" s="1" t="n">
        <x:f>IF(AND(I109=1,F109&lt;Reporting!$B$4),1,0)</x:f>
        <x:v>0</x:v>
      </x:c>
      <x:c r="K109" s="1" t="n">
        <x:f>IF(F109&lt;Reporting!$B$4,1,0)</x:f>
        <x:v>1</x:v>
      </x:c>
      <x:c r="L109" s="1" t="n">
        <x:f>IF(AND(K109=1,G109&lt;&gt;"",G109&lt;=F109),1,0)</x:f>
        <x:v>0</x:v>
      </x:c>
      <x:c r="M109" s="1" t="n">
        <x:f>IF(AND(G109&lt;&gt;"",G109&lt;Reporting!$B$4),1,0)</x:f>
        <x:v>1</x:v>
      </x:c>
      <x:c r="N109" s="16" t="n">
        <x:f>IF(M109=1,G109-E109,"")</x:f>
        <x:v>13.041666666671517</x:v>
      </x:c>
      <x:c r="O109" s="1" t="str">
        <x:f>IF(E109&gt;=Reporting!$B$4,"Outside cutoff",IF(M109=1,"Closed",IF(J109=1,"Overdue","Open - within SLA")))</x:f>
        <x:v>Closed</x:v>
      </x:c>
    </x:row>
    <x:row r="110">
      <x:c r="A110" s="14" t="str">
        <x:v>CASE-00105</x:v>
      </x:c>
      <x:c r="B110" s="14" t="str">
        <x:v>Warehouse</x:v>
      </x:c>
      <x:c r="C110" s="14" t="str">
        <x:v>Process deviation</x:v>
      </x:c>
      <x:c r="D110" s="14" t="str">
        <x:v>Low</x:v>
      </x:c>
      <x:c r="E110" s="15" t="n">
        <x:v>46207.666666666664</x:v>
      </x:c>
      <x:c r="F110" s="15" t="n">
        <x:v>46221.666666666664</x:v>
      </x:c>
      <x:c r="G110" s="15" t="n">
        <x:v>46210.666666666664</x:v>
      </x:c>
      <x:c r="H110" s="14" t="n">
        <x:v>2</x:v>
      </x:c>
      <x:c r="I110" s="1" t="n">
        <x:f>IF(AND(E110&lt;Reporting!$B$4,OR(G110="",G110&gt;=Reporting!$B$4)),1,0)</x:f>
        <x:v>0</x:v>
      </x:c>
      <x:c r="J110" s="1" t="n">
        <x:f>IF(AND(I110=1,F110&lt;Reporting!$B$4),1,0)</x:f>
        <x:v>0</x:v>
      </x:c>
      <x:c r="K110" s="1" t="n">
        <x:f>IF(F110&lt;Reporting!$B$4,1,0)</x:f>
        <x:v>1</x:v>
      </x:c>
      <x:c r="L110" s="1" t="n">
        <x:f>IF(AND(K110=1,G110&lt;&gt;"",G110&lt;=F110),1,0)</x:f>
        <x:v>1</x:v>
      </x:c>
      <x:c r="M110" s="1" t="n">
        <x:f>IF(AND(G110&lt;&gt;"",G110&lt;Reporting!$B$4),1,0)</x:f>
        <x:v>1</x:v>
      </x:c>
      <x:c r="N110" s="16" t="n">
        <x:f>IF(M110=1,G110-E110,"")</x:f>
        <x:v>3</x:v>
      </x:c>
      <x:c r="O110" s="1" t="str">
        <x:f>IF(E110&gt;=Reporting!$B$4,"Outside cutoff",IF(M110=1,"Closed",IF(J110=1,"Overdue","Open - within SLA")))</x:f>
        <x:v>Closed</x:v>
      </x:c>
    </x:row>
    <x:row r="111">
      <x:c r="A111" s="14" t="str">
        <x:v>CASE-00106</x:v>
      </x:c>
      <x:c r="B111" s="14" t="str">
        <x:v>Warehouse</x:v>
      </x:c>
      <x:c r="C111" s="14" t="str">
        <x:v>Record mismatch</x:v>
      </x:c>
      <x:c r="D111" s="14" t="str">
        <x:v>High</x:v>
      </x:c>
      <x:c r="E111" s="15" t="n">
        <x:v>46210.5</x:v>
      </x:c>
      <x:c r="F111" s="15" t="n">
        <x:v>46213.5</x:v>
      </x:c>
      <x:c r="G111" s="15" t="n">
        <x:v>46221.5</x:v>
      </x:c>
      <x:c r="H111" s="14" t="n">
        <x:v>2</x:v>
      </x:c>
      <x:c r="I111" s="1" t="n">
        <x:f>IF(AND(E111&lt;Reporting!$B$4,OR(G111="",G111&gt;=Reporting!$B$4)),1,0)</x:f>
        <x:v>0</x:v>
      </x:c>
      <x:c r="J111" s="1" t="n">
        <x:f>IF(AND(I111=1,F111&lt;Reporting!$B$4),1,0)</x:f>
        <x:v>0</x:v>
      </x:c>
      <x:c r="K111" s="1" t="n">
        <x:f>IF(F111&lt;Reporting!$B$4,1,0)</x:f>
        <x:v>1</x:v>
      </x:c>
      <x:c r="L111" s="1" t="n">
        <x:f>IF(AND(K111=1,G111&lt;&gt;"",G111&lt;=F111),1,0)</x:f>
        <x:v>0</x:v>
      </x:c>
      <x:c r="M111" s="1" t="n">
        <x:f>IF(AND(G111&lt;&gt;"",G111&lt;Reporting!$B$4),1,0)</x:f>
        <x:v>1</x:v>
      </x:c>
      <x:c r="N111" s="16" t="n">
        <x:f>IF(M111=1,G111-E111,"")</x:f>
        <x:v>11</x:v>
      </x:c>
      <x:c r="O111" s="1" t="str">
        <x:f>IF(E111&gt;=Reporting!$B$4,"Outside cutoff",IF(M111=1,"Closed",IF(J111=1,"Overdue","Open - within SLA")))</x:f>
        <x:v>Closed</x:v>
      </x:c>
    </x:row>
    <x:row r="112">
      <x:c r="A112" s="14" t="str">
        <x:v>CASE-00107</x:v>
      </x:c>
      <x:c r="B112" s="14" t="str">
        <x:v>Installation</x:v>
      </x:c>
      <x:c r="C112" s="14" t="str">
        <x:v>Record mismatch</x:v>
      </x:c>
      <x:c r="D112" s="14" t="str">
        <x:v>Medium</x:v>
      </x:c>
      <x:c r="E112" s="15" t="n">
        <x:v>46283.625</x:v>
      </x:c>
      <x:c r="F112" s="15" t="n">
        <x:v>46290.625</x:v>
      </x:c>
      <x:c r="G112" s="15"/>
      <x:c r="H112" s="14" t="n">
        <x:v>3</x:v>
      </x:c>
      <x:c r="I112" s="1" t="n">
        <x:f>IF(AND(E112&lt;Reporting!$B$4,OR(G112="",G112&gt;=Reporting!$B$4)),1,0)</x:f>
        <x:v>1</x:v>
      </x:c>
      <x:c r="J112" s="1" t="n">
        <x:f>IF(AND(I112=1,F112&lt;Reporting!$B$4),1,0)</x:f>
        <x:v>0</x:v>
      </x:c>
      <x:c r="K112" s="1" t="n">
        <x:f>IF(F112&lt;Reporting!$B$4,1,0)</x:f>
        <x:v>0</x:v>
      </x:c>
      <x:c r="L112" s="1" t="n">
        <x:f>IF(AND(K112=1,G112&lt;&gt;"",G112&lt;=F112),1,0)</x:f>
        <x:v>0</x:v>
      </x:c>
      <x:c r="M112" s="1" t="n">
        <x:f>IF(AND(G112&lt;&gt;"",G112&lt;Reporting!$B$4),1,0)</x:f>
        <x:v>0</x:v>
      </x:c>
      <x:c r="N112" s="16" t="str">
        <x:f>IF(M112=1,G112-E112,"")</x:f>
      </x:c>
      <x:c r="O112" s="1" t="str">
        <x:f>IF(E112&gt;=Reporting!$B$4,"Outside cutoff",IF(M112=1,"Closed",IF(J112=1,"Overdue","Open - within SLA")))</x:f>
        <x:v>Open - within SLA</x:v>
      </x:c>
    </x:row>
    <x:row r="113">
      <x:c r="A113" s="14" t="str">
        <x:v>CASE-00108</x:v>
      </x:c>
      <x:c r="B113" s="14" t="str">
        <x:v>Installation</x:v>
      </x:c>
      <x:c r="C113" s="14" t="str">
        <x:v>Late review</x:v>
      </x:c>
      <x:c r="D113" s="14" t="str">
        <x:v>High</x:v>
      </x:c>
      <x:c r="E113" s="15" t="n">
        <x:v>46258.5</x:v>
      </x:c>
      <x:c r="F113" s="15" t="n">
        <x:v>46261.5</x:v>
      </x:c>
      <x:c r="G113" s="15" t="n">
        <x:v>46264.5</x:v>
      </x:c>
      <x:c r="H113" s="14" t="n">
        <x:v>3</x:v>
      </x:c>
      <x:c r="I113" s="1" t="n">
        <x:f>IF(AND(E113&lt;Reporting!$B$4,OR(G113="",G113&gt;=Reporting!$B$4)),1,0)</x:f>
        <x:v>0</x:v>
      </x:c>
      <x:c r="J113" s="1" t="n">
        <x:f>IF(AND(I113=1,F113&lt;Reporting!$B$4),1,0)</x:f>
        <x:v>0</x:v>
      </x:c>
      <x:c r="K113" s="1" t="n">
        <x:f>IF(F113&lt;Reporting!$B$4,1,0)</x:f>
        <x:v>1</x:v>
      </x:c>
      <x:c r="L113" s="1" t="n">
        <x:f>IF(AND(K113=1,G113&lt;&gt;"",G113&lt;=F113),1,0)</x:f>
        <x:v>0</x:v>
      </x:c>
      <x:c r="M113" s="1" t="n">
        <x:f>IF(AND(G113&lt;&gt;"",G113&lt;Reporting!$B$4),1,0)</x:f>
        <x:v>1</x:v>
      </x:c>
      <x:c r="N113" s="16" t="n">
        <x:f>IF(M113=1,G113-E113,"")</x:f>
        <x:v>6</x:v>
      </x:c>
      <x:c r="O113" s="1" t="str">
        <x:f>IF(E113&gt;=Reporting!$B$4,"Outside cutoff",IF(M113=1,"Closed",IF(J113=1,"Overdue","Open - within SLA")))</x:f>
        <x:v>Closed</x:v>
      </x:c>
    </x:row>
    <x:row r="114">
      <x:c r="A114" s="14" t="str">
        <x:v>CASE-00109</x:v>
      </x:c>
      <x:c r="B114" s="14" t="str">
        <x:v>Warehouse</x:v>
      </x:c>
      <x:c r="C114" s="14" t="str">
        <x:v>Late review</x:v>
      </x:c>
      <x:c r="D114" s="14" t="str">
        <x:v>High</x:v>
      </x:c>
      <x:c r="E114" s="15" t="n">
        <x:v>46214.458333333336</x:v>
      </x:c>
      <x:c r="F114" s="15" t="n">
        <x:v>46217.458333333336</x:v>
      </x:c>
      <x:c r="G114" s="15" t="n">
        <x:v>46217.5</x:v>
      </x:c>
      <x:c r="H114" s="14" t="n">
        <x:v>2</x:v>
      </x:c>
      <x:c r="I114" s="1" t="n">
        <x:f>IF(AND(E114&lt;Reporting!$B$4,OR(G114="",G114&gt;=Reporting!$B$4)),1,0)</x:f>
        <x:v>0</x:v>
      </x:c>
      <x:c r="J114" s="1" t="n">
        <x:f>IF(AND(I114=1,F114&lt;Reporting!$B$4),1,0)</x:f>
        <x:v>0</x:v>
      </x:c>
      <x:c r="K114" s="1" t="n">
        <x:f>IF(F114&lt;Reporting!$B$4,1,0)</x:f>
        <x:v>1</x:v>
      </x:c>
      <x:c r="L114" s="1" t="n">
        <x:f>IF(AND(K114=1,G114&lt;&gt;"",G114&lt;=F114),1,0)</x:f>
        <x:v>0</x:v>
      </x:c>
      <x:c r="M114" s="1" t="n">
        <x:f>IF(AND(G114&lt;&gt;"",G114&lt;Reporting!$B$4),1,0)</x:f>
        <x:v>1</x:v>
      </x:c>
      <x:c r="N114" s="16" t="n">
        <x:f>IF(M114=1,G114-E114,"")</x:f>
        <x:v>3.0416666666642413</x:v>
      </x:c>
      <x:c r="O114" s="1" t="str">
        <x:f>IF(E114&gt;=Reporting!$B$4,"Outside cutoff",IF(M114=1,"Closed",IF(J114=1,"Overdue","Open - within SLA")))</x:f>
        <x:v>Closed</x:v>
      </x:c>
    </x:row>
    <x:row r="115">
      <x:c r="A115" s="14" t="str">
        <x:v>CASE-00110</x:v>
      </x:c>
      <x:c r="B115" s="14" t="str">
        <x:v>Warehouse</x:v>
      </x:c>
      <x:c r="C115" s="14" t="str">
        <x:v>Process deviation</x:v>
      </x:c>
      <x:c r="D115" s="14" t="str">
        <x:v>Low</x:v>
      </x:c>
      <x:c r="E115" s="15" t="n">
        <x:v>46217.541666666664</x:v>
      </x:c>
      <x:c r="F115" s="15" t="n">
        <x:v>46231.541666666664</x:v>
      </x:c>
      <x:c r="G115" s="15" t="n">
        <x:v>46229.541666666664</x:v>
      </x:c>
      <x:c r="H115" s="14" t="n">
        <x:v>2</x:v>
      </x:c>
      <x:c r="I115" s="1" t="n">
        <x:f>IF(AND(E115&lt;Reporting!$B$4,OR(G115="",G115&gt;=Reporting!$B$4)),1,0)</x:f>
        <x:v>0</x:v>
      </x:c>
      <x:c r="J115" s="1" t="n">
        <x:f>IF(AND(I115=1,F115&lt;Reporting!$B$4),1,0)</x:f>
        <x:v>0</x:v>
      </x:c>
      <x:c r="K115" s="1" t="n">
        <x:f>IF(F115&lt;Reporting!$B$4,1,0)</x:f>
        <x:v>1</x:v>
      </x:c>
      <x:c r="L115" s="1" t="n">
        <x:f>IF(AND(K115=1,G115&lt;&gt;"",G115&lt;=F115),1,0)</x:f>
        <x:v>1</x:v>
      </x:c>
      <x:c r="M115" s="1" t="n">
        <x:f>IF(AND(G115&lt;&gt;"",G115&lt;Reporting!$B$4),1,0)</x:f>
        <x:v>1</x:v>
      </x:c>
      <x:c r="N115" s="16" t="n">
        <x:f>IF(M115=1,G115-E115,"")</x:f>
        <x:v>12</x:v>
      </x:c>
      <x:c r="O115" s="1" t="str">
        <x:f>IF(E115&gt;=Reporting!$B$4,"Outside cutoff",IF(M115=1,"Closed",IF(J115=1,"Overdue","Open - within SLA")))</x:f>
        <x:v>Closed</x:v>
      </x:c>
    </x:row>
    <x:row r="116">
      <x:c r="A116" s="14" t="str">
        <x:v>CASE-00111</x:v>
      </x:c>
      <x:c r="B116" s="14" t="str">
        <x:v>Customer Services</x:v>
      </x:c>
      <x:c r="C116" s="14" t="str">
        <x:v>Late review</x:v>
      </x:c>
      <x:c r="D116" s="14" t="str">
        <x:v>Low</x:v>
      </x:c>
      <x:c r="E116" s="15" t="n">
        <x:v>46240.333333333336</x:v>
      </x:c>
      <x:c r="F116" s="15" t="n">
        <x:v>46254.333333333336</x:v>
      </x:c>
      <x:c r="G116" s="15" t="n">
        <x:v>46242.375</x:v>
      </x:c>
      <x:c r="H116" s="14" t="n">
        <x:v>1</x:v>
      </x:c>
      <x:c r="I116" s="1" t="n">
        <x:f>IF(AND(E116&lt;Reporting!$B$4,OR(G116="",G116&gt;=Reporting!$B$4)),1,0)</x:f>
        <x:v>0</x:v>
      </x:c>
      <x:c r="J116" s="1" t="n">
        <x:f>IF(AND(I116=1,F116&lt;Reporting!$B$4),1,0)</x:f>
        <x:v>0</x:v>
      </x:c>
      <x:c r="K116" s="1" t="n">
        <x:f>IF(F116&lt;Reporting!$B$4,1,0)</x:f>
        <x:v>1</x:v>
      </x:c>
      <x:c r="L116" s="1" t="n">
        <x:f>IF(AND(K116=1,G116&lt;&gt;"",G116&lt;=F116),1,0)</x:f>
        <x:v>1</x:v>
      </x:c>
      <x:c r="M116" s="1" t="n">
        <x:f>IF(AND(G116&lt;&gt;"",G116&lt;Reporting!$B$4),1,0)</x:f>
        <x:v>1</x:v>
      </x:c>
      <x:c r="N116" s="16" t="n">
        <x:f>IF(M116=1,G116-E116,"")</x:f>
        <x:v>2.0416666666642413</x:v>
      </x:c>
      <x:c r="O116" s="1" t="str">
        <x:f>IF(E116&gt;=Reporting!$B$4,"Outside cutoff",IF(M116=1,"Closed",IF(J116=1,"Overdue","Open - within SLA")))</x:f>
        <x:v>Closed</x:v>
      </x:c>
    </x:row>
    <x:row r="117">
      <x:c r="A117" s="14" t="str">
        <x:v>CASE-00112</x:v>
      </x:c>
      <x:c r="B117" s="14" t="str">
        <x:v>Customer Services</x:v>
      </x:c>
      <x:c r="C117" s="14" t="str">
        <x:v>Missing evidence</x:v>
      </x:c>
      <x:c r="D117" s="14" t="str">
        <x:v>Medium</x:v>
      </x:c>
      <x:c r="E117" s="15" t="n">
        <x:v>46226.333333333336</x:v>
      </x:c>
      <x:c r="F117" s="15" t="n">
        <x:v>46233.333333333336</x:v>
      </x:c>
      <x:c r="G117" s="15" t="n">
        <x:v>46242.416666666664</x:v>
      </x:c>
      <x:c r="H117" s="14" t="n">
        <x:v>1</x:v>
      </x:c>
      <x:c r="I117" s="1" t="n">
        <x:f>IF(AND(E117&lt;Reporting!$B$4,OR(G117="",G117&gt;=Reporting!$B$4)),1,0)</x:f>
        <x:v>0</x:v>
      </x:c>
      <x:c r="J117" s="1" t="n">
        <x:f>IF(AND(I117=1,F117&lt;Reporting!$B$4),1,0)</x:f>
        <x:v>0</x:v>
      </x:c>
      <x:c r="K117" s="1" t="n">
        <x:f>IF(F117&lt;Reporting!$B$4,1,0)</x:f>
        <x:v>1</x:v>
      </x:c>
      <x:c r="L117" s="1" t="n">
        <x:f>IF(AND(K117=1,G117&lt;&gt;"",G117&lt;=F117),1,0)</x:f>
        <x:v>0</x:v>
      </x:c>
      <x:c r="M117" s="1" t="n">
        <x:f>IF(AND(G117&lt;&gt;"",G117&lt;Reporting!$B$4),1,0)</x:f>
        <x:v>1</x:v>
      </x:c>
      <x:c r="N117" s="16" t="n">
        <x:f>IF(M117=1,G117-E117,"")</x:f>
        <x:v>16.083333333328483</x:v>
      </x:c>
      <x:c r="O117" s="1" t="str">
        <x:f>IF(E117&gt;=Reporting!$B$4,"Outside cutoff",IF(M117=1,"Closed",IF(J117=1,"Overdue","Open - within SLA")))</x:f>
        <x:v>Closed</x:v>
      </x:c>
    </x:row>
    <x:row r="118">
      <x:c r="A118" s="14" t="str">
        <x:v>CASE-00113</x:v>
      </x:c>
      <x:c r="B118" s="14" t="str">
        <x:v>Warehouse</x:v>
      </x:c>
      <x:c r="C118" s="14" t="str">
        <x:v>Process deviation</x:v>
      </x:c>
      <x:c r="D118" s="14" t="str">
        <x:v>Medium</x:v>
      </x:c>
      <x:c r="E118" s="15" t="n">
        <x:v>46261.458333333336</x:v>
      </x:c>
      <x:c r="F118" s="15" t="n">
        <x:v>46268.458333333336</x:v>
      </x:c>
      <x:c r="G118" s="15" t="n">
        <x:v>46281.5</x:v>
      </x:c>
      <x:c r="H118" s="14" t="n">
        <x:v>2</x:v>
      </x:c>
      <x:c r="I118" s="1" t="n">
        <x:f>IF(AND(E118&lt;Reporting!$B$4,OR(G118="",G118&gt;=Reporting!$B$4)),1,0)</x:f>
        <x:v>0</x:v>
      </x:c>
      <x:c r="J118" s="1" t="n">
        <x:f>IF(AND(I118=1,F118&lt;Reporting!$B$4),1,0)</x:f>
        <x:v>0</x:v>
      </x:c>
      <x:c r="K118" s="1" t="n">
        <x:f>IF(F118&lt;Reporting!$B$4,1,0)</x:f>
        <x:v>1</x:v>
      </x:c>
      <x:c r="L118" s="1" t="n">
        <x:f>IF(AND(K118=1,G118&lt;&gt;"",G118&lt;=F118),1,0)</x:f>
        <x:v>0</x:v>
      </x:c>
      <x:c r="M118" s="1" t="n">
        <x:f>IF(AND(G118&lt;&gt;"",G118&lt;Reporting!$B$4),1,0)</x:f>
        <x:v>1</x:v>
      </x:c>
      <x:c r="N118" s="16" t="n">
        <x:f>IF(M118=1,G118-E118,"")</x:f>
        <x:v>20.04166666666424</x:v>
      </x:c>
      <x:c r="O118" s="1" t="str">
        <x:f>IF(E118&gt;=Reporting!$B$4,"Outside cutoff",IF(M118=1,"Closed",IF(J118=1,"Overdue","Open - within SLA")))</x:f>
        <x:v>Closed</x:v>
      </x:c>
    </x:row>
    <x:row r="119">
      <x:c r="A119" s="14" t="str">
        <x:v>CASE-00114</x:v>
      </x:c>
      <x:c r="B119" s="14" t="str">
        <x:v>Installation</x:v>
      </x:c>
      <x:c r="C119" s="14" t="str">
        <x:v>Record mismatch</x:v>
      </x:c>
      <x:c r="D119" s="14" t="str">
        <x:v>Low</x:v>
      </x:c>
      <x:c r="E119" s="15" t="n">
        <x:v>46239.625</x:v>
      </x:c>
      <x:c r="F119" s="15" t="n">
        <x:v>46253.625</x:v>
      </x:c>
      <x:c r="G119" s="15"/>
      <x:c r="H119" s="14" t="n">
        <x:v>3</x:v>
      </x:c>
      <x:c r="I119" s="1" t="n">
        <x:f>IF(AND(E119&lt;Reporting!$B$4,OR(G119="",G119&gt;=Reporting!$B$4)),1,0)</x:f>
        <x:v>1</x:v>
      </x:c>
      <x:c r="J119" s="1" t="n">
        <x:f>IF(AND(I119=1,F119&lt;Reporting!$B$4),1,0)</x:f>
        <x:v>1</x:v>
      </x:c>
      <x:c r="K119" s="1" t="n">
        <x:f>IF(F119&lt;Reporting!$B$4,1,0)</x:f>
        <x:v>1</x:v>
      </x:c>
      <x:c r="L119" s="1" t="n">
        <x:f>IF(AND(K119=1,G119&lt;&gt;"",G119&lt;=F119),1,0)</x:f>
        <x:v>0</x:v>
      </x:c>
      <x:c r="M119" s="1" t="n">
        <x:f>IF(AND(G119&lt;&gt;"",G119&lt;Reporting!$B$4),1,0)</x:f>
        <x:v>0</x:v>
      </x:c>
      <x:c r="N119" s="16" t="str">
        <x:f>IF(M119=1,G119-E119,"")</x:f>
      </x:c>
      <x:c r="O119" s="1" t="str">
        <x:f>IF(E119&gt;=Reporting!$B$4,"Outside cutoff",IF(M119=1,"Closed",IF(J119=1,"Overdue","Open - within SLA")))</x:f>
        <x:v>Overdue</x:v>
      </x:c>
    </x:row>
    <x:row r="120">
      <x:c r="A120" s="14" t="str">
        <x:v>CASE-00115</x:v>
      </x:c>
      <x:c r="B120" s="14" t="str">
        <x:v>Warehouse</x:v>
      </x:c>
      <x:c r="C120" s="14" t="str">
        <x:v>Record mismatch</x:v>
      </x:c>
      <x:c r="D120" s="14" t="str">
        <x:v>Low</x:v>
      </x:c>
      <x:c r="E120" s="15" t="n">
        <x:v>46264.5</x:v>
      </x:c>
      <x:c r="F120" s="15" t="n">
        <x:v>46278.5</x:v>
      </x:c>
      <x:c r="G120" s="15"/>
      <x:c r="H120" s="14" t="n">
        <x:v>2</x:v>
      </x:c>
      <x:c r="I120" s="1" t="n">
        <x:f>IF(AND(E120&lt;Reporting!$B$4,OR(G120="",G120&gt;=Reporting!$B$4)),1,0)</x:f>
        <x:v>1</x:v>
      </x:c>
      <x:c r="J120" s="1" t="n">
        <x:f>IF(AND(I120=1,F120&lt;Reporting!$B$4),1,0)</x:f>
        <x:v>1</x:v>
      </x:c>
      <x:c r="K120" s="1" t="n">
        <x:f>IF(F120&lt;Reporting!$B$4,1,0)</x:f>
        <x:v>1</x:v>
      </x:c>
      <x:c r="L120" s="1" t="n">
        <x:f>IF(AND(K120=1,G120&lt;&gt;"",G120&lt;=F120),1,0)</x:f>
        <x:v>0</x:v>
      </x:c>
      <x:c r="M120" s="1" t="n">
        <x:f>IF(AND(G120&lt;&gt;"",G120&lt;Reporting!$B$4),1,0)</x:f>
        <x:v>0</x:v>
      </x:c>
      <x:c r="N120" s="16" t="str">
        <x:f>IF(M120=1,G120-E120,"")</x:f>
      </x:c>
      <x:c r="O120" s="1" t="str">
        <x:f>IF(E120&gt;=Reporting!$B$4,"Outside cutoff",IF(M120=1,"Closed",IF(J120=1,"Overdue","Open - within SLA")))</x:f>
        <x:v>Overdue</x:v>
      </x:c>
    </x:row>
    <x:row r="121">
      <x:c r="A121" s="14" t="str">
        <x:v>CASE-00116</x:v>
      </x:c>
      <x:c r="B121" s="14" t="str">
        <x:v>Warehouse</x:v>
      </x:c>
      <x:c r="C121" s="14" t="str">
        <x:v>Record mismatch</x:v>
      </x:c>
      <x:c r="D121" s="14" t="str">
        <x:v>Medium</x:v>
      </x:c>
      <x:c r="E121" s="15" t="n">
        <x:v>46222.458333333336</x:v>
      </x:c>
      <x:c r="F121" s="15" t="n">
        <x:v>46229.458333333336</x:v>
      </x:c>
      <x:c r="G121" s="15" t="n">
        <x:v>46230.541666666664</x:v>
      </x:c>
      <x:c r="H121" s="14" t="n">
        <x:v>2</x:v>
      </x:c>
      <x:c r="I121" s="1" t="n">
        <x:f>IF(AND(E121&lt;Reporting!$B$4,OR(G121="",G121&gt;=Reporting!$B$4)),1,0)</x:f>
        <x:v>0</x:v>
      </x:c>
      <x:c r="J121" s="1" t="n">
        <x:f>IF(AND(I121=1,F121&lt;Reporting!$B$4),1,0)</x:f>
        <x:v>0</x:v>
      </x:c>
      <x:c r="K121" s="1" t="n">
        <x:f>IF(F121&lt;Reporting!$B$4,1,0)</x:f>
        <x:v>1</x:v>
      </x:c>
      <x:c r="L121" s="1" t="n">
        <x:f>IF(AND(K121=1,G121&lt;&gt;"",G121&lt;=F121),1,0)</x:f>
        <x:v>0</x:v>
      </x:c>
      <x:c r="M121" s="1" t="n">
        <x:f>IF(AND(G121&lt;&gt;"",G121&lt;Reporting!$B$4),1,0)</x:f>
        <x:v>1</x:v>
      </x:c>
      <x:c r="N121" s="16" t="n">
        <x:f>IF(M121=1,G121-E121,"")</x:f>
        <x:v>8.083333333328483</x:v>
      </x:c>
      <x:c r="O121" s="1" t="str">
        <x:f>IF(E121&gt;=Reporting!$B$4,"Outside cutoff",IF(M121=1,"Closed",IF(J121=1,"Overdue","Open - within SLA")))</x:f>
        <x:v>Closed</x:v>
      </x:c>
    </x:row>
    <x:row r="122">
      <x:c r="A122" s="14" t="str">
        <x:v>CASE-00117</x:v>
      </x:c>
      <x:c r="B122" s="14" t="str">
        <x:v>Warehouse</x:v>
      </x:c>
      <x:c r="C122" s="14" t="str">
        <x:v>Missing evidence</x:v>
      </x:c>
      <x:c r="D122" s="14" t="str">
        <x:v>Medium</x:v>
      </x:c>
      <x:c r="E122" s="15" t="n">
        <x:v>46206.541666666664</x:v>
      </x:c>
      <x:c r="F122" s="15" t="n">
        <x:v>46213.541666666664</x:v>
      </x:c>
      <x:c r="G122" s="15" t="n">
        <x:v>46212.541666666664</x:v>
      </x:c>
      <x:c r="H122" s="14" t="n">
        <x:v>2</x:v>
      </x:c>
      <x:c r="I122" s="1" t="n">
        <x:f>IF(AND(E122&lt;Reporting!$B$4,OR(G122="",G122&gt;=Reporting!$B$4)),1,0)</x:f>
        <x:v>0</x:v>
      </x:c>
      <x:c r="J122" s="1" t="n">
        <x:f>IF(AND(I122=1,F122&lt;Reporting!$B$4),1,0)</x:f>
        <x:v>0</x:v>
      </x:c>
      <x:c r="K122" s="1" t="n">
        <x:f>IF(F122&lt;Reporting!$B$4,1,0)</x:f>
        <x:v>1</x:v>
      </x:c>
      <x:c r="L122" s="1" t="n">
        <x:f>IF(AND(K122=1,G122&lt;&gt;"",G122&lt;=F122),1,0)</x:f>
        <x:v>1</x:v>
      </x:c>
      <x:c r="M122" s="1" t="n">
        <x:f>IF(AND(G122&lt;&gt;"",G122&lt;Reporting!$B$4),1,0)</x:f>
        <x:v>1</x:v>
      </x:c>
      <x:c r="N122" s="16" t="n">
        <x:f>IF(M122=1,G122-E122,"")</x:f>
        <x:v>6</x:v>
      </x:c>
      <x:c r="O122" s="1" t="str">
        <x:f>IF(E122&gt;=Reporting!$B$4,"Outside cutoff",IF(M122=1,"Closed",IF(J122=1,"Overdue","Open - within SLA")))</x:f>
        <x:v>Closed</x:v>
      </x:c>
    </x:row>
    <x:row r="123">
      <x:c r="A123" s="14" t="str">
        <x:v>CASE-00118</x:v>
      </x:c>
      <x:c r="B123" s="14" t="str">
        <x:v>Customer Services</x:v>
      </x:c>
      <x:c r="C123" s="14" t="str">
        <x:v>Process deviation</x:v>
      </x:c>
      <x:c r="D123" s="14" t="str">
        <x:v>Medium</x:v>
      </x:c>
      <x:c r="E123" s="15" t="n">
        <x:v>46241.666666666664</x:v>
      </x:c>
      <x:c r="F123" s="15" t="n">
        <x:v>46248.666666666664</x:v>
      </x:c>
      <x:c r="G123" s="15" t="n">
        <x:v>46256.75</x:v>
      </x:c>
      <x:c r="H123" s="14" t="n">
        <x:v>1</x:v>
      </x:c>
      <x:c r="I123" s="1" t="n">
        <x:f>IF(AND(E123&lt;Reporting!$B$4,OR(G123="",G123&gt;=Reporting!$B$4)),1,0)</x:f>
        <x:v>0</x:v>
      </x:c>
      <x:c r="J123" s="1" t="n">
        <x:f>IF(AND(I123=1,F123&lt;Reporting!$B$4),1,0)</x:f>
        <x:v>0</x:v>
      </x:c>
      <x:c r="K123" s="1" t="n">
        <x:f>IF(F123&lt;Reporting!$B$4,1,0)</x:f>
        <x:v>1</x:v>
      </x:c>
      <x:c r="L123" s="1" t="n">
        <x:f>IF(AND(K123=1,G123&lt;&gt;"",G123&lt;=F123),1,0)</x:f>
        <x:v>0</x:v>
      </x:c>
      <x:c r="M123" s="1" t="n">
        <x:f>IF(AND(G123&lt;&gt;"",G123&lt;Reporting!$B$4),1,0)</x:f>
        <x:v>1</x:v>
      </x:c>
      <x:c r="N123" s="16" t="n">
        <x:f>IF(M123=1,G123-E123,"")</x:f>
        <x:v>15.083333333335759</x:v>
      </x:c>
      <x:c r="O123" s="1" t="str">
        <x:f>IF(E123&gt;=Reporting!$B$4,"Outside cutoff",IF(M123=1,"Closed",IF(J123=1,"Overdue","Open - within SLA")))</x:f>
        <x:v>Closed</x:v>
      </x:c>
    </x:row>
    <x:row r="124">
      <x:c r="A124" s="14" t="str">
        <x:v>CASE-00119</x:v>
      </x:c>
      <x:c r="B124" s="14" t="str">
        <x:v>Customer Services</x:v>
      </x:c>
      <x:c r="C124" s="14" t="str">
        <x:v>Record mismatch</x:v>
      </x:c>
      <x:c r="D124" s="14" t="str">
        <x:v>Medium</x:v>
      </x:c>
      <x:c r="E124" s="15" t="n">
        <x:v>46214.416666666664</x:v>
      </x:c>
      <x:c r="F124" s="15" t="n">
        <x:v>46221.416666666664</x:v>
      </x:c>
      <x:c r="G124" s="15" t="n">
        <x:v>46218.458333333336</x:v>
      </x:c>
      <x:c r="H124" s="14" t="n">
        <x:v>1</x:v>
      </x:c>
      <x:c r="I124" s="1" t="n">
        <x:f>IF(AND(E124&lt;Reporting!$B$4,OR(G124="",G124&gt;=Reporting!$B$4)),1,0)</x:f>
        <x:v>0</x:v>
      </x:c>
      <x:c r="J124" s="1" t="n">
        <x:f>IF(AND(I124=1,F124&lt;Reporting!$B$4),1,0)</x:f>
        <x:v>0</x:v>
      </x:c>
      <x:c r="K124" s="1" t="n">
        <x:f>IF(F124&lt;Reporting!$B$4,1,0)</x:f>
        <x:v>1</x:v>
      </x:c>
      <x:c r="L124" s="1" t="n">
        <x:f>IF(AND(K124=1,G124&lt;&gt;"",G124&lt;=F124),1,0)</x:f>
        <x:v>1</x:v>
      </x:c>
      <x:c r="M124" s="1" t="n">
        <x:f>IF(AND(G124&lt;&gt;"",G124&lt;Reporting!$B$4),1,0)</x:f>
        <x:v>1</x:v>
      </x:c>
      <x:c r="N124" s="16" t="n">
        <x:f>IF(M124=1,G124-E124,"")</x:f>
        <x:v>4.041666666671517</x:v>
      </x:c>
      <x:c r="O124" s="1" t="str">
        <x:f>IF(E124&gt;=Reporting!$B$4,"Outside cutoff",IF(M124=1,"Closed",IF(J124=1,"Overdue","Open - within SLA")))</x:f>
        <x:v>Closed</x:v>
      </x:c>
    </x:row>
    <x:row r="125">
      <x:c r="A125" s="14" t="str">
        <x:v>CASE-00120</x:v>
      </x:c>
      <x:c r="B125" s="14" t="str">
        <x:v>Installation</x:v>
      </x:c>
      <x:c r="C125" s="14" t="str">
        <x:v>Missing evidence</x:v>
      </x:c>
      <x:c r="D125" s="14" t="str">
        <x:v>High</x:v>
      </x:c>
      <x:c r="E125" s="15" t="n">
        <x:v>46283.416666666664</x:v>
      </x:c>
      <x:c r="F125" s="15" t="n">
        <x:v>46286.416666666664</x:v>
      </x:c>
      <x:c r="G125" s="15" t="n">
        <x:v>46284.5</x:v>
      </x:c>
      <x:c r="H125" s="14" t="n">
        <x:v>3</x:v>
      </x:c>
      <x:c r="I125" s="1" t="n">
        <x:f>IF(AND(E125&lt;Reporting!$B$4,OR(G125="",G125&gt;=Reporting!$B$4)),1,0)</x:f>
        <x:v>0</x:v>
      </x:c>
      <x:c r="J125" s="1" t="n">
        <x:f>IF(AND(I125=1,F125&lt;Reporting!$B$4),1,0)</x:f>
        <x:v>0</x:v>
      </x:c>
      <x:c r="K125" s="1" t="n">
        <x:f>IF(F125&lt;Reporting!$B$4,1,0)</x:f>
        <x:v>0</x:v>
      </x:c>
      <x:c r="L125" s="1" t="n">
        <x:f>IF(AND(K125=1,G125&lt;&gt;"",G125&lt;=F125),1,0)</x:f>
        <x:v>0</x:v>
      </x:c>
      <x:c r="M125" s="1" t="n">
        <x:f>IF(AND(G125&lt;&gt;"",G125&lt;Reporting!$B$4),1,0)</x:f>
        <x:v>1</x:v>
      </x:c>
      <x:c r="N125" s="16" t="n">
        <x:f>IF(M125=1,G125-E125,"")</x:f>
        <x:v>1.0833333333357587</x:v>
      </x:c>
      <x:c r="O125" s="1" t="str">
        <x:f>IF(E125&gt;=Reporting!$B$4,"Outside cutoff",IF(M125=1,"Closed",IF(J125=1,"Overdue","Open - within SLA")))</x:f>
        <x:v>Closed</x:v>
      </x:c>
    </x:row>
    <x:row r="126">
      <x:c r="A126" s="14" t="str">
        <x:v>CASE-00121</x:v>
      </x:c>
      <x:c r="B126" s="14" t="str">
        <x:v>Warehouse</x:v>
      </x:c>
      <x:c r="C126" s="14" t="str">
        <x:v>Record mismatch</x:v>
      </x:c>
      <x:c r="D126" s="14" t="str">
        <x:v>Medium</x:v>
      </x:c>
      <x:c r="E126" s="15" t="n">
        <x:v>46219.333333333336</x:v>
      </x:c>
      <x:c r="F126" s="15" t="n">
        <x:v>46226.333333333336</x:v>
      </x:c>
      <x:c r="G126" s="15" t="n">
        <x:v>46223.416666666664</x:v>
      </x:c>
      <x:c r="H126" s="14" t="n">
        <x:v>2</x:v>
      </x:c>
      <x:c r="I126" s="1" t="n">
        <x:f>IF(AND(E126&lt;Reporting!$B$4,OR(G126="",G126&gt;=Reporting!$B$4)),1,0)</x:f>
        <x:v>0</x:v>
      </x:c>
      <x:c r="J126" s="1" t="n">
        <x:f>IF(AND(I126=1,F126&lt;Reporting!$B$4),1,0)</x:f>
        <x:v>0</x:v>
      </x:c>
      <x:c r="K126" s="1" t="n">
        <x:f>IF(F126&lt;Reporting!$B$4,1,0)</x:f>
        <x:v>1</x:v>
      </x:c>
      <x:c r="L126" s="1" t="n">
        <x:f>IF(AND(K126=1,G126&lt;&gt;"",G126&lt;=F126),1,0)</x:f>
        <x:v>1</x:v>
      </x:c>
      <x:c r="M126" s="1" t="n">
        <x:f>IF(AND(G126&lt;&gt;"",G126&lt;Reporting!$B$4),1,0)</x:f>
        <x:v>1</x:v>
      </x:c>
      <x:c r="N126" s="16" t="n">
        <x:f>IF(M126=1,G126-E126,"")</x:f>
        <x:v>4.083333333328483</x:v>
      </x:c>
      <x:c r="O126" s="1" t="str">
        <x:f>IF(E126&gt;=Reporting!$B$4,"Outside cutoff",IF(M126=1,"Closed",IF(J126=1,"Overdue","Open - within SLA")))</x:f>
        <x:v>Closed</x:v>
      </x:c>
    </x:row>
    <x:row r="127">
      <x:c r="A127" s="14" t="str">
        <x:v>CASE-00122</x:v>
      </x:c>
      <x:c r="B127" s="14" t="str">
        <x:v>Installation</x:v>
      </x:c>
      <x:c r="C127" s="14" t="str">
        <x:v>Missing evidence</x:v>
      </x:c>
      <x:c r="D127" s="14" t="str">
        <x:v>Medium</x:v>
      </x:c>
      <x:c r="E127" s="15" t="n">
        <x:v>46273.666666666664</x:v>
      </x:c>
      <x:c r="F127" s="15" t="n">
        <x:v>46280.666666666664</x:v>
      </x:c>
      <x:c r="G127" s="15"/>
      <x:c r="H127" s="14" t="n">
        <x:v>3</x:v>
      </x:c>
      <x:c r="I127" s="1" t="n">
        <x:f>IF(AND(E127&lt;Reporting!$B$4,OR(G127="",G127&gt;=Reporting!$B$4)),1,0)</x:f>
        <x:v>1</x:v>
      </x:c>
      <x:c r="J127" s="1" t="n">
        <x:f>IF(AND(I127=1,F127&lt;Reporting!$B$4),1,0)</x:f>
        <x:v>1</x:v>
      </x:c>
      <x:c r="K127" s="1" t="n">
        <x:f>IF(F127&lt;Reporting!$B$4,1,0)</x:f>
        <x:v>1</x:v>
      </x:c>
      <x:c r="L127" s="1" t="n">
        <x:f>IF(AND(K127=1,G127&lt;&gt;"",G127&lt;=F127),1,0)</x:f>
        <x:v>0</x:v>
      </x:c>
      <x:c r="M127" s="1" t="n">
        <x:f>IF(AND(G127&lt;&gt;"",G127&lt;Reporting!$B$4),1,0)</x:f>
        <x:v>0</x:v>
      </x:c>
      <x:c r="N127" s="16" t="str">
        <x:f>IF(M127=1,G127-E127,"")</x:f>
      </x:c>
      <x:c r="O127" s="1" t="str">
        <x:f>IF(E127&gt;=Reporting!$B$4,"Outside cutoff",IF(M127=1,"Closed",IF(J127=1,"Overdue","Open - within SLA")))</x:f>
        <x:v>Overdue</x:v>
      </x:c>
    </x:row>
    <x:row r="128">
      <x:c r="A128" s="14" t="str">
        <x:v>CASE-00123</x:v>
      </x:c>
      <x:c r="B128" s="14" t="str">
        <x:v>Installation</x:v>
      </x:c>
      <x:c r="C128" s="14" t="str">
        <x:v>Late review</x:v>
      </x:c>
      <x:c r="D128" s="14" t="str">
        <x:v>Medium</x:v>
      </x:c>
      <x:c r="E128" s="15" t="n">
        <x:v>46237.416666666664</x:v>
      </x:c>
      <x:c r="F128" s="15" t="n">
        <x:v>46244.416666666664</x:v>
      </x:c>
      <x:c r="G128" s="15" t="n">
        <x:v>46242.458333333336</x:v>
      </x:c>
      <x:c r="H128" s="14" t="n">
        <x:v>3</x:v>
      </x:c>
      <x:c r="I128" s="1" t="n">
        <x:f>IF(AND(E128&lt;Reporting!$B$4,OR(G128="",G128&gt;=Reporting!$B$4)),1,0)</x:f>
        <x:v>0</x:v>
      </x:c>
      <x:c r="J128" s="1" t="n">
        <x:f>IF(AND(I128=1,F128&lt;Reporting!$B$4),1,0)</x:f>
        <x:v>0</x:v>
      </x:c>
      <x:c r="K128" s="1" t="n">
        <x:f>IF(F128&lt;Reporting!$B$4,1,0)</x:f>
        <x:v>1</x:v>
      </x:c>
      <x:c r="L128" s="1" t="n">
        <x:f>IF(AND(K128=1,G128&lt;&gt;"",G128&lt;=F128),1,0)</x:f>
        <x:v>1</x:v>
      </x:c>
      <x:c r="M128" s="1" t="n">
        <x:f>IF(AND(G128&lt;&gt;"",G128&lt;Reporting!$B$4),1,0)</x:f>
        <x:v>1</x:v>
      </x:c>
      <x:c r="N128" s="16" t="n">
        <x:f>IF(M128=1,G128-E128,"")</x:f>
        <x:v>5.041666666671517</x:v>
      </x:c>
      <x:c r="O128" s="1" t="str">
        <x:f>IF(E128&gt;=Reporting!$B$4,"Outside cutoff",IF(M128=1,"Closed",IF(J128=1,"Overdue","Open - within SLA")))</x:f>
        <x:v>Closed</x:v>
      </x:c>
    </x:row>
    <x:row r="129">
      <x:c r="A129" s="14" t="str">
        <x:v>CASE-00124</x:v>
      </x:c>
      <x:c r="B129" s="14" t="str">
        <x:v>Customer Services</x:v>
      </x:c>
      <x:c r="C129" s="14" t="str">
        <x:v>Late review</x:v>
      </x:c>
      <x:c r="D129" s="14" t="str">
        <x:v>Medium</x:v>
      </x:c>
      <x:c r="E129" s="15" t="n">
        <x:v>46217.5</x:v>
      </x:c>
      <x:c r="F129" s="15" t="n">
        <x:v>46224.5</x:v>
      </x:c>
      <x:c r="G129" s="15" t="n">
        <x:v>46225.541666666664</x:v>
      </x:c>
      <x:c r="H129" s="14" t="n">
        <x:v>1</x:v>
      </x:c>
      <x:c r="I129" s="1" t="n">
        <x:f>IF(AND(E129&lt;Reporting!$B$4,OR(G129="",G129&gt;=Reporting!$B$4)),1,0)</x:f>
        <x:v>0</x:v>
      </x:c>
      <x:c r="J129" s="1" t="n">
        <x:f>IF(AND(I129=1,F129&lt;Reporting!$B$4),1,0)</x:f>
        <x:v>0</x:v>
      </x:c>
      <x:c r="K129" s="1" t="n">
        <x:f>IF(F129&lt;Reporting!$B$4,1,0)</x:f>
        <x:v>1</x:v>
      </x:c>
      <x:c r="L129" s="1" t="n">
        <x:f>IF(AND(K129=1,G129&lt;&gt;"",G129&lt;=F129),1,0)</x:f>
        <x:v>0</x:v>
      </x:c>
      <x:c r="M129" s="1" t="n">
        <x:f>IF(AND(G129&lt;&gt;"",G129&lt;Reporting!$B$4),1,0)</x:f>
        <x:v>1</x:v>
      </x:c>
      <x:c r="N129" s="16" t="n">
        <x:f>IF(M129=1,G129-E129,"")</x:f>
        <x:v>8.041666666664241</x:v>
      </x:c>
      <x:c r="O129" s="1" t="str">
        <x:f>IF(E129&gt;=Reporting!$B$4,"Outside cutoff",IF(M129=1,"Closed",IF(J129=1,"Overdue","Open - within SLA")))</x:f>
        <x:v>Closed</x:v>
      </x:c>
    </x:row>
    <x:row r="130">
      <x:c r="A130" s="14" t="str">
        <x:v>CASE-00125</x:v>
      </x:c>
      <x:c r="B130" s="14" t="str">
        <x:v>Installation</x:v>
      </x:c>
      <x:c r="C130" s="14" t="str">
        <x:v>Missing evidence</x:v>
      </x:c>
      <x:c r="D130" s="14" t="str">
        <x:v>High</x:v>
      </x:c>
      <x:c r="E130" s="15" t="n">
        <x:v>46241.416666666664</x:v>
      </x:c>
      <x:c r="F130" s="15" t="n">
        <x:v>46244.416666666664</x:v>
      </x:c>
      <x:c r="G130" s="15" t="n">
        <x:v>46259.416666666664</x:v>
      </x:c>
      <x:c r="H130" s="14" t="n">
        <x:v>3</x:v>
      </x:c>
      <x:c r="I130" s="1" t="n">
        <x:f>IF(AND(E130&lt;Reporting!$B$4,OR(G130="",G130&gt;=Reporting!$B$4)),1,0)</x:f>
        <x:v>0</x:v>
      </x:c>
      <x:c r="J130" s="1" t="n">
        <x:f>IF(AND(I130=1,F130&lt;Reporting!$B$4),1,0)</x:f>
        <x:v>0</x:v>
      </x:c>
      <x:c r="K130" s="1" t="n">
        <x:f>IF(F130&lt;Reporting!$B$4,1,0)</x:f>
        <x:v>1</x:v>
      </x:c>
      <x:c r="L130" s="1" t="n">
        <x:f>IF(AND(K130=1,G130&lt;&gt;"",G130&lt;=F130),1,0)</x:f>
        <x:v>0</x:v>
      </x:c>
      <x:c r="M130" s="1" t="n">
        <x:f>IF(AND(G130&lt;&gt;"",G130&lt;Reporting!$B$4),1,0)</x:f>
        <x:v>1</x:v>
      </x:c>
      <x:c r="N130" s="16" t="n">
        <x:f>IF(M130=1,G130-E130,"")</x:f>
        <x:v>18</x:v>
      </x:c>
      <x:c r="O130" s="1" t="str">
        <x:f>IF(E130&gt;=Reporting!$B$4,"Outside cutoff",IF(M130=1,"Closed",IF(J130=1,"Overdue","Open - within SLA")))</x:f>
        <x:v>Closed</x:v>
      </x:c>
    </x:row>
    <x:row r="131">
      <x:c r="A131" s="14" t="str">
        <x:v>CASE-00126</x:v>
      </x:c>
      <x:c r="B131" s="14" t="str">
        <x:v>Customer Services</x:v>
      </x:c>
      <x:c r="C131" s="14" t="str">
        <x:v>Process deviation</x:v>
      </x:c>
      <x:c r="D131" s="14" t="str">
        <x:v>Low</x:v>
      </x:c>
      <x:c r="E131" s="15" t="n">
        <x:v>46210.625</x:v>
      </x:c>
      <x:c r="F131" s="15" t="n">
        <x:v>46224.625</x:v>
      </x:c>
      <x:c r="G131" s="15" t="n">
        <x:v>46222.666666666664</x:v>
      </x:c>
      <x:c r="H131" s="14" t="n">
        <x:v>1</x:v>
      </x:c>
      <x:c r="I131" s="1" t="n">
        <x:f>IF(AND(E131&lt;Reporting!$B$4,OR(G131="",G131&gt;=Reporting!$B$4)),1,0)</x:f>
        <x:v>0</x:v>
      </x:c>
      <x:c r="J131" s="1" t="n">
        <x:f>IF(AND(I131=1,F131&lt;Reporting!$B$4),1,0)</x:f>
        <x:v>0</x:v>
      </x:c>
      <x:c r="K131" s="1" t="n">
        <x:f>IF(F131&lt;Reporting!$B$4,1,0)</x:f>
        <x:v>1</x:v>
      </x:c>
      <x:c r="L131" s="1" t="n">
        <x:f>IF(AND(K131=1,G131&lt;&gt;"",G131&lt;=F131),1,0)</x:f>
        <x:v>1</x:v>
      </x:c>
      <x:c r="M131" s="1" t="n">
        <x:f>IF(AND(G131&lt;&gt;"",G131&lt;Reporting!$B$4),1,0)</x:f>
        <x:v>1</x:v>
      </x:c>
      <x:c r="N131" s="16" t="n">
        <x:f>IF(M131=1,G131-E131,"")</x:f>
        <x:v>12.041666666664241</x:v>
      </x:c>
      <x:c r="O131" s="1" t="str">
        <x:f>IF(E131&gt;=Reporting!$B$4,"Outside cutoff",IF(M131=1,"Closed",IF(J131=1,"Overdue","Open - within SLA")))</x:f>
        <x:v>Closed</x:v>
      </x:c>
    </x:row>
    <x:row r="132">
      <x:c r="A132" s="14" t="str">
        <x:v>CASE-00127</x:v>
      </x:c>
      <x:c r="B132" s="14" t="str">
        <x:v>Customer Services</x:v>
      </x:c>
      <x:c r="C132" s="14" t="str">
        <x:v>Process deviation</x:v>
      </x:c>
      <x:c r="D132" s="14" t="str">
        <x:v>Medium</x:v>
      </x:c>
      <x:c r="E132" s="15" t="n">
        <x:v>46261.583333333336</x:v>
      </x:c>
      <x:c r="F132" s="15" t="n">
        <x:v>46268.583333333336</x:v>
      </x:c>
      <x:c r="G132" s="15" t="n">
        <x:v>46267.666666666664</x:v>
      </x:c>
      <x:c r="H132" s="14" t="n">
        <x:v>1</x:v>
      </x:c>
      <x:c r="I132" s="1" t="n">
        <x:f>IF(AND(E132&lt;Reporting!$B$4,OR(G132="",G132&gt;=Reporting!$B$4)),1,0)</x:f>
        <x:v>0</x:v>
      </x:c>
      <x:c r="J132" s="1" t="n">
        <x:f>IF(AND(I132=1,F132&lt;Reporting!$B$4),1,0)</x:f>
        <x:v>0</x:v>
      </x:c>
      <x:c r="K132" s="1" t="n">
        <x:f>IF(F132&lt;Reporting!$B$4,1,0)</x:f>
        <x:v>1</x:v>
      </x:c>
      <x:c r="L132" s="1" t="n">
        <x:f>IF(AND(K132=1,G132&lt;&gt;"",G132&lt;=F132),1,0)</x:f>
        <x:v>1</x:v>
      </x:c>
      <x:c r="M132" s="1" t="n">
        <x:f>IF(AND(G132&lt;&gt;"",G132&lt;Reporting!$B$4),1,0)</x:f>
        <x:v>1</x:v>
      </x:c>
      <x:c r="N132" s="16" t="n">
        <x:f>IF(M132=1,G132-E132,"")</x:f>
        <x:v>6.083333333328483</x:v>
      </x:c>
      <x:c r="O132" s="1" t="str">
        <x:f>IF(E132&gt;=Reporting!$B$4,"Outside cutoff",IF(M132=1,"Closed",IF(J132=1,"Overdue","Open - within SLA")))</x:f>
        <x:v>Closed</x:v>
      </x:c>
    </x:row>
    <x:row r="133">
      <x:c r="A133" s="14" t="str">
        <x:v>CASE-00128</x:v>
      </x:c>
      <x:c r="B133" s="14" t="str">
        <x:v>Installation</x:v>
      </x:c>
      <x:c r="C133" s="14" t="str">
        <x:v>Missing evidence</x:v>
      </x:c>
      <x:c r="D133" s="14" t="str">
        <x:v>Medium</x:v>
      </x:c>
      <x:c r="E133" s="15" t="n">
        <x:v>46284.333333333336</x:v>
      </x:c>
      <x:c r="F133" s="15" t="n">
        <x:v>46291.333333333336</x:v>
      </x:c>
      <x:c r="G133" s="15"/>
      <x:c r="H133" s="14" t="n">
        <x:v>3</x:v>
      </x:c>
      <x:c r="I133" s="1" t="n">
        <x:f>IF(AND(E133&lt;Reporting!$B$4,OR(G133="",G133&gt;=Reporting!$B$4)),1,0)</x:f>
        <x:v>1</x:v>
      </x:c>
      <x:c r="J133" s="1" t="n">
        <x:f>IF(AND(I133=1,F133&lt;Reporting!$B$4),1,0)</x:f>
        <x:v>0</x:v>
      </x:c>
      <x:c r="K133" s="1" t="n">
        <x:f>IF(F133&lt;Reporting!$B$4,1,0)</x:f>
        <x:v>0</x:v>
      </x:c>
      <x:c r="L133" s="1" t="n">
        <x:f>IF(AND(K133=1,G133&lt;&gt;"",G133&lt;=F133),1,0)</x:f>
        <x:v>0</x:v>
      </x:c>
      <x:c r="M133" s="1" t="n">
        <x:f>IF(AND(G133&lt;&gt;"",G133&lt;Reporting!$B$4),1,0)</x:f>
        <x:v>0</x:v>
      </x:c>
      <x:c r="N133" s="16" t="str">
        <x:f>IF(M133=1,G133-E133,"")</x:f>
      </x:c>
      <x:c r="O133" s="1" t="str">
        <x:f>IF(E133&gt;=Reporting!$B$4,"Outside cutoff",IF(M133=1,"Closed",IF(J133=1,"Overdue","Open - within SLA")))</x:f>
        <x:v>Open - within SLA</x:v>
      </x:c>
    </x:row>
    <x:row r="134">
      <x:c r="A134" s="14" t="str">
        <x:v>CASE-00129</x:v>
      </x:c>
      <x:c r="B134" s="14" t="str">
        <x:v>Customer Services</x:v>
      </x:c>
      <x:c r="C134" s="14" t="str">
        <x:v>Missing evidence</x:v>
      </x:c>
      <x:c r="D134" s="14" t="str">
        <x:v>Medium</x:v>
      </x:c>
      <x:c r="E134" s="15" t="n">
        <x:v>46208.666666666664</x:v>
      </x:c>
      <x:c r="F134" s="15" t="n">
        <x:v>46215.666666666664</x:v>
      </x:c>
      <x:c r="G134" s="15"/>
      <x:c r="H134" s="14" t="n">
        <x:v>1</x:v>
      </x:c>
      <x:c r="I134" s="1" t="n">
        <x:f>IF(AND(E134&lt;Reporting!$B$4,OR(G134="",G134&gt;=Reporting!$B$4)),1,0)</x:f>
        <x:v>1</x:v>
      </x:c>
      <x:c r="J134" s="1" t="n">
        <x:f>IF(AND(I134=1,F134&lt;Reporting!$B$4),1,0)</x:f>
        <x:v>1</x:v>
      </x:c>
      <x:c r="K134" s="1" t="n">
        <x:f>IF(F134&lt;Reporting!$B$4,1,0)</x:f>
        <x:v>1</x:v>
      </x:c>
      <x:c r="L134" s="1" t="n">
        <x:f>IF(AND(K134=1,G134&lt;&gt;"",G134&lt;=F134),1,0)</x:f>
        <x:v>0</x:v>
      </x:c>
      <x:c r="M134" s="1" t="n">
        <x:f>IF(AND(G134&lt;&gt;"",G134&lt;Reporting!$B$4),1,0)</x:f>
        <x:v>0</x:v>
      </x:c>
      <x:c r="N134" s="16" t="str">
        <x:f>IF(M134=1,G134-E134,"")</x:f>
      </x:c>
      <x:c r="O134" s="1" t="str">
        <x:f>IF(E134&gt;=Reporting!$B$4,"Outside cutoff",IF(M134=1,"Closed",IF(J134=1,"Overdue","Open - within SLA")))</x:f>
        <x:v>Overdue</x:v>
      </x:c>
    </x:row>
    <x:row r="135">
      <x:c r="A135" s="14" t="str">
        <x:v>CASE-00130</x:v>
      </x:c>
      <x:c r="B135" s="14" t="str">
        <x:v>Installation</x:v>
      </x:c>
      <x:c r="C135" s="14" t="str">
        <x:v>Record mismatch</x:v>
      </x:c>
      <x:c r="D135" s="14" t="str">
        <x:v>Medium</x:v>
      </x:c>
      <x:c r="E135" s="15" t="n">
        <x:v>46234.375</x:v>
      </x:c>
      <x:c r="F135" s="15" t="n">
        <x:v>46241.375</x:v>
      </x:c>
      <x:c r="G135" s="15" t="n">
        <x:v>46251.416666666664</x:v>
      </x:c>
      <x:c r="H135" s="14" t="n">
        <x:v>3</x:v>
      </x:c>
      <x:c r="I135" s="1" t="n">
        <x:f>IF(AND(E135&lt;Reporting!$B$4,OR(G135="",G135&gt;=Reporting!$B$4)),1,0)</x:f>
        <x:v>0</x:v>
      </x:c>
      <x:c r="J135" s="1" t="n">
        <x:f>IF(AND(I135=1,F135&lt;Reporting!$B$4),1,0)</x:f>
        <x:v>0</x:v>
      </x:c>
      <x:c r="K135" s="1" t="n">
        <x:f>IF(F135&lt;Reporting!$B$4,1,0)</x:f>
        <x:v>1</x:v>
      </x:c>
      <x:c r="L135" s="1" t="n">
        <x:f>IF(AND(K135=1,G135&lt;&gt;"",G135&lt;=F135),1,0)</x:f>
        <x:v>0</x:v>
      </x:c>
      <x:c r="M135" s="1" t="n">
        <x:f>IF(AND(G135&lt;&gt;"",G135&lt;Reporting!$B$4),1,0)</x:f>
        <x:v>1</x:v>
      </x:c>
      <x:c r="N135" s="16" t="n">
        <x:f>IF(M135=1,G135-E135,"")</x:f>
        <x:v>17.04166666666424</x:v>
      </x:c>
      <x:c r="O135" s="1" t="str">
        <x:f>IF(E135&gt;=Reporting!$B$4,"Outside cutoff",IF(M135=1,"Closed",IF(J135=1,"Overdue","Open - within SLA")))</x:f>
        <x:v>Closed</x:v>
      </x:c>
    </x:row>
    <x:row r="136">
      <x:c r="A136" s="14" t="str">
        <x:v>CASE-00131</x:v>
      </x:c>
      <x:c r="B136" s="14" t="str">
        <x:v>Installation</x:v>
      </x:c>
      <x:c r="C136" s="14" t="str">
        <x:v>Late review</x:v>
      </x:c>
      <x:c r="D136" s="14" t="str">
        <x:v>Low</x:v>
      </x:c>
      <x:c r="E136" s="15" t="n">
        <x:v>46223.333333333336</x:v>
      </x:c>
      <x:c r="F136" s="15" t="n">
        <x:v>46237.333333333336</x:v>
      </x:c>
      <x:c r="G136" s="15" t="n">
        <x:v>46235.416666666664</x:v>
      </x:c>
      <x:c r="H136" s="14" t="n">
        <x:v>3</x:v>
      </x:c>
      <x:c r="I136" s="1" t="n">
        <x:f>IF(AND(E136&lt;Reporting!$B$4,OR(G136="",G136&gt;=Reporting!$B$4)),1,0)</x:f>
        <x:v>0</x:v>
      </x:c>
      <x:c r="J136" s="1" t="n">
        <x:f>IF(AND(I136=1,F136&lt;Reporting!$B$4),1,0)</x:f>
        <x:v>0</x:v>
      </x:c>
      <x:c r="K136" s="1" t="n">
        <x:f>IF(F136&lt;Reporting!$B$4,1,0)</x:f>
        <x:v>1</x:v>
      </x:c>
      <x:c r="L136" s="1" t="n">
        <x:f>IF(AND(K136=1,G136&lt;&gt;"",G136&lt;=F136),1,0)</x:f>
        <x:v>1</x:v>
      </x:c>
      <x:c r="M136" s="1" t="n">
        <x:f>IF(AND(G136&lt;&gt;"",G136&lt;Reporting!$B$4),1,0)</x:f>
        <x:v>1</x:v>
      </x:c>
      <x:c r="N136" s="16" t="n">
        <x:f>IF(M136=1,G136-E136,"")</x:f>
        <x:v>12.083333333328483</x:v>
      </x:c>
      <x:c r="O136" s="1" t="str">
        <x:f>IF(E136&gt;=Reporting!$B$4,"Outside cutoff",IF(M136=1,"Closed",IF(J136=1,"Overdue","Open - within SLA")))</x:f>
        <x:v>Closed</x:v>
      </x:c>
    </x:row>
    <x:row r="137">
      <x:c r="A137" s="14" t="str">
        <x:v>CASE-00132</x:v>
      </x:c>
      <x:c r="B137" s="14" t="str">
        <x:v>Warehouse</x:v>
      </x:c>
      <x:c r="C137" s="14" t="str">
        <x:v>Record mismatch</x:v>
      </x:c>
      <x:c r="D137" s="14" t="str">
        <x:v>High</x:v>
      </x:c>
      <x:c r="E137" s="15" t="n">
        <x:v>46268.416666666664</x:v>
      </x:c>
      <x:c r="F137" s="15" t="n">
        <x:v>46271.416666666664</x:v>
      </x:c>
      <x:c r="G137" s="15" t="n">
        <x:v>46285.458333333336</x:v>
      </x:c>
      <x:c r="H137" s="14" t="n">
        <x:v>2</x:v>
      </x:c>
      <x:c r="I137" s="1" t="n">
        <x:f>IF(AND(E137&lt;Reporting!$B$4,OR(G137="",G137&gt;=Reporting!$B$4)),1,0)</x:f>
        <x:v>0</x:v>
      </x:c>
      <x:c r="J137" s="1" t="n">
        <x:f>IF(AND(I137=1,F137&lt;Reporting!$B$4),1,0)</x:f>
        <x:v>0</x:v>
      </x:c>
      <x:c r="K137" s="1" t="n">
        <x:f>IF(F137&lt;Reporting!$B$4,1,0)</x:f>
        <x:v>1</x:v>
      </x:c>
      <x:c r="L137" s="1" t="n">
        <x:f>IF(AND(K137=1,G137&lt;&gt;"",G137&lt;=F137),1,0)</x:f>
        <x:v>0</x:v>
      </x:c>
      <x:c r="M137" s="1" t="n">
        <x:f>IF(AND(G137&lt;&gt;"",G137&lt;Reporting!$B$4),1,0)</x:f>
        <x:v>1</x:v>
      </x:c>
      <x:c r="N137" s="16" t="n">
        <x:f>IF(M137=1,G137-E137,"")</x:f>
        <x:v>17.041666666671517</x:v>
      </x:c>
      <x:c r="O137" s="1" t="str">
        <x:f>IF(E137&gt;=Reporting!$B$4,"Outside cutoff",IF(M137=1,"Closed",IF(J137=1,"Overdue","Open - within SLA")))</x:f>
        <x:v>Closed</x:v>
      </x:c>
    </x:row>
    <x:row r="138">
      <x:c r="A138" s="14" t="str">
        <x:v>CASE-00133</x:v>
      </x:c>
      <x:c r="B138" s="14" t="str">
        <x:v>Installation</x:v>
      </x:c>
      <x:c r="C138" s="14" t="str">
        <x:v>Record mismatch</x:v>
      </x:c>
      <x:c r="D138" s="14" t="str">
        <x:v>High</x:v>
      </x:c>
      <x:c r="E138" s="15" t="n">
        <x:v>46243.625</x:v>
      </x:c>
      <x:c r="F138" s="15" t="n">
        <x:v>46246.625</x:v>
      </x:c>
      <x:c r="G138" s="15" t="n">
        <x:v>46246.708333333336</x:v>
      </x:c>
      <x:c r="H138" s="14" t="n">
        <x:v>3</x:v>
      </x:c>
      <x:c r="I138" s="1" t="n">
        <x:f>IF(AND(E138&lt;Reporting!$B$4,OR(G138="",G138&gt;=Reporting!$B$4)),1,0)</x:f>
        <x:v>0</x:v>
      </x:c>
      <x:c r="J138" s="1" t="n">
        <x:f>IF(AND(I138=1,F138&lt;Reporting!$B$4),1,0)</x:f>
        <x:v>0</x:v>
      </x:c>
      <x:c r="K138" s="1" t="n">
        <x:f>IF(F138&lt;Reporting!$B$4,1,0)</x:f>
        <x:v>1</x:v>
      </x:c>
      <x:c r="L138" s="1" t="n">
        <x:f>IF(AND(K138=1,G138&lt;&gt;"",G138&lt;=F138),1,0)</x:f>
        <x:v>0</x:v>
      </x:c>
      <x:c r="M138" s="1" t="n">
        <x:f>IF(AND(G138&lt;&gt;"",G138&lt;Reporting!$B$4),1,0)</x:f>
        <x:v>1</x:v>
      </x:c>
      <x:c r="N138" s="16" t="n">
        <x:f>IF(M138=1,G138-E138,"")</x:f>
        <x:v>3.0833333333357587</x:v>
      </x:c>
      <x:c r="O138" s="1" t="str">
        <x:f>IF(E138&gt;=Reporting!$B$4,"Outside cutoff",IF(M138=1,"Closed",IF(J138=1,"Overdue","Open - within SLA")))</x:f>
        <x:v>Closed</x:v>
      </x:c>
    </x:row>
    <x:row r="139">
      <x:c r="A139" s="14" t="str">
        <x:v>CASE-00134</x:v>
      </x:c>
      <x:c r="B139" s="14" t="str">
        <x:v>Customer Services</x:v>
      </x:c>
      <x:c r="C139" s="14" t="str">
        <x:v>Late review</x:v>
      </x:c>
      <x:c r="D139" s="14" t="str">
        <x:v>High</x:v>
      </x:c>
      <x:c r="E139" s="15" t="n">
        <x:v>46234.625</x:v>
      </x:c>
      <x:c r="F139" s="15" t="n">
        <x:v>46237.625</x:v>
      </x:c>
      <x:c r="G139" s="15" t="n">
        <x:v>46243.666666666664</x:v>
      </x:c>
      <x:c r="H139" s="14" t="n">
        <x:v>1</x:v>
      </x:c>
      <x:c r="I139" s="1" t="n">
        <x:f>IF(AND(E139&lt;Reporting!$B$4,OR(G139="",G139&gt;=Reporting!$B$4)),1,0)</x:f>
        <x:v>0</x:v>
      </x:c>
      <x:c r="J139" s="1" t="n">
        <x:f>IF(AND(I139=1,F139&lt;Reporting!$B$4),1,0)</x:f>
        <x:v>0</x:v>
      </x:c>
      <x:c r="K139" s="1" t="n">
        <x:f>IF(F139&lt;Reporting!$B$4,1,0)</x:f>
        <x:v>1</x:v>
      </x:c>
      <x:c r="L139" s="1" t="n">
        <x:f>IF(AND(K139=1,G139&lt;&gt;"",G139&lt;=F139),1,0)</x:f>
        <x:v>0</x:v>
      </x:c>
      <x:c r="M139" s="1" t="n">
        <x:f>IF(AND(G139&lt;&gt;"",G139&lt;Reporting!$B$4),1,0)</x:f>
        <x:v>1</x:v>
      </x:c>
      <x:c r="N139" s="16" t="n">
        <x:f>IF(M139=1,G139-E139,"")</x:f>
        <x:v>9.041666666664241</x:v>
      </x:c>
      <x:c r="O139" s="1" t="str">
        <x:f>IF(E139&gt;=Reporting!$B$4,"Outside cutoff",IF(M139=1,"Closed",IF(J139=1,"Overdue","Open - within SLA")))</x:f>
        <x:v>Closed</x:v>
      </x:c>
    </x:row>
    <x:row r="140">
      <x:c r="A140" s="14" t="str">
        <x:v>CASE-00135</x:v>
      </x:c>
      <x:c r="B140" s="14" t="str">
        <x:v>Installation</x:v>
      </x:c>
      <x:c r="C140" s="14" t="str">
        <x:v>Record mismatch</x:v>
      </x:c>
      <x:c r="D140" s="14" t="str">
        <x:v>Low</x:v>
      </x:c>
      <x:c r="E140" s="15" t="n">
        <x:v>46238.625</x:v>
      </x:c>
      <x:c r="F140" s="15" t="n">
        <x:v>46252.625</x:v>
      </x:c>
      <x:c r="G140" s="15" t="n">
        <x:v>46249.666666666664</x:v>
      </x:c>
      <x:c r="H140" s="14" t="n">
        <x:v>3</x:v>
      </x:c>
      <x:c r="I140" s="1" t="n">
        <x:f>IF(AND(E140&lt;Reporting!$B$4,OR(G140="",G140&gt;=Reporting!$B$4)),1,0)</x:f>
        <x:v>0</x:v>
      </x:c>
      <x:c r="J140" s="1" t="n">
        <x:f>IF(AND(I140=1,F140&lt;Reporting!$B$4),1,0)</x:f>
        <x:v>0</x:v>
      </x:c>
      <x:c r="K140" s="1" t="n">
        <x:f>IF(F140&lt;Reporting!$B$4,1,0)</x:f>
        <x:v>1</x:v>
      </x:c>
      <x:c r="L140" s="1" t="n">
        <x:f>IF(AND(K140=1,G140&lt;&gt;"",G140&lt;=F140),1,0)</x:f>
        <x:v>1</x:v>
      </x:c>
      <x:c r="M140" s="1" t="n">
        <x:f>IF(AND(G140&lt;&gt;"",G140&lt;Reporting!$B$4),1,0)</x:f>
        <x:v>1</x:v>
      </x:c>
      <x:c r="N140" s="16" t="n">
        <x:f>IF(M140=1,G140-E140,"")</x:f>
        <x:v>11.041666666664241</x:v>
      </x:c>
      <x:c r="O140" s="1" t="str">
        <x:f>IF(E140&gt;=Reporting!$B$4,"Outside cutoff",IF(M140=1,"Closed",IF(J140=1,"Overdue","Open - within SLA")))</x:f>
        <x:v>Closed</x:v>
      </x:c>
    </x:row>
    <x:row r="141">
      <x:c r="A141" s="14" t="str">
        <x:v>CASE-00136</x:v>
      </x:c>
      <x:c r="B141" s="14" t="str">
        <x:v>Installation</x:v>
      </x:c>
      <x:c r="C141" s="14" t="str">
        <x:v>Late review</x:v>
      </x:c>
      <x:c r="D141" s="14" t="str">
        <x:v>Low</x:v>
      </x:c>
      <x:c r="E141" s="15" t="n">
        <x:v>46271.333333333336</x:v>
      </x:c>
      <x:c r="F141" s="15" t="n">
        <x:v>46285.333333333336</x:v>
      </x:c>
      <x:c r="G141" s="15" t="n">
        <x:v>46275.375</x:v>
      </x:c>
      <x:c r="H141" s="14" t="n">
        <x:v>3</x:v>
      </x:c>
      <x:c r="I141" s="1" t="n">
        <x:f>IF(AND(E141&lt;Reporting!$B$4,OR(G141="",G141&gt;=Reporting!$B$4)),1,0)</x:f>
        <x:v>0</x:v>
      </x:c>
      <x:c r="J141" s="1" t="n">
        <x:f>IF(AND(I141=1,F141&lt;Reporting!$B$4),1,0)</x:f>
        <x:v>0</x:v>
      </x:c>
      <x:c r="K141" s="1" t="n">
        <x:f>IF(F141&lt;Reporting!$B$4,1,0)</x:f>
        <x:v>1</x:v>
      </x:c>
      <x:c r="L141" s="1" t="n">
        <x:f>IF(AND(K141=1,G141&lt;&gt;"",G141&lt;=F141),1,0)</x:f>
        <x:v>1</x:v>
      </x:c>
      <x:c r="M141" s="1" t="n">
        <x:f>IF(AND(G141&lt;&gt;"",G141&lt;Reporting!$B$4),1,0)</x:f>
        <x:v>1</x:v>
      </x:c>
      <x:c r="N141" s="16" t="n">
        <x:f>IF(M141=1,G141-E141,"")</x:f>
        <x:v>4.041666666664241</x:v>
      </x:c>
      <x:c r="O141" s="1" t="str">
        <x:f>IF(E141&gt;=Reporting!$B$4,"Outside cutoff",IF(M141=1,"Closed",IF(J141=1,"Overdue","Open - within SLA")))</x:f>
        <x:v>Closed</x:v>
      </x:c>
    </x:row>
    <x:row r="142">
      <x:c r="A142" s="14" t="str">
        <x:v>CASE-00137</x:v>
      </x:c>
      <x:c r="B142" s="14" t="str">
        <x:v>Customer Services</x:v>
      </x:c>
      <x:c r="C142" s="14" t="str">
        <x:v>Process deviation</x:v>
      </x:c>
      <x:c r="D142" s="14" t="str">
        <x:v>Low</x:v>
      </x:c>
      <x:c r="E142" s="15" t="n">
        <x:v>46233.583333333336</x:v>
      </x:c>
      <x:c r="F142" s="15" t="n">
        <x:v>46247.583333333336</x:v>
      </x:c>
      <x:c r="G142" s="15" t="n">
        <x:v>46249.666666666664</x:v>
      </x:c>
      <x:c r="H142" s="14" t="n">
        <x:v>1</x:v>
      </x:c>
      <x:c r="I142" s="1" t="n">
        <x:f>IF(AND(E142&lt;Reporting!$B$4,OR(G142="",G142&gt;=Reporting!$B$4)),1,0)</x:f>
        <x:v>0</x:v>
      </x:c>
      <x:c r="J142" s="1" t="n">
        <x:f>IF(AND(I142=1,F142&lt;Reporting!$B$4),1,0)</x:f>
        <x:v>0</x:v>
      </x:c>
      <x:c r="K142" s="1" t="n">
        <x:f>IF(F142&lt;Reporting!$B$4,1,0)</x:f>
        <x:v>1</x:v>
      </x:c>
      <x:c r="L142" s="1" t="n">
        <x:f>IF(AND(K142=1,G142&lt;&gt;"",G142&lt;=F142),1,0)</x:f>
        <x:v>0</x:v>
      </x:c>
      <x:c r="M142" s="1" t="n">
        <x:f>IF(AND(G142&lt;&gt;"",G142&lt;Reporting!$B$4),1,0)</x:f>
        <x:v>1</x:v>
      </x:c>
      <x:c r="N142" s="16" t="n">
        <x:f>IF(M142=1,G142-E142,"")</x:f>
        <x:v>16.083333333328483</x:v>
      </x:c>
      <x:c r="O142" s="1" t="str">
        <x:f>IF(E142&gt;=Reporting!$B$4,"Outside cutoff",IF(M142=1,"Closed",IF(J142=1,"Overdue","Open - within SLA")))</x:f>
        <x:v>Closed</x:v>
      </x:c>
    </x:row>
    <x:row r="143">
      <x:c r="A143" s="14" t="str">
        <x:v>CASE-00138</x:v>
      </x:c>
      <x:c r="B143" s="14" t="str">
        <x:v>Warehouse</x:v>
      </x:c>
      <x:c r="C143" s="14" t="str">
        <x:v>Process deviation</x:v>
      </x:c>
      <x:c r="D143" s="14" t="str">
        <x:v>High</x:v>
      </x:c>
      <x:c r="E143" s="15" t="n">
        <x:v>46209.458333333336</x:v>
      </x:c>
      <x:c r="F143" s="15" t="n">
        <x:v>46212.458333333336</x:v>
      </x:c>
      <x:c r="G143" s="15" t="n">
        <x:v>46223.458333333336</x:v>
      </x:c>
      <x:c r="H143" s="14" t="n">
        <x:v>2</x:v>
      </x:c>
      <x:c r="I143" s="1" t="n">
        <x:f>IF(AND(E143&lt;Reporting!$B$4,OR(G143="",G143&gt;=Reporting!$B$4)),1,0)</x:f>
        <x:v>0</x:v>
      </x:c>
      <x:c r="J143" s="1" t="n">
        <x:f>IF(AND(I143=1,F143&lt;Reporting!$B$4),1,0)</x:f>
        <x:v>0</x:v>
      </x:c>
      <x:c r="K143" s="1" t="n">
        <x:f>IF(F143&lt;Reporting!$B$4,1,0)</x:f>
        <x:v>1</x:v>
      </x:c>
      <x:c r="L143" s="1" t="n">
        <x:f>IF(AND(K143=1,G143&lt;&gt;"",G143&lt;=F143),1,0)</x:f>
        <x:v>0</x:v>
      </x:c>
      <x:c r="M143" s="1" t="n">
        <x:f>IF(AND(G143&lt;&gt;"",G143&lt;Reporting!$B$4),1,0)</x:f>
        <x:v>1</x:v>
      </x:c>
      <x:c r="N143" s="16" t="n">
        <x:f>IF(M143=1,G143-E143,"")</x:f>
        <x:v>14</x:v>
      </x:c>
      <x:c r="O143" s="1" t="str">
        <x:f>IF(E143&gt;=Reporting!$B$4,"Outside cutoff",IF(M143=1,"Closed",IF(J143=1,"Overdue","Open - within SLA")))</x:f>
        <x:v>Closed</x:v>
      </x:c>
    </x:row>
    <x:row r="144">
      <x:c r="A144" s="14" t="str">
        <x:v>CASE-00139</x:v>
      </x:c>
      <x:c r="B144" s="14" t="str">
        <x:v>Customer Services</x:v>
      </x:c>
      <x:c r="C144" s="14" t="str">
        <x:v>Late review</x:v>
      </x:c>
      <x:c r="D144" s="14" t="str">
        <x:v>Medium</x:v>
      </x:c>
      <x:c r="E144" s="15" t="n">
        <x:v>46251.5</x:v>
      </x:c>
      <x:c r="F144" s="15" t="n">
        <x:v>46258.5</x:v>
      </x:c>
      <x:c r="G144" s="15" t="n">
        <x:v>46265.583333333336</x:v>
      </x:c>
      <x:c r="H144" s="14" t="n">
        <x:v>1</x:v>
      </x:c>
      <x:c r="I144" s="1" t="n">
        <x:f>IF(AND(E144&lt;Reporting!$B$4,OR(G144="",G144&gt;=Reporting!$B$4)),1,0)</x:f>
        <x:v>0</x:v>
      </x:c>
      <x:c r="J144" s="1" t="n">
        <x:f>IF(AND(I144=1,F144&lt;Reporting!$B$4),1,0)</x:f>
        <x:v>0</x:v>
      </x:c>
      <x:c r="K144" s="1" t="n">
        <x:f>IF(F144&lt;Reporting!$B$4,1,0)</x:f>
        <x:v>1</x:v>
      </x:c>
      <x:c r="L144" s="1" t="n">
        <x:f>IF(AND(K144=1,G144&lt;&gt;"",G144&lt;=F144),1,0)</x:f>
        <x:v>0</x:v>
      </x:c>
      <x:c r="M144" s="1" t="n">
        <x:f>IF(AND(G144&lt;&gt;"",G144&lt;Reporting!$B$4),1,0)</x:f>
        <x:v>1</x:v>
      </x:c>
      <x:c r="N144" s="16" t="n">
        <x:f>IF(M144=1,G144-E144,"")</x:f>
        <x:v>14.083333333335759</x:v>
      </x:c>
      <x:c r="O144" s="1" t="str">
        <x:f>IF(E144&gt;=Reporting!$B$4,"Outside cutoff",IF(M144=1,"Closed",IF(J144=1,"Overdue","Open - within SLA")))</x:f>
        <x:v>Closed</x:v>
      </x:c>
    </x:row>
    <x:row r="145">
      <x:c r="A145" s="14" t="str">
        <x:v>CASE-00140</x:v>
      </x:c>
      <x:c r="B145" s="14" t="str">
        <x:v>Installation</x:v>
      </x:c>
      <x:c r="C145" s="14" t="str">
        <x:v>Missing evidence</x:v>
      </x:c>
      <x:c r="D145" s="14" t="str">
        <x:v>Medium</x:v>
      </x:c>
      <x:c r="E145" s="15" t="n">
        <x:v>46211.666666666664</x:v>
      </x:c>
      <x:c r="F145" s="15" t="n">
        <x:v>46218.666666666664</x:v>
      </x:c>
      <x:c r="G145" s="15" t="n">
        <x:v>46229.666666666664</x:v>
      </x:c>
      <x:c r="H145" s="14" t="n">
        <x:v>3</x:v>
      </x:c>
      <x:c r="I145" s="1" t="n">
        <x:f>IF(AND(E145&lt;Reporting!$B$4,OR(G145="",G145&gt;=Reporting!$B$4)),1,0)</x:f>
        <x:v>0</x:v>
      </x:c>
      <x:c r="J145" s="1" t="n">
        <x:f>IF(AND(I145=1,F145&lt;Reporting!$B$4),1,0)</x:f>
        <x:v>0</x:v>
      </x:c>
      <x:c r="K145" s="1" t="n">
        <x:f>IF(F145&lt;Reporting!$B$4,1,0)</x:f>
        <x:v>1</x:v>
      </x:c>
      <x:c r="L145" s="1" t="n">
        <x:f>IF(AND(K145=1,G145&lt;&gt;"",G145&lt;=F145),1,0)</x:f>
        <x:v>0</x:v>
      </x:c>
      <x:c r="M145" s="1" t="n">
        <x:f>IF(AND(G145&lt;&gt;"",G145&lt;Reporting!$B$4),1,0)</x:f>
        <x:v>1</x:v>
      </x:c>
      <x:c r="N145" s="16" t="n">
        <x:f>IF(M145=1,G145-E145,"")</x:f>
        <x:v>18</x:v>
      </x:c>
      <x:c r="O145" s="1" t="str">
        <x:f>IF(E145&gt;=Reporting!$B$4,"Outside cutoff",IF(M145=1,"Closed",IF(J145=1,"Overdue","Open - within SLA")))</x:f>
        <x:v>Closed</x:v>
      </x:c>
    </x:row>
    <x:row r="146">
      <x:c r="A146" s="14" t="str">
        <x:v>CASE-00141</x:v>
      </x:c>
      <x:c r="B146" s="14" t="str">
        <x:v>Installation</x:v>
      </x:c>
      <x:c r="C146" s="14" t="str">
        <x:v>Process deviation</x:v>
      </x:c>
      <x:c r="D146" s="14" t="str">
        <x:v>Low</x:v>
      </x:c>
      <x:c r="E146" s="15" t="n">
        <x:v>46234.541666666664</x:v>
      </x:c>
      <x:c r="F146" s="15" t="n">
        <x:v>46248.541666666664</x:v>
      </x:c>
      <x:c r="G146" s="15" t="n">
        <x:v>46235.541666666664</x:v>
      </x:c>
      <x:c r="H146" s="14" t="n">
        <x:v>3</x:v>
      </x:c>
      <x:c r="I146" s="1" t="n">
        <x:f>IF(AND(E146&lt;Reporting!$B$4,OR(G146="",G146&gt;=Reporting!$B$4)),1,0)</x:f>
        <x:v>0</x:v>
      </x:c>
      <x:c r="J146" s="1" t="n">
        <x:f>IF(AND(I146=1,F146&lt;Reporting!$B$4),1,0)</x:f>
        <x:v>0</x:v>
      </x:c>
      <x:c r="K146" s="1" t="n">
        <x:f>IF(F146&lt;Reporting!$B$4,1,0)</x:f>
        <x:v>1</x:v>
      </x:c>
      <x:c r="L146" s="1" t="n">
        <x:f>IF(AND(K146=1,G146&lt;&gt;"",G146&lt;=F146),1,0)</x:f>
        <x:v>1</x:v>
      </x:c>
      <x:c r="M146" s="1" t="n">
        <x:f>IF(AND(G146&lt;&gt;"",G146&lt;Reporting!$B$4),1,0)</x:f>
        <x:v>1</x:v>
      </x:c>
      <x:c r="N146" s="16" t="n">
        <x:f>IF(M146=1,G146-E146,"")</x:f>
        <x:v>1</x:v>
      </x:c>
      <x:c r="O146" s="1" t="str">
        <x:f>IF(E146&gt;=Reporting!$B$4,"Outside cutoff",IF(M146=1,"Closed",IF(J146=1,"Overdue","Open - within SLA")))</x:f>
        <x:v>Closed</x:v>
      </x:c>
    </x:row>
    <x:row r="147">
      <x:c r="A147" s="14" t="str">
        <x:v>CASE-00142</x:v>
      </x:c>
      <x:c r="B147" s="14" t="str">
        <x:v>Installation</x:v>
      </x:c>
      <x:c r="C147" s="14" t="str">
        <x:v>Missing evidence</x:v>
      </x:c>
      <x:c r="D147" s="14" t="str">
        <x:v>High</x:v>
      </x:c>
      <x:c r="E147" s="15" t="n">
        <x:v>46217.333333333336</x:v>
      </x:c>
      <x:c r="F147" s="15" t="n">
        <x:v>46220.333333333336</x:v>
      </x:c>
      <x:c r="G147" s="15" t="n">
        <x:v>46228.333333333336</x:v>
      </x:c>
      <x:c r="H147" s="14" t="n">
        <x:v>3</x:v>
      </x:c>
      <x:c r="I147" s="1" t="n">
        <x:f>IF(AND(E147&lt;Reporting!$B$4,OR(G147="",G147&gt;=Reporting!$B$4)),1,0)</x:f>
        <x:v>0</x:v>
      </x:c>
      <x:c r="J147" s="1" t="n">
        <x:f>IF(AND(I147=1,F147&lt;Reporting!$B$4),1,0)</x:f>
        <x:v>0</x:v>
      </x:c>
      <x:c r="K147" s="1" t="n">
        <x:f>IF(F147&lt;Reporting!$B$4,1,0)</x:f>
        <x:v>1</x:v>
      </x:c>
      <x:c r="L147" s="1" t="n">
        <x:f>IF(AND(K147=1,G147&lt;&gt;"",G147&lt;=F147),1,0)</x:f>
        <x:v>0</x:v>
      </x:c>
      <x:c r="M147" s="1" t="n">
        <x:f>IF(AND(G147&lt;&gt;"",G147&lt;Reporting!$B$4),1,0)</x:f>
        <x:v>1</x:v>
      </x:c>
      <x:c r="N147" s="16" t="n">
        <x:f>IF(M147=1,G147-E147,"")</x:f>
        <x:v>11</x:v>
      </x:c>
      <x:c r="O147" s="1" t="str">
        <x:f>IF(E147&gt;=Reporting!$B$4,"Outside cutoff",IF(M147=1,"Closed",IF(J147=1,"Overdue","Open - within SLA")))</x:f>
        <x:v>Closed</x:v>
      </x:c>
    </x:row>
    <x:row r="148">
      <x:c r="A148" s="14" t="str">
        <x:v>CASE-00143</x:v>
      </x:c>
      <x:c r="B148" s="14" t="str">
        <x:v>Installation</x:v>
      </x:c>
      <x:c r="C148" s="14" t="str">
        <x:v>Late review</x:v>
      </x:c>
      <x:c r="D148" s="14" t="str">
        <x:v>Low</x:v>
      </x:c>
      <x:c r="E148" s="15" t="n">
        <x:v>46271.541666666664</x:v>
      </x:c>
      <x:c r="F148" s="15" t="n">
        <x:v>46285.541666666664</x:v>
      </x:c>
      <x:c r="G148" s="15" t="n">
        <x:v>46278.625</x:v>
      </x:c>
      <x:c r="H148" s="14" t="n">
        <x:v>3</x:v>
      </x:c>
      <x:c r="I148" s="1" t="n">
        <x:f>IF(AND(E148&lt;Reporting!$B$4,OR(G148="",G148&gt;=Reporting!$B$4)),1,0)</x:f>
        <x:v>0</x:v>
      </x:c>
      <x:c r="J148" s="1" t="n">
        <x:f>IF(AND(I148=1,F148&lt;Reporting!$B$4),1,0)</x:f>
        <x:v>0</x:v>
      </x:c>
      <x:c r="K148" s="1" t="n">
        <x:f>IF(F148&lt;Reporting!$B$4,1,0)</x:f>
        <x:v>1</x:v>
      </x:c>
      <x:c r="L148" s="1" t="n">
        <x:f>IF(AND(K148=1,G148&lt;&gt;"",G148&lt;=F148),1,0)</x:f>
        <x:v>1</x:v>
      </x:c>
      <x:c r="M148" s="1" t="n">
        <x:f>IF(AND(G148&lt;&gt;"",G148&lt;Reporting!$B$4),1,0)</x:f>
        <x:v>1</x:v>
      </x:c>
      <x:c r="N148" s="16" t="n">
        <x:f>IF(M148=1,G148-E148,"")</x:f>
        <x:v>7.083333333335759</x:v>
      </x:c>
      <x:c r="O148" s="1" t="str">
        <x:f>IF(E148&gt;=Reporting!$B$4,"Outside cutoff",IF(M148=1,"Closed",IF(J148=1,"Overdue","Open - within SLA")))</x:f>
        <x:v>Closed</x:v>
      </x:c>
    </x:row>
    <x:row r="149">
      <x:c r="A149" s="14" t="str">
        <x:v>CASE-00144</x:v>
      </x:c>
      <x:c r="B149" s="14" t="str">
        <x:v>Customer Services</x:v>
      </x:c>
      <x:c r="C149" s="14" t="str">
        <x:v>Process deviation</x:v>
      </x:c>
      <x:c r="D149" s="14" t="str">
        <x:v>Medium</x:v>
      </x:c>
      <x:c r="E149" s="15" t="n">
        <x:v>46240.625</x:v>
      </x:c>
      <x:c r="F149" s="15" t="n">
        <x:v>46247.625</x:v>
      </x:c>
      <x:c r="G149" s="15" t="n">
        <x:v>46242.708333333336</x:v>
      </x:c>
      <x:c r="H149" s="14" t="n">
        <x:v>1</x:v>
      </x:c>
      <x:c r="I149" s="1" t="n">
        <x:f>IF(AND(E149&lt;Reporting!$B$4,OR(G149="",G149&gt;=Reporting!$B$4)),1,0)</x:f>
        <x:v>0</x:v>
      </x:c>
      <x:c r="J149" s="1" t="n">
        <x:f>IF(AND(I149=1,F149&lt;Reporting!$B$4),1,0)</x:f>
        <x:v>0</x:v>
      </x:c>
      <x:c r="K149" s="1" t="n">
        <x:f>IF(F149&lt;Reporting!$B$4,1,0)</x:f>
        <x:v>1</x:v>
      </x:c>
      <x:c r="L149" s="1" t="n">
        <x:f>IF(AND(K149=1,G149&lt;&gt;"",G149&lt;=F149),1,0)</x:f>
        <x:v>1</x:v>
      </x:c>
      <x:c r="M149" s="1" t="n">
        <x:f>IF(AND(G149&lt;&gt;"",G149&lt;Reporting!$B$4),1,0)</x:f>
        <x:v>1</x:v>
      </x:c>
      <x:c r="N149" s="16" t="n">
        <x:f>IF(M149=1,G149-E149,"")</x:f>
        <x:v>2.0833333333357587</x:v>
      </x:c>
      <x:c r="O149" s="1" t="str">
        <x:f>IF(E149&gt;=Reporting!$B$4,"Outside cutoff",IF(M149=1,"Closed",IF(J149=1,"Overdue","Open - within SLA")))</x:f>
        <x:v>Closed</x:v>
      </x:c>
    </x:row>
    <x:row r="150">
      <x:c r="A150" s="14" t="str">
        <x:v>CASE-00145</x:v>
      </x:c>
      <x:c r="B150" s="14" t="str">
        <x:v>Customer Services</x:v>
      </x:c>
      <x:c r="C150" s="14" t="str">
        <x:v>Missing evidence</x:v>
      </x:c>
      <x:c r="D150" s="14" t="str">
        <x:v>Low</x:v>
      </x:c>
      <x:c r="E150" s="15" t="n">
        <x:v>46223.583333333336</x:v>
      </x:c>
      <x:c r="F150" s="15" t="n">
        <x:v>46237.583333333336</x:v>
      </x:c>
      <x:c r="G150" s="15" t="n">
        <x:v>46236.583333333336</x:v>
      </x:c>
      <x:c r="H150" s="14" t="n">
        <x:v>1</x:v>
      </x:c>
      <x:c r="I150" s="1" t="n">
        <x:f>IF(AND(E150&lt;Reporting!$B$4,OR(G150="",G150&gt;=Reporting!$B$4)),1,0)</x:f>
        <x:v>0</x:v>
      </x:c>
      <x:c r="J150" s="1" t="n">
        <x:f>IF(AND(I150=1,F150&lt;Reporting!$B$4),1,0)</x:f>
        <x:v>0</x:v>
      </x:c>
      <x:c r="K150" s="1" t="n">
        <x:f>IF(F150&lt;Reporting!$B$4,1,0)</x:f>
        <x:v>1</x:v>
      </x:c>
      <x:c r="L150" s="1" t="n">
        <x:f>IF(AND(K150=1,G150&lt;&gt;"",G150&lt;=F150),1,0)</x:f>
        <x:v>1</x:v>
      </x:c>
      <x:c r="M150" s="1" t="n">
        <x:f>IF(AND(G150&lt;&gt;"",G150&lt;Reporting!$B$4),1,0)</x:f>
        <x:v>1</x:v>
      </x:c>
      <x:c r="N150" s="16" t="n">
        <x:f>IF(M150=1,G150-E150,"")</x:f>
        <x:v>13</x:v>
      </x:c>
      <x:c r="O150" s="1" t="str">
        <x:f>IF(E150&gt;=Reporting!$B$4,"Outside cutoff",IF(M150=1,"Closed",IF(J150=1,"Overdue","Open - within SLA")))</x:f>
        <x:v>Closed</x:v>
      </x:c>
    </x:row>
    <x:row r="151">
      <x:c r="A151" s="14" t="str">
        <x:v>CASE-00146</x:v>
      </x:c>
      <x:c r="B151" s="14" t="str">
        <x:v>Customer Services</x:v>
      </x:c>
      <x:c r="C151" s="14" t="str">
        <x:v>Record mismatch</x:v>
      </x:c>
      <x:c r="D151" s="14" t="str">
        <x:v>Low</x:v>
      </x:c>
      <x:c r="E151" s="15" t="n">
        <x:v>46277.458333333336</x:v>
      </x:c>
      <x:c r="F151" s="15" t="n">
        <x:v>46291.458333333336</x:v>
      </x:c>
      <x:c r="G151" s="15"/>
      <x:c r="H151" s="14" t="n">
        <x:v>1</x:v>
      </x:c>
      <x:c r="I151" s="1" t="n">
        <x:f>IF(AND(E151&lt;Reporting!$B$4,OR(G151="",G151&gt;=Reporting!$B$4)),1,0)</x:f>
        <x:v>1</x:v>
      </x:c>
      <x:c r="J151" s="1" t="n">
        <x:f>IF(AND(I151=1,F151&lt;Reporting!$B$4),1,0)</x:f>
        <x:v>0</x:v>
      </x:c>
      <x:c r="K151" s="1" t="n">
        <x:f>IF(F151&lt;Reporting!$B$4,1,0)</x:f>
        <x:v>0</x:v>
      </x:c>
      <x:c r="L151" s="1" t="n">
        <x:f>IF(AND(K151=1,G151&lt;&gt;"",G151&lt;=F151),1,0)</x:f>
        <x:v>0</x:v>
      </x:c>
      <x:c r="M151" s="1" t="n">
        <x:f>IF(AND(G151&lt;&gt;"",G151&lt;Reporting!$B$4),1,0)</x:f>
        <x:v>0</x:v>
      </x:c>
      <x:c r="N151" s="16" t="str">
        <x:f>IF(M151=1,G151-E151,"")</x:f>
      </x:c>
      <x:c r="O151" s="1" t="str">
        <x:f>IF(E151&gt;=Reporting!$B$4,"Outside cutoff",IF(M151=1,"Closed",IF(J151=1,"Overdue","Open - within SLA")))</x:f>
        <x:v>Open - within SLA</x:v>
      </x:c>
    </x:row>
    <x:row r="152">
      <x:c r="A152" s="14" t="str">
        <x:v>CASE-00147</x:v>
      </x:c>
      <x:c r="B152" s="14" t="str">
        <x:v>Installation</x:v>
      </x:c>
      <x:c r="C152" s="14" t="str">
        <x:v>Process deviation</x:v>
      </x:c>
      <x:c r="D152" s="14" t="str">
        <x:v>Low</x:v>
      </x:c>
      <x:c r="E152" s="15" t="n">
        <x:v>46276.625</x:v>
      </x:c>
      <x:c r="F152" s="15" t="n">
        <x:v>46290.625</x:v>
      </x:c>
      <x:c r="G152" s="15"/>
      <x:c r="H152" s="14" t="n">
        <x:v>3</x:v>
      </x:c>
      <x:c r="I152" s="1" t="n">
        <x:f>IF(AND(E152&lt;Reporting!$B$4,OR(G152="",G152&gt;=Reporting!$B$4)),1,0)</x:f>
        <x:v>1</x:v>
      </x:c>
      <x:c r="J152" s="1" t="n">
        <x:f>IF(AND(I152=1,F152&lt;Reporting!$B$4),1,0)</x:f>
        <x:v>0</x:v>
      </x:c>
      <x:c r="K152" s="1" t="n">
        <x:f>IF(F152&lt;Reporting!$B$4,1,0)</x:f>
        <x:v>0</x:v>
      </x:c>
      <x:c r="L152" s="1" t="n">
        <x:f>IF(AND(K152=1,G152&lt;&gt;"",G152&lt;=F152),1,0)</x:f>
        <x:v>0</x:v>
      </x:c>
      <x:c r="M152" s="1" t="n">
        <x:f>IF(AND(G152&lt;&gt;"",G152&lt;Reporting!$B$4),1,0)</x:f>
        <x:v>0</x:v>
      </x:c>
      <x:c r="N152" s="16" t="str">
        <x:f>IF(M152=1,G152-E152,"")</x:f>
      </x:c>
      <x:c r="O152" s="1" t="str">
        <x:f>IF(E152&gt;=Reporting!$B$4,"Outside cutoff",IF(M152=1,"Closed",IF(J152=1,"Overdue","Open - within SLA")))</x:f>
        <x:v>Open - within SLA</x:v>
      </x:c>
    </x:row>
    <x:row r="153">
      <x:c r="A153" s="14" t="str">
        <x:v>CASE-00148</x:v>
      </x:c>
      <x:c r="B153" s="14" t="str">
        <x:v>Customer Services</x:v>
      </x:c>
      <x:c r="C153" s="14" t="str">
        <x:v>Missing evidence</x:v>
      </x:c>
      <x:c r="D153" s="14" t="str">
        <x:v>Low</x:v>
      </x:c>
      <x:c r="E153" s="15" t="n">
        <x:v>46224.666666666664</x:v>
      </x:c>
      <x:c r="F153" s="15" t="n">
        <x:v>46238.666666666664</x:v>
      </x:c>
      <x:c r="G153" s="15" t="n">
        <x:v>46228.708333333336</x:v>
      </x:c>
      <x:c r="H153" s="14" t="n">
        <x:v>1</x:v>
      </x:c>
      <x:c r="I153" s="1" t="n">
        <x:f>IF(AND(E153&lt;Reporting!$B$4,OR(G153="",G153&gt;=Reporting!$B$4)),1,0)</x:f>
        <x:v>0</x:v>
      </x:c>
      <x:c r="J153" s="1" t="n">
        <x:f>IF(AND(I153=1,F153&lt;Reporting!$B$4),1,0)</x:f>
        <x:v>0</x:v>
      </x:c>
      <x:c r="K153" s="1" t="n">
        <x:f>IF(F153&lt;Reporting!$B$4,1,0)</x:f>
        <x:v>1</x:v>
      </x:c>
      <x:c r="L153" s="1" t="n">
        <x:f>IF(AND(K153=1,G153&lt;&gt;"",G153&lt;=F153),1,0)</x:f>
        <x:v>1</x:v>
      </x:c>
      <x:c r="M153" s="1" t="n">
        <x:f>IF(AND(G153&lt;&gt;"",G153&lt;Reporting!$B$4),1,0)</x:f>
        <x:v>1</x:v>
      </x:c>
      <x:c r="N153" s="16" t="n">
        <x:f>IF(M153=1,G153-E153,"")</x:f>
        <x:v>4.041666666671517</x:v>
      </x:c>
      <x:c r="O153" s="1" t="str">
        <x:f>IF(E153&gt;=Reporting!$B$4,"Outside cutoff",IF(M153=1,"Closed",IF(J153=1,"Overdue","Open - within SLA")))</x:f>
        <x:v>Closed</x:v>
      </x:c>
    </x:row>
    <x:row r="154">
      <x:c r="A154" s="14" t="str">
        <x:v>CASE-00149</x:v>
      </x:c>
      <x:c r="B154" s="14" t="str">
        <x:v>Installation</x:v>
      </x:c>
      <x:c r="C154" s="14" t="str">
        <x:v>Missing evidence</x:v>
      </x:c>
      <x:c r="D154" s="14" t="str">
        <x:v>Medium</x:v>
      </x:c>
      <x:c r="E154" s="15" t="n">
        <x:v>46204.625</x:v>
      </x:c>
      <x:c r="F154" s="15" t="n">
        <x:v>46211.625</x:v>
      </x:c>
      <x:c r="G154" s="15" t="n">
        <x:v>46214.625</x:v>
      </x:c>
      <x:c r="H154" s="14" t="n">
        <x:v>3</x:v>
      </x:c>
      <x:c r="I154" s="1" t="n">
        <x:f>IF(AND(E154&lt;Reporting!$B$4,OR(G154="",G154&gt;=Reporting!$B$4)),1,0)</x:f>
        <x:v>0</x:v>
      </x:c>
      <x:c r="J154" s="1" t="n">
        <x:f>IF(AND(I154=1,F154&lt;Reporting!$B$4),1,0)</x:f>
        <x:v>0</x:v>
      </x:c>
      <x:c r="K154" s="1" t="n">
        <x:f>IF(F154&lt;Reporting!$B$4,1,0)</x:f>
        <x:v>1</x:v>
      </x:c>
      <x:c r="L154" s="1" t="n">
        <x:f>IF(AND(K154=1,G154&lt;&gt;"",G154&lt;=F154),1,0)</x:f>
        <x:v>0</x:v>
      </x:c>
      <x:c r="M154" s="1" t="n">
        <x:f>IF(AND(G154&lt;&gt;"",G154&lt;Reporting!$B$4),1,0)</x:f>
        <x:v>1</x:v>
      </x:c>
      <x:c r="N154" s="16" t="n">
        <x:f>IF(M154=1,G154-E154,"")</x:f>
        <x:v>10</x:v>
      </x:c>
      <x:c r="O154" s="1" t="str">
        <x:f>IF(E154&gt;=Reporting!$B$4,"Outside cutoff",IF(M154=1,"Closed",IF(J154=1,"Overdue","Open - within SLA")))</x:f>
        <x:v>Closed</x:v>
      </x:c>
    </x:row>
    <x:row r="155">
      <x:c r="A155" s="14" t="str">
        <x:v>CASE-00150</x:v>
      </x:c>
      <x:c r="B155" s="14" t="str">
        <x:v>Warehouse</x:v>
      </x:c>
      <x:c r="C155" s="14" t="str">
        <x:v>Late review</x:v>
      </x:c>
      <x:c r="D155" s="14" t="str">
        <x:v>Medium</x:v>
      </x:c>
      <x:c r="E155" s="15" t="n">
        <x:v>46281.5</x:v>
      </x:c>
      <x:c r="F155" s="15" t="n">
        <x:v>46288.5</x:v>
      </x:c>
      <x:c r="G155" s="15"/>
      <x:c r="H155" s="14" t="n">
        <x:v>2</x:v>
      </x:c>
      <x:c r="I155" s="1" t="n">
        <x:f>IF(AND(E155&lt;Reporting!$B$4,OR(G155="",G155&gt;=Reporting!$B$4)),1,0)</x:f>
        <x:v>1</x:v>
      </x:c>
      <x:c r="J155" s="1" t="n">
        <x:f>IF(AND(I155=1,F155&lt;Reporting!$B$4),1,0)</x:f>
        <x:v>0</x:v>
      </x:c>
      <x:c r="K155" s="1" t="n">
        <x:f>IF(F155&lt;Reporting!$B$4,1,0)</x:f>
        <x:v>0</x:v>
      </x:c>
      <x:c r="L155" s="1" t="n">
        <x:f>IF(AND(K155=1,G155&lt;&gt;"",G155&lt;=F155),1,0)</x:f>
        <x:v>0</x:v>
      </x:c>
      <x:c r="M155" s="1" t="n">
        <x:f>IF(AND(G155&lt;&gt;"",G155&lt;Reporting!$B$4),1,0)</x:f>
        <x:v>0</x:v>
      </x:c>
      <x:c r="N155" s="16" t="str">
        <x:f>IF(M155=1,G155-E155,"")</x:f>
      </x:c>
      <x:c r="O155" s="1" t="str">
        <x:f>IF(E155&gt;=Reporting!$B$4,"Outside cutoff",IF(M155=1,"Closed",IF(J155=1,"Overdue","Open - within SLA")))</x:f>
        <x:v>Open - within SLA</x:v>
      </x:c>
    </x:row>
    <x:row r="156">
      <x:c r="A156" s="14" t="str">
        <x:v>CASE-00151</x:v>
      </x:c>
      <x:c r="B156" s="14" t="str">
        <x:v>Installation</x:v>
      </x:c>
      <x:c r="C156" s="14" t="str">
        <x:v>Late review</x:v>
      </x:c>
      <x:c r="D156" s="14" t="str">
        <x:v>Medium</x:v>
      </x:c>
      <x:c r="E156" s="15" t="n">
        <x:v>46236.666666666664</x:v>
      </x:c>
      <x:c r="F156" s="15" t="n">
        <x:v>46243.666666666664</x:v>
      </x:c>
      <x:c r="G156" s="15" t="n">
        <x:v>46241.666666666664</x:v>
      </x:c>
      <x:c r="H156" s="14" t="n">
        <x:v>3</x:v>
      </x:c>
      <x:c r="I156" s="1" t="n">
        <x:f>IF(AND(E156&lt;Reporting!$B$4,OR(G156="",G156&gt;=Reporting!$B$4)),1,0)</x:f>
        <x:v>0</x:v>
      </x:c>
      <x:c r="J156" s="1" t="n">
        <x:f>IF(AND(I156=1,F156&lt;Reporting!$B$4),1,0)</x:f>
        <x:v>0</x:v>
      </x:c>
      <x:c r="K156" s="1" t="n">
        <x:f>IF(F156&lt;Reporting!$B$4,1,0)</x:f>
        <x:v>1</x:v>
      </x:c>
      <x:c r="L156" s="1" t="n">
        <x:f>IF(AND(K156=1,G156&lt;&gt;"",G156&lt;=F156),1,0)</x:f>
        <x:v>1</x:v>
      </x:c>
      <x:c r="M156" s="1" t="n">
        <x:f>IF(AND(G156&lt;&gt;"",G156&lt;Reporting!$B$4),1,0)</x:f>
        <x:v>1</x:v>
      </x:c>
      <x:c r="N156" s="16" t="n">
        <x:f>IF(M156=1,G156-E156,"")</x:f>
        <x:v>5</x:v>
      </x:c>
      <x:c r="O156" s="1" t="str">
        <x:f>IF(E156&gt;=Reporting!$B$4,"Outside cutoff",IF(M156=1,"Closed",IF(J156=1,"Overdue","Open - within SLA")))</x:f>
        <x:v>Closed</x:v>
      </x:c>
    </x:row>
    <x:row r="157">
      <x:c r="A157" s="14" t="str">
        <x:v>CASE-00152</x:v>
      </x:c>
      <x:c r="B157" s="14" t="str">
        <x:v>Installation</x:v>
      </x:c>
      <x:c r="C157" s="14" t="str">
        <x:v>Process deviation</x:v>
      </x:c>
      <x:c r="D157" s="14" t="str">
        <x:v>Low</x:v>
      </x:c>
      <x:c r="E157" s="15" t="n">
        <x:v>46274.625</x:v>
      </x:c>
      <x:c r="F157" s="15" t="n">
        <x:v>46288.625</x:v>
      </x:c>
      <x:c r="G157" s="15"/>
      <x:c r="H157" s="14" t="n">
        <x:v>3</x:v>
      </x:c>
      <x:c r="I157" s="1" t="n">
        <x:f>IF(AND(E157&lt;Reporting!$B$4,OR(G157="",G157&gt;=Reporting!$B$4)),1,0)</x:f>
        <x:v>1</x:v>
      </x:c>
      <x:c r="J157" s="1" t="n">
        <x:f>IF(AND(I157=1,F157&lt;Reporting!$B$4),1,0)</x:f>
        <x:v>0</x:v>
      </x:c>
      <x:c r="K157" s="1" t="n">
        <x:f>IF(F157&lt;Reporting!$B$4,1,0)</x:f>
        <x:v>0</x:v>
      </x:c>
      <x:c r="L157" s="1" t="n">
        <x:f>IF(AND(K157=1,G157&lt;&gt;"",G157&lt;=F157),1,0)</x:f>
        <x:v>0</x:v>
      </x:c>
      <x:c r="M157" s="1" t="n">
        <x:f>IF(AND(G157&lt;&gt;"",G157&lt;Reporting!$B$4),1,0)</x:f>
        <x:v>0</x:v>
      </x:c>
      <x:c r="N157" s="16" t="str">
        <x:f>IF(M157=1,G157-E157,"")</x:f>
      </x:c>
      <x:c r="O157" s="1" t="str">
        <x:f>IF(E157&gt;=Reporting!$B$4,"Outside cutoff",IF(M157=1,"Closed",IF(J157=1,"Overdue","Open - within SLA")))</x:f>
        <x:v>Open - within SLA</x:v>
      </x:c>
    </x:row>
    <x:row r="158">
      <x:c r="A158" s="14" t="str">
        <x:v>CASE-00153</x:v>
      </x:c>
      <x:c r="B158" s="14" t="str">
        <x:v>Installation</x:v>
      </x:c>
      <x:c r="C158" s="14" t="str">
        <x:v>Late review</x:v>
      </x:c>
      <x:c r="D158" s="14" t="str">
        <x:v>Medium</x:v>
      </x:c>
      <x:c r="E158" s="15" t="n">
        <x:v>46248.416666666664</x:v>
      </x:c>
      <x:c r="F158" s="15" t="n">
        <x:v>46255.416666666664</x:v>
      </x:c>
      <x:c r="G158" s="15" t="n">
        <x:v>46259.458333333336</x:v>
      </x:c>
      <x:c r="H158" s="14" t="n">
        <x:v>3</x:v>
      </x:c>
      <x:c r="I158" s="1" t="n">
        <x:f>IF(AND(E158&lt;Reporting!$B$4,OR(G158="",G158&gt;=Reporting!$B$4)),1,0)</x:f>
        <x:v>0</x:v>
      </x:c>
      <x:c r="J158" s="1" t="n">
        <x:f>IF(AND(I158=1,F158&lt;Reporting!$B$4),1,0)</x:f>
        <x:v>0</x:v>
      </x:c>
      <x:c r="K158" s="1" t="n">
        <x:f>IF(F158&lt;Reporting!$B$4,1,0)</x:f>
        <x:v>1</x:v>
      </x:c>
      <x:c r="L158" s="1" t="n">
        <x:f>IF(AND(K158=1,G158&lt;&gt;"",G158&lt;=F158),1,0)</x:f>
        <x:v>0</x:v>
      </x:c>
      <x:c r="M158" s="1" t="n">
        <x:f>IF(AND(G158&lt;&gt;"",G158&lt;Reporting!$B$4),1,0)</x:f>
        <x:v>1</x:v>
      </x:c>
      <x:c r="N158" s="16" t="n">
        <x:f>IF(M158=1,G158-E158,"")</x:f>
        <x:v>11.041666666671517</x:v>
      </x:c>
      <x:c r="O158" s="1" t="str">
        <x:f>IF(E158&gt;=Reporting!$B$4,"Outside cutoff",IF(M158=1,"Closed",IF(J158=1,"Overdue","Open - within SLA")))</x:f>
        <x:v>Closed</x:v>
      </x:c>
    </x:row>
    <x:row r="159">
      <x:c r="A159" s="14" t="str">
        <x:v>CASE-00154</x:v>
      </x:c>
      <x:c r="B159" s="14" t="str">
        <x:v>Customer Services</x:v>
      </x:c>
      <x:c r="C159" s="14" t="str">
        <x:v>Missing evidence</x:v>
      </x:c>
      <x:c r="D159" s="14" t="str">
        <x:v>Medium</x:v>
      </x:c>
      <x:c r="E159" s="15" t="n">
        <x:v>46267.541666666664</x:v>
      </x:c>
      <x:c r="F159" s="15" t="n">
        <x:v>46274.541666666664</x:v>
      </x:c>
      <x:c r="G159" s="15" t="n">
        <x:v>46271.625</x:v>
      </x:c>
      <x:c r="H159" s="14" t="n">
        <x:v>1</x:v>
      </x:c>
      <x:c r="I159" s="1" t="n">
        <x:f>IF(AND(E159&lt;Reporting!$B$4,OR(G159="",G159&gt;=Reporting!$B$4)),1,0)</x:f>
        <x:v>0</x:v>
      </x:c>
      <x:c r="J159" s="1" t="n">
        <x:f>IF(AND(I159=1,F159&lt;Reporting!$B$4),1,0)</x:f>
        <x:v>0</x:v>
      </x:c>
      <x:c r="K159" s="1" t="n">
        <x:f>IF(F159&lt;Reporting!$B$4,1,0)</x:f>
        <x:v>1</x:v>
      </x:c>
      <x:c r="L159" s="1" t="n">
        <x:f>IF(AND(K159=1,G159&lt;&gt;"",G159&lt;=F159),1,0)</x:f>
        <x:v>1</x:v>
      </x:c>
      <x:c r="M159" s="1" t="n">
        <x:f>IF(AND(G159&lt;&gt;"",G159&lt;Reporting!$B$4),1,0)</x:f>
        <x:v>1</x:v>
      </x:c>
      <x:c r="N159" s="16" t="n">
        <x:f>IF(M159=1,G159-E159,"")</x:f>
        <x:v>4.083333333335759</x:v>
      </x:c>
      <x:c r="O159" s="1" t="str">
        <x:f>IF(E159&gt;=Reporting!$B$4,"Outside cutoff",IF(M159=1,"Closed",IF(J159=1,"Overdue","Open - within SLA")))</x:f>
        <x:v>Closed</x:v>
      </x:c>
    </x:row>
    <x:row r="160">
      <x:c r="A160" s="14" t="str">
        <x:v>CASE-00155</x:v>
      </x:c>
      <x:c r="B160" s="14" t="str">
        <x:v>Installation</x:v>
      </x:c>
      <x:c r="C160" s="14" t="str">
        <x:v>Late review</x:v>
      </x:c>
      <x:c r="D160" s="14" t="str">
        <x:v>Medium</x:v>
      </x:c>
      <x:c r="E160" s="15" t="n">
        <x:v>46219.5</x:v>
      </x:c>
      <x:c r="F160" s="15" t="n">
        <x:v>46226.5</x:v>
      </x:c>
      <x:c r="G160" s="15" t="n">
        <x:v>46232.5</x:v>
      </x:c>
      <x:c r="H160" s="14" t="n">
        <x:v>3</x:v>
      </x:c>
      <x:c r="I160" s="1" t="n">
        <x:f>IF(AND(E160&lt;Reporting!$B$4,OR(G160="",G160&gt;=Reporting!$B$4)),1,0)</x:f>
        <x:v>0</x:v>
      </x:c>
      <x:c r="J160" s="1" t="n">
        <x:f>IF(AND(I160=1,F160&lt;Reporting!$B$4),1,0)</x:f>
        <x:v>0</x:v>
      </x:c>
      <x:c r="K160" s="1" t="n">
        <x:f>IF(F160&lt;Reporting!$B$4,1,0)</x:f>
        <x:v>1</x:v>
      </x:c>
      <x:c r="L160" s="1" t="n">
        <x:f>IF(AND(K160=1,G160&lt;&gt;"",G160&lt;=F160),1,0)</x:f>
        <x:v>0</x:v>
      </x:c>
      <x:c r="M160" s="1" t="n">
        <x:f>IF(AND(G160&lt;&gt;"",G160&lt;Reporting!$B$4),1,0)</x:f>
        <x:v>1</x:v>
      </x:c>
      <x:c r="N160" s="16" t="n">
        <x:f>IF(M160=1,G160-E160,"")</x:f>
        <x:v>13</x:v>
      </x:c>
      <x:c r="O160" s="1" t="str">
        <x:f>IF(E160&gt;=Reporting!$B$4,"Outside cutoff",IF(M160=1,"Closed",IF(J160=1,"Overdue","Open - within SLA")))</x:f>
        <x:v>Closed</x:v>
      </x:c>
    </x:row>
    <x:row r="161">
      <x:c r="A161" s="14" t="str">
        <x:v>CASE-00156</x:v>
      </x:c>
      <x:c r="B161" s="14" t="str">
        <x:v>Customer Services</x:v>
      </x:c>
      <x:c r="C161" s="14" t="str">
        <x:v>Late review</x:v>
      </x:c>
      <x:c r="D161" s="14" t="str">
        <x:v>Low</x:v>
      </x:c>
      <x:c r="E161" s="15" t="n">
        <x:v>46216.583333333336</x:v>
      </x:c>
      <x:c r="F161" s="15" t="n">
        <x:v>46230.583333333336</x:v>
      </x:c>
      <x:c r="G161" s="15" t="n">
        <x:v>46219.625</x:v>
      </x:c>
      <x:c r="H161" s="14" t="n">
        <x:v>1</x:v>
      </x:c>
      <x:c r="I161" s="1" t="n">
        <x:f>IF(AND(E161&lt;Reporting!$B$4,OR(G161="",G161&gt;=Reporting!$B$4)),1,0)</x:f>
        <x:v>0</x:v>
      </x:c>
      <x:c r="J161" s="1" t="n">
        <x:f>IF(AND(I161=1,F161&lt;Reporting!$B$4),1,0)</x:f>
        <x:v>0</x:v>
      </x:c>
      <x:c r="K161" s="1" t="n">
        <x:f>IF(F161&lt;Reporting!$B$4,1,0)</x:f>
        <x:v>1</x:v>
      </x:c>
      <x:c r="L161" s="1" t="n">
        <x:f>IF(AND(K161=1,G161&lt;&gt;"",G161&lt;=F161),1,0)</x:f>
        <x:v>1</x:v>
      </x:c>
      <x:c r="M161" s="1" t="n">
        <x:f>IF(AND(G161&lt;&gt;"",G161&lt;Reporting!$B$4),1,0)</x:f>
        <x:v>1</x:v>
      </x:c>
      <x:c r="N161" s="16" t="n">
        <x:f>IF(M161=1,G161-E161,"")</x:f>
        <x:v>3.0416666666642413</x:v>
      </x:c>
      <x:c r="O161" s="1" t="str">
        <x:f>IF(E161&gt;=Reporting!$B$4,"Outside cutoff",IF(M161=1,"Closed",IF(J161=1,"Overdue","Open - within SLA")))</x:f>
        <x:v>Closed</x:v>
      </x:c>
    </x:row>
    <x:row r="162">
      <x:c r="A162" s="14" t="str">
        <x:v>CASE-00157</x:v>
      </x:c>
      <x:c r="B162" s="14" t="str">
        <x:v>Warehouse</x:v>
      </x:c>
      <x:c r="C162" s="14" t="str">
        <x:v>Process deviation</x:v>
      </x:c>
      <x:c r="D162" s="14" t="str">
        <x:v>Medium</x:v>
      </x:c>
      <x:c r="E162" s="15" t="n">
        <x:v>46284.458333333336</x:v>
      </x:c>
      <x:c r="F162" s="15" t="n">
        <x:v>46291.458333333336</x:v>
      </x:c>
      <x:c r="G162" s="15"/>
      <x:c r="H162" s="14" t="n">
        <x:v>2</x:v>
      </x:c>
      <x:c r="I162" s="1" t="n">
        <x:f>IF(AND(E162&lt;Reporting!$B$4,OR(G162="",G162&gt;=Reporting!$B$4)),1,0)</x:f>
        <x:v>1</x:v>
      </x:c>
      <x:c r="J162" s="1" t="n">
        <x:f>IF(AND(I162=1,F162&lt;Reporting!$B$4),1,0)</x:f>
        <x:v>0</x:v>
      </x:c>
      <x:c r="K162" s="1" t="n">
        <x:f>IF(F162&lt;Reporting!$B$4,1,0)</x:f>
        <x:v>0</x:v>
      </x:c>
      <x:c r="L162" s="1" t="n">
        <x:f>IF(AND(K162=1,G162&lt;&gt;"",G162&lt;=F162),1,0)</x:f>
        <x:v>0</x:v>
      </x:c>
      <x:c r="M162" s="1" t="n">
        <x:f>IF(AND(G162&lt;&gt;"",G162&lt;Reporting!$B$4),1,0)</x:f>
        <x:v>0</x:v>
      </x:c>
      <x:c r="N162" s="16" t="str">
        <x:f>IF(M162=1,G162-E162,"")</x:f>
      </x:c>
      <x:c r="O162" s="1" t="str">
        <x:f>IF(E162&gt;=Reporting!$B$4,"Outside cutoff",IF(M162=1,"Closed",IF(J162=1,"Overdue","Open - within SLA")))</x:f>
        <x:v>Open - within SLA</x:v>
      </x:c>
    </x:row>
    <x:row r="163">
      <x:c r="A163" s="14" t="str">
        <x:v>CASE-00158</x:v>
      </x:c>
      <x:c r="B163" s="14" t="str">
        <x:v>Warehouse</x:v>
      </x:c>
      <x:c r="C163" s="14" t="str">
        <x:v>Late review</x:v>
      </x:c>
      <x:c r="D163" s="14" t="str">
        <x:v>Low</x:v>
      </x:c>
      <x:c r="E163" s="15" t="n">
        <x:v>46237.625</x:v>
      </x:c>
      <x:c r="F163" s="15" t="n">
        <x:v>46251.625</x:v>
      </x:c>
      <x:c r="G163" s="15" t="n">
        <x:v>46247.625</x:v>
      </x:c>
      <x:c r="H163" s="14" t="n">
        <x:v>2</x:v>
      </x:c>
      <x:c r="I163" s="1" t="n">
        <x:f>IF(AND(E163&lt;Reporting!$B$4,OR(G163="",G163&gt;=Reporting!$B$4)),1,0)</x:f>
        <x:v>0</x:v>
      </x:c>
      <x:c r="J163" s="1" t="n">
        <x:f>IF(AND(I163=1,F163&lt;Reporting!$B$4),1,0)</x:f>
        <x:v>0</x:v>
      </x:c>
      <x:c r="K163" s="1" t="n">
        <x:f>IF(F163&lt;Reporting!$B$4,1,0)</x:f>
        <x:v>1</x:v>
      </x:c>
      <x:c r="L163" s="1" t="n">
        <x:f>IF(AND(K163=1,G163&lt;&gt;"",G163&lt;=F163),1,0)</x:f>
        <x:v>1</x:v>
      </x:c>
      <x:c r="M163" s="1" t="n">
        <x:f>IF(AND(G163&lt;&gt;"",G163&lt;Reporting!$B$4),1,0)</x:f>
        <x:v>1</x:v>
      </x:c>
      <x:c r="N163" s="16" t="n">
        <x:f>IF(M163=1,G163-E163,"")</x:f>
        <x:v>10</x:v>
      </x:c>
      <x:c r="O163" s="1" t="str">
        <x:f>IF(E163&gt;=Reporting!$B$4,"Outside cutoff",IF(M163=1,"Closed",IF(J163=1,"Overdue","Open - within SLA")))</x:f>
        <x:v>Closed</x:v>
      </x:c>
    </x:row>
    <x:row r="164">
      <x:c r="A164" s="14" t="str">
        <x:v>CASE-00159</x:v>
      </x:c>
      <x:c r="B164" s="14" t="str">
        <x:v>Warehouse</x:v>
      </x:c>
      <x:c r="C164" s="14" t="str">
        <x:v>Record mismatch</x:v>
      </x:c>
      <x:c r="D164" s="14" t="str">
        <x:v>Medium</x:v>
      </x:c>
      <x:c r="E164" s="15" t="n">
        <x:v>46276.5</x:v>
      </x:c>
      <x:c r="F164" s="15" t="n">
        <x:v>46283.5</x:v>
      </x:c>
      <x:c r="G164" s="15"/>
      <x:c r="H164" s="14" t="n">
        <x:v>2</x:v>
      </x:c>
      <x:c r="I164" s="1" t="n">
        <x:f>IF(AND(E164&lt;Reporting!$B$4,OR(G164="",G164&gt;=Reporting!$B$4)),1,0)</x:f>
        <x:v>1</x:v>
      </x:c>
      <x:c r="J164" s="1" t="n">
        <x:f>IF(AND(I164=1,F164&lt;Reporting!$B$4),1,0)</x:f>
        <x:v>1</x:v>
      </x:c>
      <x:c r="K164" s="1" t="n">
        <x:f>IF(F164&lt;Reporting!$B$4,1,0)</x:f>
        <x:v>1</x:v>
      </x:c>
      <x:c r="L164" s="1" t="n">
        <x:f>IF(AND(K164=1,G164&lt;&gt;"",G164&lt;=F164),1,0)</x:f>
        <x:v>0</x:v>
      </x:c>
      <x:c r="M164" s="1" t="n">
        <x:f>IF(AND(G164&lt;&gt;"",G164&lt;Reporting!$B$4),1,0)</x:f>
        <x:v>0</x:v>
      </x:c>
      <x:c r="N164" s="16" t="str">
        <x:f>IF(M164=1,G164-E164,"")</x:f>
      </x:c>
      <x:c r="O164" s="1" t="str">
        <x:f>IF(E164&gt;=Reporting!$B$4,"Outside cutoff",IF(M164=1,"Closed",IF(J164=1,"Overdue","Open - within SLA")))</x:f>
        <x:v>Overdue</x:v>
      </x:c>
    </x:row>
    <x:row r="165">
      <x:c r="A165" s="14" t="str">
        <x:v>CASE-00160</x:v>
      </x:c>
      <x:c r="B165" s="14" t="str">
        <x:v>Customer Services</x:v>
      </x:c>
      <x:c r="C165" s="14" t="str">
        <x:v>Missing evidence</x:v>
      </x:c>
      <x:c r="D165" s="14" t="str">
        <x:v>Low</x:v>
      </x:c>
      <x:c r="E165" s="15" t="n">
        <x:v>46212.416666666664</x:v>
      </x:c>
      <x:c r="F165" s="15" t="n">
        <x:v>46226.416666666664</x:v>
      </x:c>
      <x:c r="G165" s="15" t="n">
        <x:v>46227.5</x:v>
      </x:c>
      <x:c r="H165" s="14" t="n">
        <x:v>1</x:v>
      </x:c>
      <x:c r="I165" s="1" t="n">
        <x:f>IF(AND(E165&lt;Reporting!$B$4,OR(G165="",G165&gt;=Reporting!$B$4)),1,0)</x:f>
        <x:v>0</x:v>
      </x:c>
      <x:c r="J165" s="1" t="n">
        <x:f>IF(AND(I165=1,F165&lt;Reporting!$B$4),1,0)</x:f>
        <x:v>0</x:v>
      </x:c>
      <x:c r="K165" s="1" t="n">
        <x:f>IF(F165&lt;Reporting!$B$4,1,0)</x:f>
        <x:v>1</x:v>
      </x:c>
      <x:c r="L165" s="1" t="n">
        <x:f>IF(AND(K165=1,G165&lt;&gt;"",G165&lt;=F165),1,0)</x:f>
        <x:v>0</x:v>
      </x:c>
      <x:c r="M165" s="1" t="n">
        <x:f>IF(AND(G165&lt;&gt;"",G165&lt;Reporting!$B$4),1,0)</x:f>
        <x:v>1</x:v>
      </x:c>
      <x:c r="N165" s="16" t="n">
        <x:f>IF(M165=1,G165-E165,"")</x:f>
        <x:v>15.083333333335759</x:v>
      </x:c>
      <x:c r="O165" s="1" t="str">
        <x:f>IF(E165&gt;=Reporting!$B$4,"Outside cutoff",IF(M165=1,"Closed",IF(J165=1,"Overdue","Open - within SLA")))</x:f>
        <x:v>Closed</x:v>
      </x:c>
    </x:row>
    <x:row r="166">
      <x:c r="A166" s="14" t="str">
        <x:v>CASE-00161</x:v>
      </x:c>
      <x:c r="B166" s="14" t="str">
        <x:v>Installation</x:v>
      </x:c>
      <x:c r="C166" s="14" t="str">
        <x:v>Record mismatch</x:v>
      </x:c>
      <x:c r="D166" s="14" t="str">
        <x:v>Medium</x:v>
      </x:c>
      <x:c r="E166" s="15" t="n">
        <x:v>46251.333333333336</x:v>
      </x:c>
      <x:c r="F166" s="15" t="n">
        <x:v>46258.333333333336</x:v>
      </x:c>
      <x:c r="G166" s="15" t="n">
        <x:v>46260.416666666664</x:v>
      </x:c>
      <x:c r="H166" s="14" t="n">
        <x:v>3</x:v>
      </x:c>
      <x:c r="I166" s="1" t="n">
        <x:f>IF(AND(E166&lt;Reporting!$B$4,OR(G166="",G166&gt;=Reporting!$B$4)),1,0)</x:f>
        <x:v>0</x:v>
      </x:c>
      <x:c r="J166" s="1" t="n">
        <x:f>IF(AND(I166=1,F166&lt;Reporting!$B$4),1,0)</x:f>
        <x:v>0</x:v>
      </x:c>
      <x:c r="K166" s="1" t="n">
        <x:f>IF(F166&lt;Reporting!$B$4,1,0)</x:f>
        <x:v>1</x:v>
      </x:c>
      <x:c r="L166" s="1" t="n">
        <x:f>IF(AND(K166=1,G166&lt;&gt;"",G166&lt;=F166),1,0)</x:f>
        <x:v>0</x:v>
      </x:c>
      <x:c r="M166" s="1" t="n">
        <x:f>IF(AND(G166&lt;&gt;"",G166&lt;Reporting!$B$4),1,0)</x:f>
        <x:v>1</x:v>
      </x:c>
      <x:c r="N166" s="16" t="n">
        <x:f>IF(M166=1,G166-E166,"")</x:f>
        <x:v>9.083333333328483</x:v>
      </x:c>
      <x:c r="O166" s="1" t="str">
        <x:f>IF(E166&gt;=Reporting!$B$4,"Outside cutoff",IF(M166=1,"Closed",IF(J166=1,"Overdue","Open - within SLA")))</x:f>
        <x:v>Closed</x:v>
      </x:c>
    </x:row>
    <x:row r="167">
      <x:c r="A167" s="14" t="str">
        <x:v>CASE-00162</x:v>
      </x:c>
      <x:c r="B167" s="14" t="str">
        <x:v>Customer Services</x:v>
      </x:c>
      <x:c r="C167" s="14" t="str">
        <x:v>Record mismatch</x:v>
      </x:c>
      <x:c r="D167" s="14" t="str">
        <x:v>High</x:v>
      </x:c>
      <x:c r="E167" s="15" t="n">
        <x:v>46275.541666666664</x:v>
      </x:c>
      <x:c r="F167" s="15" t="n">
        <x:v>46278.541666666664</x:v>
      </x:c>
      <x:c r="G167" s="15"/>
      <x:c r="H167" s="14" t="n">
        <x:v>1</x:v>
      </x:c>
      <x:c r="I167" s="1" t="n">
        <x:f>IF(AND(E167&lt;Reporting!$B$4,OR(G167="",G167&gt;=Reporting!$B$4)),1,0)</x:f>
        <x:v>1</x:v>
      </x:c>
      <x:c r="J167" s="1" t="n">
        <x:f>IF(AND(I167=1,F167&lt;Reporting!$B$4),1,0)</x:f>
        <x:v>1</x:v>
      </x:c>
      <x:c r="K167" s="1" t="n">
        <x:f>IF(F167&lt;Reporting!$B$4,1,0)</x:f>
        <x:v>1</x:v>
      </x:c>
      <x:c r="L167" s="1" t="n">
        <x:f>IF(AND(K167=1,G167&lt;&gt;"",G167&lt;=F167),1,0)</x:f>
        <x:v>0</x:v>
      </x:c>
      <x:c r="M167" s="1" t="n">
        <x:f>IF(AND(G167&lt;&gt;"",G167&lt;Reporting!$B$4),1,0)</x:f>
        <x:v>0</x:v>
      </x:c>
      <x:c r="N167" s="16" t="str">
        <x:f>IF(M167=1,G167-E167,"")</x:f>
      </x:c>
      <x:c r="O167" s="1" t="str">
        <x:f>IF(E167&gt;=Reporting!$B$4,"Outside cutoff",IF(M167=1,"Closed",IF(J167=1,"Overdue","Open - within SLA")))</x:f>
        <x:v>Overdue</x:v>
      </x:c>
    </x:row>
    <x:row r="168">
      <x:c r="A168" s="14" t="str">
        <x:v>CASE-00163</x:v>
      </x:c>
      <x:c r="B168" s="14" t="str">
        <x:v>Customer Services</x:v>
      </x:c>
      <x:c r="C168" s="14" t="str">
        <x:v>Process deviation</x:v>
      </x:c>
      <x:c r="D168" s="14" t="str">
        <x:v>High</x:v>
      </x:c>
      <x:c r="E168" s="15" t="n">
        <x:v>46259.583333333336</x:v>
      </x:c>
      <x:c r="F168" s="15" t="n">
        <x:v>46262.583333333336</x:v>
      </x:c>
      <x:c r="G168" s="15" t="n">
        <x:v>46268.625</x:v>
      </x:c>
      <x:c r="H168" s="14" t="n">
        <x:v>1</x:v>
      </x:c>
      <x:c r="I168" s="1" t="n">
        <x:f>IF(AND(E168&lt;Reporting!$B$4,OR(G168="",G168&gt;=Reporting!$B$4)),1,0)</x:f>
        <x:v>0</x:v>
      </x:c>
      <x:c r="J168" s="1" t="n">
        <x:f>IF(AND(I168=1,F168&lt;Reporting!$B$4),1,0)</x:f>
        <x:v>0</x:v>
      </x:c>
      <x:c r="K168" s="1" t="n">
        <x:f>IF(F168&lt;Reporting!$B$4,1,0)</x:f>
        <x:v>1</x:v>
      </x:c>
      <x:c r="L168" s="1" t="n">
        <x:f>IF(AND(K168=1,G168&lt;&gt;"",G168&lt;=F168),1,0)</x:f>
        <x:v>0</x:v>
      </x:c>
      <x:c r="M168" s="1" t="n">
        <x:f>IF(AND(G168&lt;&gt;"",G168&lt;Reporting!$B$4),1,0)</x:f>
        <x:v>1</x:v>
      </x:c>
      <x:c r="N168" s="16" t="n">
        <x:f>IF(M168=1,G168-E168,"")</x:f>
        <x:v>9.041666666664241</x:v>
      </x:c>
      <x:c r="O168" s="1" t="str">
        <x:f>IF(E168&gt;=Reporting!$B$4,"Outside cutoff",IF(M168=1,"Closed",IF(J168=1,"Overdue","Open - within SLA")))</x:f>
        <x:v>Closed</x:v>
      </x:c>
    </x:row>
    <x:row r="169">
      <x:c r="A169" s="14" t="str">
        <x:v>CASE-00164</x:v>
      </x:c>
      <x:c r="B169" s="14" t="str">
        <x:v>Customer Services</x:v>
      </x:c>
      <x:c r="C169" s="14" t="str">
        <x:v>Process deviation</x:v>
      </x:c>
      <x:c r="D169" s="14" t="str">
        <x:v>Medium</x:v>
      </x:c>
      <x:c r="E169" s="15" t="n">
        <x:v>46204.333333333336</x:v>
      </x:c>
      <x:c r="F169" s="15" t="n">
        <x:v>46211.333333333336</x:v>
      </x:c>
      <x:c r="G169" s="15" t="n">
        <x:v>46221.416666666664</x:v>
      </x:c>
      <x:c r="H169" s="14" t="n">
        <x:v>1</x:v>
      </x:c>
      <x:c r="I169" s="1" t="n">
        <x:f>IF(AND(E169&lt;Reporting!$B$4,OR(G169="",G169&gt;=Reporting!$B$4)),1,0)</x:f>
        <x:v>0</x:v>
      </x:c>
      <x:c r="J169" s="1" t="n">
        <x:f>IF(AND(I169=1,F169&lt;Reporting!$B$4),1,0)</x:f>
        <x:v>0</x:v>
      </x:c>
      <x:c r="K169" s="1" t="n">
        <x:f>IF(F169&lt;Reporting!$B$4,1,0)</x:f>
        <x:v>1</x:v>
      </x:c>
      <x:c r="L169" s="1" t="n">
        <x:f>IF(AND(K169=1,G169&lt;&gt;"",G169&lt;=F169),1,0)</x:f>
        <x:v>0</x:v>
      </x:c>
      <x:c r="M169" s="1" t="n">
        <x:f>IF(AND(G169&lt;&gt;"",G169&lt;Reporting!$B$4),1,0)</x:f>
        <x:v>1</x:v>
      </x:c>
      <x:c r="N169" s="16" t="n">
        <x:f>IF(M169=1,G169-E169,"")</x:f>
        <x:v>17.083333333328483</x:v>
      </x:c>
      <x:c r="O169" s="1" t="str">
        <x:f>IF(E169&gt;=Reporting!$B$4,"Outside cutoff",IF(M169=1,"Closed",IF(J169=1,"Overdue","Open - within SLA")))</x:f>
        <x:v>Closed</x:v>
      </x:c>
    </x:row>
    <x:row r="170">
      <x:c r="A170" s="14" t="str">
        <x:v>CASE-00165</x:v>
      </x:c>
      <x:c r="B170" s="14" t="str">
        <x:v>Warehouse</x:v>
      </x:c>
      <x:c r="C170" s="14" t="str">
        <x:v>Process deviation</x:v>
      </x:c>
      <x:c r="D170" s="14" t="str">
        <x:v>High</x:v>
      </x:c>
      <x:c r="E170" s="15" t="n">
        <x:v>46265.5</x:v>
      </x:c>
      <x:c r="F170" s="15" t="n">
        <x:v>46268.5</x:v>
      </x:c>
      <x:c r="G170" s="15"/>
      <x:c r="H170" s="14" t="n">
        <x:v>2</x:v>
      </x:c>
      <x:c r="I170" s="1" t="n">
        <x:f>IF(AND(E170&lt;Reporting!$B$4,OR(G170="",G170&gt;=Reporting!$B$4)),1,0)</x:f>
        <x:v>1</x:v>
      </x:c>
      <x:c r="J170" s="1" t="n">
        <x:f>IF(AND(I170=1,F170&lt;Reporting!$B$4),1,0)</x:f>
        <x:v>1</x:v>
      </x:c>
      <x:c r="K170" s="1" t="n">
        <x:f>IF(F170&lt;Reporting!$B$4,1,0)</x:f>
        <x:v>1</x:v>
      </x:c>
      <x:c r="L170" s="1" t="n">
        <x:f>IF(AND(K170=1,G170&lt;&gt;"",G170&lt;=F170),1,0)</x:f>
        <x:v>0</x:v>
      </x:c>
      <x:c r="M170" s="1" t="n">
        <x:f>IF(AND(G170&lt;&gt;"",G170&lt;Reporting!$B$4),1,0)</x:f>
        <x:v>0</x:v>
      </x:c>
      <x:c r="N170" s="16" t="str">
        <x:f>IF(M170=1,G170-E170,"")</x:f>
      </x:c>
      <x:c r="O170" s="1" t="str">
        <x:f>IF(E170&gt;=Reporting!$B$4,"Outside cutoff",IF(M170=1,"Closed",IF(J170=1,"Overdue","Open - within SLA")))</x:f>
        <x:v>Overdue</x:v>
      </x:c>
    </x:row>
    <x:row r="171">
      <x:c r="A171" s="14" t="str">
        <x:v>CASE-00166</x:v>
      </x:c>
      <x:c r="B171" s="14" t="str">
        <x:v>Installation</x:v>
      </x:c>
      <x:c r="C171" s="14" t="str">
        <x:v>Record mismatch</x:v>
      </x:c>
      <x:c r="D171" s="14" t="str">
        <x:v>Medium</x:v>
      </x:c>
      <x:c r="E171" s="15" t="n">
        <x:v>46208.458333333336</x:v>
      </x:c>
      <x:c r="F171" s="15" t="n">
        <x:v>46215.458333333336</x:v>
      </x:c>
      <x:c r="G171" s="15" t="n">
        <x:v>46217.541666666664</x:v>
      </x:c>
      <x:c r="H171" s="14" t="n">
        <x:v>3</x:v>
      </x:c>
      <x:c r="I171" s="1" t="n">
        <x:f>IF(AND(E171&lt;Reporting!$B$4,OR(G171="",G171&gt;=Reporting!$B$4)),1,0)</x:f>
        <x:v>0</x:v>
      </x:c>
      <x:c r="J171" s="1" t="n">
        <x:f>IF(AND(I171=1,F171&lt;Reporting!$B$4),1,0)</x:f>
        <x:v>0</x:v>
      </x:c>
      <x:c r="K171" s="1" t="n">
        <x:f>IF(F171&lt;Reporting!$B$4,1,0)</x:f>
        <x:v>1</x:v>
      </x:c>
      <x:c r="L171" s="1" t="n">
        <x:f>IF(AND(K171=1,G171&lt;&gt;"",G171&lt;=F171),1,0)</x:f>
        <x:v>0</x:v>
      </x:c>
      <x:c r="M171" s="1" t="n">
        <x:f>IF(AND(G171&lt;&gt;"",G171&lt;Reporting!$B$4),1,0)</x:f>
        <x:v>1</x:v>
      </x:c>
      <x:c r="N171" s="16" t="n">
        <x:f>IF(M171=1,G171-E171,"")</x:f>
        <x:v>9.083333333328483</x:v>
      </x:c>
      <x:c r="O171" s="1" t="str">
        <x:f>IF(E171&gt;=Reporting!$B$4,"Outside cutoff",IF(M171=1,"Closed",IF(J171=1,"Overdue","Open - within SLA")))</x:f>
        <x:v>Closed</x:v>
      </x:c>
    </x:row>
    <x:row r="172">
      <x:c r="A172" s="14" t="str">
        <x:v>CASE-00167</x:v>
      </x:c>
      <x:c r="B172" s="14" t="str">
        <x:v>Customer Services</x:v>
      </x:c>
      <x:c r="C172" s="14" t="str">
        <x:v>Record mismatch</x:v>
      </x:c>
      <x:c r="D172" s="14" t="str">
        <x:v>Low</x:v>
      </x:c>
      <x:c r="E172" s="15" t="n">
        <x:v>46228.458333333336</x:v>
      </x:c>
      <x:c r="F172" s="15" t="n">
        <x:v>46242.458333333336</x:v>
      </x:c>
      <x:c r="G172" s="15" t="n">
        <x:v>46235.541666666664</x:v>
      </x:c>
      <x:c r="H172" s="14" t="n">
        <x:v>1</x:v>
      </x:c>
      <x:c r="I172" s="1" t="n">
        <x:f>IF(AND(E172&lt;Reporting!$B$4,OR(G172="",G172&gt;=Reporting!$B$4)),1,0)</x:f>
        <x:v>0</x:v>
      </x:c>
      <x:c r="J172" s="1" t="n">
        <x:f>IF(AND(I172=1,F172&lt;Reporting!$B$4),1,0)</x:f>
        <x:v>0</x:v>
      </x:c>
      <x:c r="K172" s="1" t="n">
        <x:f>IF(F172&lt;Reporting!$B$4,1,0)</x:f>
        <x:v>1</x:v>
      </x:c>
      <x:c r="L172" s="1" t="n">
        <x:f>IF(AND(K172=1,G172&lt;&gt;"",G172&lt;=F172),1,0)</x:f>
        <x:v>1</x:v>
      </x:c>
      <x:c r="M172" s="1" t="n">
        <x:f>IF(AND(G172&lt;&gt;"",G172&lt;Reporting!$B$4),1,0)</x:f>
        <x:v>1</x:v>
      </x:c>
      <x:c r="N172" s="16" t="n">
        <x:f>IF(M172=1,G172-E172,"")</x:f>
        <x:v>7.083333333328483</x:v>
      </x:c>
      <x:c r="O172" s="1" t="str">
        <x:f>IF(E172&gt;=Reporting!$B$4,"Outside cutoff",IF(M172=1,"Closed",IF(J172=1,"Overdue","Open - within SLA")))</x:f>
        <x:v>Closed</x:v>
      </x:c>
    </x:row>
    <x:row r="173">
      <x:c r="A173" s="14" t="str">
        <x:v>CASE-00168</x:v>
      </x:c>
      <x:c r="B173" s="14" t="str">
        <x:v>Warehouse</x:v>
      </x:c>
      <x:c r="C173" s="14" t="str">
        <x:v>Missing evidence</x:v>
      </x:c>
      <x:c r="D173" s="14" t="str">
        <x:v>Medium</x:v>
      </x:c>
      <x:c r="E173" s="15" t="n">
        <x:v>46253.583333333336</x:v>
      </x:c>
      <x:c r="F173" s="15" t="n">
        <x:v>46260.583333333336</x:v>
      </x:c>
      <x:c r="G173" s="15" t="n">
        <x:v>46278.583333333336</x:v>
      </x:c>
      <x:c r="H173" s="14" t="n">
        <x:v>2</x:v>
      </x:c>
      <x:c r="I173" s="1" t="n">
        <x:f>IF(AND(E173&lt;Reporting!$B$4,OR(G173="",G173&gt;=Reporting!$B$4)),1,0)</x:f>
        <x:v>0</x:v>
      </x:c>
      <x:c r="J173" s="1" t="n">
        <x:f>IF(AND(I173=1,F173&lt;Reporting!$B$4),1,0)</x:f>
        <x:v>0</x:v>
      </x:c>
      <x:c r="K173" s="1" t="n">
        <x:f>IF(F173&lt;Reporting!$B$4,1,0)</x:f>
        <x:v>1</x:v>
      </x:c>
      <x:c r="L173" s="1" t="n">
        <x:f>IF(AND(K173=1,G173&lt;&gt;"",G173&lt;=F173),1,0)</x:f>
        <x:v>0</x:v>
      </x:c>
      <x:c r="M173" s="1" t="n">
        <x:f>IF(AND(G173&lt;&gt;"",G173&lt;Reporting!$B$4),1,0)</x:f>
        <x:v>1</x:v>
      </x:c>
      <x:c r="N173" s="16" t="n">
        <x:f>IF(M173=1,G173-E173,"")</x:f>
        <x:v>25</x:v>
      </x:c>
      <x:c r="O173" s="1" t="str">
        <x:f>IF(E173&gt;=Reporting!$B$4,"Outside cutoff",IF(M173=1,"Closed",IF(J173=1,"Overdue","Open - within SLA")))</x:f>
        <x:v>Closed</x:v>
      </x:c>
    </x:row>
    <x:row r="174">
      <x:c r="A174" s="14" t="str">
        <x:v>CASE-00169</x:v>
      </x:c>
      <x:c r="B174" s="14" t="str">
        <x:v>Warehouse</x:v>
      </x:c>
      <x:c r="C174" s="14" t="str">
        <x:v>Process deviation</x:v>
      </x:c>
      <x:c r="D174" s="14" t="str">
        <x:v>Medium</x:v>
      </x:c>
      <x:c r="E174" s="15" t="n">
        <x:v>46270.416666666664</x:v>
      </x:c>
      <x:c r="F174" s="15" t="n">
        <x:v>46277.416666666664</x:v>
      </x:c>
      <x:c r="G174" s="15" t="n">
        <x:v>46284.458333333336</x:v>
      </x:c>
      <x:c r="H174" s="14" t="n">
        <x:v>2</x:v>
      </x:c>
      <x:c r="I174" s="1" t="n">
        <x:f>IF(AND(E174&lt;Reporting!$B$4,OR(G174="",G174&gt;=Reporting!$B$4)),1,0)</x:f>
        <x:v>0</x:v>
      </x:c>
      <x:c r="J174" s="1" t="n">
        <x:f>IF(AND(I174=1,F174&lt;Reporting!$B$4),1,0)</x:f>
        <x:v>0</x:v>
      </x:c>
      <x:c r="K174" s="1" t="n">
        <x:f>IF(F174&lt;Reporting!$B$4,1,0)</x:f>
        <x:v>1</x:v>
      </x:c>
      <x:c r="L174" s="1" t="n">
        <x:f>IF(AND(K174=1,G174&lt;&gt;"",G174&lt;=F174),1,0)</x:f>
        <x:v>0</x:v>
      </x:c>
      <x:c r="M174" s="1" t="n">
        <x:f>IF(AND(G174&lt;&gt;"",G174&lt;Reporting!$B$4),1,0)</x:f>
        <x:v>1</x:v>
      </x:c>
      <x:c r="N174" s="16" t="n">
        <x:f>IF(M174=1,G174-E174,"")</x:f>
        <x:v>14.041666666671517</x:v>
      </x:c>
      <x:c r="O174" s="1" t="str">
        <x:f>IF(E174&gt;=Reporting!$B$4,"Outside cutoff",IF(M174=1,"Closed",IF(J174=1,"Overdue","Open - within SLA")))</x:f>
        <x:v>Closed</x:v>
      </x:c>
    </x:row>
    <x:row r="175">
      <x:c r="A175" s="14" t="str">
        <x:v>CASE-00170</x:v>
      </x:c>
      <x:c r="B175" s="14" t="str">
        <x:v>Warehouse</x:v>
      </x:c>
      <x:c r="C175" s="14" t="str">
        <x:v>Process deviation</x:v>
      </x:c>
      <x:c r="D175" s="14" t="str">
        <x:v>High</x:v>
      </x:c>
      <x:c r="E175" s="15" t="n">
        <x:v>46209.541666666664</x:v>
      </x:c>
      <x:c r="F175" s="15" t="n">
        <x:v>46212.541666666664</x:v>
      </x:c>
      <x:c r="G175" s="15" t="n">
        <x:v>46215.541666666664</x:v>
      </x:c>
      <x:c r="H175" s="14" t="n">
        <x:v>2</x:v>
      </x:c>
      <x:c r="I175" s="1" t="n">
        <x:f>IF(AND(E175&lt;Reporting!$B$4,OR(G175="",G175&gt;=Reporting!$B$4)),1,0)</x:f>
        <x:v>0</x:v>
      </x:c>
      <x:c r="J175" s="1" t="n">
        <x:f>IF(AND(I175=1,F175&lt;Reporting!$B$4),1,0)</x:f>
        <x:v>0</x:v>
      </x:c>
      <x:c r="K175" s="1" t="n">
        <x:f>IF(F175&lt;Reporting!$B$4,1,0)</x:f>
        <x:v>1</x:v>
      </x:c>
      <x:c r="L175" s="1" t="n">
        <x:f>IF(AND(K175=1,G175&lt;&gt;"",G175&lt;=F175),1,0)</x:f>
        <x:v>0</x:v>
      </x:c>
      <x:c r="M175" s="1" t="n">
        <x:f>IF(AND(G175&lt;&gt;"",G175&lt;Reporting!$B$4),1,0)</x:f>
        <x:v>1</x:v>
      </x:c>
      <x:c r="N175" s="16" t="n">
        <x:f>IF(M175=1,G175-E175,"")</x:f>
        <x:v>6</x:v>
      </x:c>
      <x:c r="O175" s="1" t="str">
        <x:f>IF(E175&gt;=Reporting!$B$4,"Outside cutoff",IF(M175=1,"Closed",IF(J175=1,"Overdue","Open - within SLA")))</x:f>
        <x:v>Closed</x:v>
      </x:c>
    </x:row>
    <x:row r="176">
      <x:c r="A176" s="14" t="str">
        <x:v>CASE-00171</x:v>
      </x:c>
      <x:c r="B176" s="14" t="str">
        <x:v>Installation</x:v>
      </x:c>
      <x:c r="C176" s="14" t="str">
        <x:v>Late review</x:v>
      </x:c>
      <x:c r="D176" s="14" t="str">
        <x:v>Medium</x:v>
      </x:c>
      <x:c r="E176" s="15" t="n">
        <x:v>46283.333333333336</x:v>
      </x:c>
      <x:c r="F176" s="15" t="n">
        <x:v>46290.333333333336</x:v>
      </x:c>
      <x:c r="G176" s="15" t="n">
        <x:v>46284.375</x:v>
      </x:c>
      <x:c r="H176" s="14" t="n">
        <x:v>3</x:v>
      </x:c>
      <x:c r="I176" s="1" t="n">
        <x:f>IF(AND(E176&lt;Reporting!$B$4,OR(G176="",G176&gt;=Reporting!$B$4)),1,0)</x:f>
        <x:v>0</x:v>
      </x:c>
      <x:c r="J176" s="1" t="n">
        <x:f>IF(AND(I176=1,F176&lt;Reporting!$B$4),1,0)</x:f>
        <x:v>0</x:v>
      </x:c>
      <x:c r="K176" s="1" t="n">
        <x:f>IF(F176&lt;Reporting!$B$4,1,0)</x:f>
        <x:v>0</x:v>
      </x:c>
      <x:c r="L176" s="1" t="n">
        <x:f>IF(AND(K176=1,G176&lt;&gt;"",G176&lt;=F176),1,0)</x:f>
        <x:v>0</x:v>
      </x:c>
      <x:c r="M176" s="1" t="n">
        <x:f>IF(AND(G176&lt;&gt;"",G176&lt;Reporting!$B$4),1,0)</x:f>
        <x:v>1</x:v>
      </x:c>
      <x:c r="N176" s="16" t="n">
        <x:f>IF(M176=1,G176-E176,"")</x:f>
        <x:v>1.0416666666642413</x:v>
      </x:c>
      <x:c r="O176" s="1" t="str">
        <x:f>IF(E176&gt;=Reporting!$B$4,"Outside cutoff",IF(M176=1,"Closed",IF(J176=1,"Overdue","Open - within SLA")))</x:f>
        <x:v>Closed</x:v>
      </x:c>
    </x:row>
    <x:row r="177">
      <x:c r="A177" s="14" t="str">
        <x:v>CASE-00172</x:v>
      </x:c>
      <x:c r="B177" s="14" t="str">
        <x:v>Customer Services</x:v>
      </x:c>
      <x:c r="C177" s="14" t="str">
        <x:v>Record mismatch</x:v>
      </x:c>
      <x:c r="D177" s="14" t="str">
        <x:v>High</x:v>
      </x:c>
      <x:c r="E177" s="15" t="n">
        <x:v>46264.333333333336</x:v>
      </x:c>
      <x:c r="F177" s="15" t="n">
        <x:v>46267.333333333336</x:v>
      </x:c>
      <x:c r="G177" s="15" t="n">
        <x:v>46276.375</x:v>
      </x:c>
      <x:c r="H177" s="14" t="n">
        <x:v>1</x:v>
      </x:c>
      <x:c r="I177" s="1" t="n">
        <x:f>IF(AND(E177&lt;Reporting!$B$4,OR(G177="",G177&gt;=Reporting!$B$4)),1,0)</x:f>
        <x:v>0</x:v>
      </x:c>
      <x:c r="J177" s="1" t="n">
        <x:f>IF(AND(I177=1,F177&lt;Reporting!$B$4),1,0)</x:f>
        <x:v>0</x:v>
      </x:c>
      <x:c r="K177" s="1" t="n">
        <x:f>IF(F177&lt;Reporting!$B$4,1,0)</x:f>
        <x:v>1</x:v>
      </x:c>
      <x:c r="L177" s="1" t="n">
        <x:f>IF(AND(K177=1,G177&lt;&gt;"",G177&lt;=F177),1,0)</x:f>
        <x:v>0</x:v>
      </x:c>
      <x:c r="M177" s="1" t="n">
        <x:f>IF(AND(G177&lt;&gt;"",G177&lt;Reporting!$B$4),1,0)</x:f>
        <x:v>1</x:v>
      </x:c>
      <x:c r="N177" s="16" t="n">
        <x:f>IF(M177=1,G177-E177,"")</x:f>
        <x:v>12.041666666664241</x:v>
      </x:c>
      <x:c r="O177" s="1" t="str">
        <x:f>IF(E177&gt;=Reporting!$B$4,"Outside cutoff",IF(M177=1,"Closed",IF(J177=1,"Overdue","Open - within SLA")))</x:f>
        <x:v>Closed</x:v>
      </x:c>
    </x:row>
    <x:row r="178">
      <x:c r="A178" s="14" t="str">
        <x:v>CASE-00173</x:v>
      </x:c>
      <x:c r="B178" s="14" t="str">
        <x:v>Customer Services</x:v>
      </x:c>
      <x:c r="C178" s="14" t="str">
        <x:v>Late review</x:v>
      </x:c>
      <x:c r="D178" s="14" t="str">
        <x:v>High</x:v>
      </x:c>
      <x:c r="E178" s="15" t="n">
        <x:v>46254.666666666664</x:v>
      </x:c>
      <x:c r="F178" s="15" t="n">
        <x:v>46257.666666666664</x:v>
      </x:c>
      <x:c r="G178" s="15" t="n">
        <x:v>46262.75</x:v>
      </x:c>
      <x:c r="H178" s="14" t="n">
        <x:v>1</x:v>
      </x:c>
      <x:c r="I178" s="1" t="n">
        <x:f>IF(AND(E178&lt;Reporting!$B$4,OR(G178="",G178&gt;=Reporting!$B$4)),1,0)</x:f>
        <x:v>0</x:v>
      </x:c>
      <x:c r="J178" s="1" t="n">
        <x:f>IF(AND(I178=1,F178&lt;Reporting!$B$4),1,0)</x:f>
        <x:v>0</x:v>
      </x:c>
      <x:c r="K178" s="1" t="n">
        <x:f>IF(F178&lt;Reporting!$B$4,1,0)</x:f>
        <x:v>1</x:v>
      </x:c>
      <x:c r="L178" s="1" t="n">
        <x:f>IF(AND(K178=1,G178&lt;&gt;"",G178&lt;=F178),1,0)</x:f>
        <x:v>0</x:v>
      </x:c>
      <x:c r="M178" s="1" t="n">
        <x:f>IF(AND(G178&lt;&gt;"",G178&lt;Reporting!$B$4),1,0)</x:f>
        <x:v>1</x:v>
      </x:c>
      <x:c r="N178" s="16" t="n">
        <x:f>IF(M178=1,G178-E178,"")</x:f>
        <x:v>8.083333333335759</x:v>
      </x:c>
      <x:c r="O178" s="1" t="str">
        <x:f>IF(E178&gt;=Reporting!$B$4,"Outside cutoff",IF(M178=1,"Closed",IF(J178=1,"Overdue","Open - within SLA")))</x:f>
        <x:v>Closed</x:v>
      </x:c>
    </x:row>
    <x:row r="179">
      <x:c r="A179" s="14" t="str">
        <x:v>CASE-00174</x:v>
      </x:c>
      <x:c r="B179" s="14" t="str">
        <x:v>Customer Services</x:v>
      </x:c>
      <x:c r="C179" s="14" t="str">
        <x:v>Missing evidence</x:v>
      </x:c>
      <x:c r="D179" s="14" t="str">
        <x:v>Medium</x:v>
      </x:c>
      <x:c r="E179" s="15" t="n">
        <x:v>46254.5</x:v>
      </x:c>
      <x:c r="F179" s="15" t="n">
        <x:v>46261.5</x:v>
      </x:c>
      <x:c r="G179" s="15" t="n">
        <x:v>46271.541666666664</x:v>
      </x:c>
      <x:c r="H179" s="14" t="n">
        <x:v>1</x:v>
      </x:c>
      <x:c r="I179" s="1" t="n">
        <x:f>IF(AND(E179&lt;Reporting!$B$4,OR(G179="",G179&gt;=Reporting!$B$4)),1,0)</x:f>
        <x:v>0</x:v>
      </x:c>
      <x:c r="J179" s="1" t="n">
        <x:f>IF(AND(I179=1,F179&lt;Reporting!$B$4),1,0)</x:f>
        <x:v>0</x:v>
      </x:c>
      <x:c r="K179" s="1" t="n">
        <x:f>IF(F179&lt;Reporting!$B$4,1,0)</x:f>
        <x:v>1</x:v>
      </x:c>
      <x:c r="L179" s="1" t="n">
        <x:f>IF(AND(K179=1,G179&lt;&gt;"",G179&lt;=F179),1,0)</x:f>
        <x:v>0</x:v>
      </x:c>
      <x:c r="M179" s="1" t="n">
        <x:f>IF(AND(G179&lt;&gt;"",G179&lt;Reporting!$B$4),1,0)</x:f>
        <x:v>1</x:v>
      </x:c>
      <x:c r="N179" s="16" t="n">
        <x:f>IF(M179=1,G179-E179,"")</x:f>
        <x:v>17.04166666666424</x:v>
      </x:c>
      <x:c r="O179" s="1" t="str">
        <x:f>IF(E179&gt;=Reporting!$B$4,"Outside cutoff",IF(M179=1,"Closed",IF(J179=1,"Overdue","Open - within SLA")))</x:f>
        <x:v>Closed</x:v>
      </x:c>
    </x:row>
    <x:row r="180">
      <x:c r="A180" s="14" t="str">
        <x:v>CASE-00175</x:v>
      </x:c>
      <x:c r="B180" s="14" t="str">
        <x:v>Installation</x:v>
      </x:c>
      <x:c r="C180" s="14" t="str">
        <x:v>Record mismatch</x:v>
      </x:c>
      <x:c r="D180" s="14" t="str">
        <x:v>Medium</x:v>
      </x:c>
      <x:c r="E180" s="15" t="n">
        <x:v>46279.666666666664</x:v>
      </x:c>
      <x:c r="F180" s="15" t="n">
        <x:v>46286.666666666664</x:v>
      </x:c>
      <x:c r="G180" s="15"/>
      <x:c r="H180" s="14" t="n">
        <x:v>3</x:v>
      </x:c>
      <x:c r="I180" s="1" t="n">
        <x:f>IF(AND(E180&lt;Reporting!$B$4,OR(G180="",G180&gt;=Reporting!$B$4)),1,0)</x:f>
        <x:v>1</x:v>
      </x:c>
      <x:c r="J180" s="1" t="n">
        <x:f>IF(AND(I180=1,F180&lt;Reporting!$B$4),1,0)</x:f>
        <x:v>0</x:v>
      </x:c>
      <x:c r="K180" s="1" t="n">
        <x:f>IF(F180&lt;Reporting!$B$4,1,0)</x:f>
        <x:v>0</x:v>
      </x:c>
      <x:c r="L180" s="1" t="n">
        <x:f>IF(AND(K180=1,G180&lt;&gt;"",G180&lt;=F180),1,0)</x:f>
        <x:v>0</x:v>
      </x:c>
      <x:c r="M180" s="1" t="n">
        <x:f>IF(AND(G180&lt;&gt;"",G180&lt;Reporting!$B$4),1,0)</x:f>
        <x:v>0</x:v>
      </x:c>
      <x:c r="N180" s="16" t="str">
        <x:f>IF(M180=1,G180-E180,"")</x:f>
      </x:c>
      <x:c r="O180" s="1" t="str">
        <x:f>IF(E180&gt;=Reporting!$B$4,"Outside cutoff",IF(M180=1,"Closed",IF(J180=1,"Overdue","Open - within SLA")))</x:f>
        <x:v>Open - within SLA</x:v>
      </x:c>
    </x:row>
    <x:row r="181">
      <x:c r="A181" s="14" t="str">
        <x:v>CASE-00176</x:v>
      </x:c>
      <x:c r="B181" s="14" t="str">
        <x:v>Customer Services</x:v>
      </x:c>
      <x:c r="C181" s="14" t="str">
        <x:v>Late review</x:v>
      </x:c>
      <x:c r="D181" s="14" t="str">
        <x:v>Low</x:v>
      </x:c>
      <x:c r="E181" s="15" t="n">
        <x:v>46252.5</x:v>
      </x:c>
      <x:c r="F181" s="15" t="n">
        <x:v>46266.5</x:v>
      </x:c>
      <x:c r="G181" s="15" t="n">
        <x:v>46266.583333333336</x:v>
      </x:c>
      <x:c r="H181" s="14" t="n">
        <x:v>1</x:v>
      </x:c>
      <x:c r="I181" s="1" t="n">
        <x:f>IF(AND(E181&lt;Reporting!$B$4,OR(G181="",G181&gt;=Reporting!$B$4)),1,0)</x:f>
        <x:v>0</x:v>
      </x:c>
      <x:c r="J181" s="1" t="n">
        <x:f>IF(AND(I181=1,F181&lt;Reporting!$B$4),1,0)</x:f>
        <x:v>0</x:v>
      </x:c>
      <x:c r="K181" s="1" t="n">
        <x:f>IF(F181&lt;Reporting!$B$4,1,0)</x:f>
        <x:v>1</x:v>
      </x:c>
      <x:c r="L181" s="1" t="n">
        <x:f>IF(AND(K181=1,G181&lt;&gt;"",G181&lt;=F181),1,0)</x:f>
        <x:v>0</x:v>
      </x:c>
      <x:c r="M181" s="1" t="n">
        <x:f>IF(AND(G181&lt;&gt;"",G181&lt;Reporting!$B$4),1,0)</x:f>
        <x:v>1</x:v>
      </x:c>
      <x:c r="N181" s="16" t="n">
        <x:f>IF(M181=1,G181-E181,"")</x:f>
        <x:v>14.083333333335759</x:v>
      </x:c>
      <x:c r="O181" s="1" t="str">
        <x:f>IF(E181&gt;=Reporting!$B$4,"Outside cutoff",IF(M181=1,"Closed",IF(J181=1,"Overdue","Open - within SLA")))</x:f>
        <x:v>Closed</x:v>
      </x:c>
    </x:row>
    <x:row r="182">
      <x:c r="A182" s="14" t="str">
        <x:v>CASE-00177</x:v>
      </x:c>
      <x:c r="B182" s="14" t="str">
        <x:v>Customer Services</x:v>
      </x:c>
      <x:c r="C182" s="14" t="str">
        <x:v>Record mismatch</x:v>
      </x:c>
      <x:c r="D182" s="14" t="str">
        <x:v>Medium</x:v>
      </x:c>
      <x:c r="E182" s="15" t="n">
        <x:v>46254.375</x:v>
      </x:c>
      <x:c r="F182" s="15" t="n">
        <x:v>46261.375</x:v>
      </x:c>
      <x:c r="G182" s="15"/>
      <x:c r="H182" s="14" t="n">
        <x:v>1</x:v>
      </x:c>
      <x:c r="I182" s="1" t="n">
        <x:f>IF(AND(E182&lt;Reporting!$B$4,OR(G182="",G182&gt;=Reporting!$B$4)),1,0)</x:f>
        <x:v>1</x:v>
      </x:c>
      <x:c r="J182" s="1" t="n">
        <x:f>IF(AND(I182=1,F182&lt;Reporting!$B$4),1,0)</x:f>
        <x:v>1</x:v>
      </x:c>
      <x:c r="K182" s="1" t="n">
        <x:f>IF(F182&lt;Reporting!$B$4,1,0)</x:f>
        <x:v>1</x:v>
      </x:c>
      <x:c r="L182" s="1" t="n">
        <x:f>IF(AND(K182=1,G182&lt;&gt;"",G182&lt;=F182),1,0)</x:f>
        <x:v>0</x:v>
      </x:c>
      <x:c r="M182" s="1" t="n">
        <x:f>IF(AND(G182&lt;&gt;"",G182&lt;Reporting!$B$4),1,0)</x:f>
        <x:v>0</x:v>
      </x:c>
      <x:c r="N182" s="16" t="str">
        <x:f>IF(M182=1,G182-E182,"")</x:f>
      </x:c>
      <x:c r="O182" s="1" t="str">
        <x:f>IF(E182&gt;=Reporting!$B$4,"Outside cutoff",IF(M182=1,"Closed",IF(J182=1,"Overdue","Open - within SLA")))</x:f>
        <x:v>Overdue</x:v>
      </x:c>
    </x:row>
    <x:row r="183">
      <x:c r="A183" s="14" t="str">
        <x:v>CASE-00178</x:v>
      </x:c>
      <x:c r="B183" s="14" t="str">
        <x:v>Installation</x:v>
      </x:c>
      <x:c r="C183" s="14" t="str">
        <x:v>Record mismatch</x:v>
      </x:c>
      <x:c r="D183" s="14" t="str">
        <x:v>Low</x:v>
      </x:c>
      <x:c r="E183" s="15" t="n">
        <x:v>46218.458333333336</x:v>
      </x:c>
      <x:c r="F183" s="15" t="n">
        <x:v>46232.458333333336</x:v>
      </x:c>
      <x:c r="G183" s="15" t="n">
        <x:v>46233.458333333336</x:v>
      </x:c>
      <x:c r="H183" s="14" t="n">
        <x:v>3</x:v>
      </x:c>
      <x:c r="I183" s="1" t="n">
        <x:f>IF(AND(E183&lt;Reporting!$B$4,OR(G183="",G183&gt;=Reporting!$B$4)),1,0)</x:f>
        <x:v>0</x:v>
      </x:c>
      <x:c r="J183" s="1" t="n">
        <x:f>IF(AND(I183=1,F183&lt;Reporting!$B$4),1,0)</x:f>
        <x:v>0</x:v>
      </x:c>
      <x:c r="K183" s="1" t="n">
        <x:f>IF(F183&lt;Reporting!$B$4,1,0)</x:f>
        <x:v>1</x:v>
      </x:c>
      <x:c r="L183" s="1" t="n">
        <x:f>IF(AND(K183=1,G183&lt;&gt;"",G183&lt;=F183),1,0)</x:f>
        <x:v>0</x:v>
      </x:c>
      <x:c r="M183" s="1" t="n">
        <x:f>IF(AND(G183&lt;&gt;"",G183&lt;Reporting!$B$4),1,0)</x:f>
        <x:v>1</x:v>
      </x:c>
      <x:c r="N183" s="16" t="n">
        <x:f>IF(M183=1,G183-E183,"")</x:f>
        <x:v>15</x:v>
      </x:c>
      <x:c r="O183" s="1" t="str">
        <x:f>IF(E183&gt;=Reporting!$B$4,"Outside cutoff",IF(M183=1,"Closed",IF(J183=1,"Overdue","Open - within SLA")))</x:f>
        <x:v>Closed</x:v>
      </x:c>
    </x:row>
    <x:row r="184">
      <x:c r="A184" s="14" t="str">
        <x:v>CASE-00179</x:v>
      </x:c>
      <x:c r="B184" s="14" t="str">
        <x:v>Customer Services</x:v>
      </x:c>
      <x:c r="C184" s="14" t="str">
        <x:v>Record mismatch</x:v>
      </x:c>
      <x:c r="D184" s="14" t="str">
        <x:v>High</x:v>
      </x:c>
      <x:c r="E184" s="15" t="n">
        <x:v>46211.583333333336</x:v>
      </x:c>
      <x:c r="F184" s="15" t="n">
        <x:v>46214.583333333336</x:v>
      </x:c>
      <x:c r="G184" s="15" t="n">
        <x:v>46216.625</x:v>
      </x:c>
      <x:c r="H184" s="14" t="n">
        <x:v>1</x:v>
      </x:c>
      <x:c r="I184" s="1" t="n">
        <x:f>IF(AND(E184&lt;Reporting!$B$4,OR(G184="",G184&gt;=Reporting!$B$4)),1,0)</x:f>
        <x:v>0</x:v>
      </x:c>
      <x:c r="J184" s="1" t="n">
        <x:f>IF(AND(I184=1,F184&lt;Reporting!$B$4),1,0)</x:f>
        <x:v>0</x:v>
      </x:c>
      <x:c r="K184" s="1" t="n">
        <x:f>IF(F184&lt;Reporting!$B$4,1,0)</x:f>
        <x:v>1</x:v>
      </x:c>
      <x:c r="L184" s="1" t="n">
        <x:f>IF(AND(K184=1,G184&lt;&gt;"",G184&lt;=F184),1,0)</x:f>
        <x:v>0</x:v>
      </x:c>
      <x:c r="M184" s="1" t="n">
        <x:f>IF(AND(G184&lt;&gt;"",G184&lt;Reporting!$B$4),1,0)</x:f>
        <x:v>1</x:v>
      </x:c>
      <x:c r="N184" s="16" t="n">
        <x:f>IF(M184=1,G184-E184,"")</x:f>
        <x:v>5.041666666664241</x:v>
      </x:c>
      <x:c r="O184" s="1" t="str">
        <x:f>IF(E184&gt;=Reporting!$B$4,"Outside cutoff",IF(M184=1,"Closed",IF(J184=1,"Overdue","Open - within SLA")))</x:f>
        <x:v>Closed</x:v>
      </x:c>
    </x:row>
    <x:row r="185">
      <x:c r="A185" s="14" t="str">
        <x:v>CASE-00180</x:v>
      </x:c>
      <x:c r="B185" s="14" t="str">
        <x:v>Customer Services</x:v>
      </x:c>
      <x:c r="C185" s="14" t="str">
        <x:v>Process deviation</x:v>
      </x:c>
      <x:c r="D185" s="14" t="str">
        <x:v>Medium</x:v>
      </x:c>
      <x:c r="E185" s="15" t="n">
        <x:v>46268.583333333336</x:v>
      </x:c>
      <x:c r="F185" s="15" t="n">
        <x:v>46275.583333333336</x:v>
      </x:c>
      <x:c r="G185" s="15" t="n">
        <x:v>46281.666666666664</x:v>
      </x:c>
      <x:c r="H185" s="14" t="n">
        <x:v>1</x:v>
      </x:c>
      <x:c r="I185" s="1" t="n">
        <x:f>IF(AND(E185&lt;Reporting!$B$4,OR(G185="",G185&gt;=Reporting!$B$4)),1,0)</x:f>
        <x:v>0</x:v>
      </x:c>
      <x:c r="J185" s="1" t="n">
        <x:f>IF(AND(I185=1,F185&lt;Reporting!$B$4),1,0)</x:f>
        <x:v>0</x:v>
      </x:c>
      <x:c r="K185" s="1" t="n">
        <x:f>IF(F185&lt;Reporting!$B$4,1,0)</x:f>
        <x:v>1</x:v>
      </x:c>
      <x:c r="L185" s="1" t="n">
        <x:f>IF(AND(K185=1,G185&lt;&gt;"",G185&lt;=F185),1,0)</x:f>
        <x:v>0</x:v>
      </x:c>
      <x:c r="M185" s="1" t="n">
        <x:f>IF(AND(G185&lt;&gt;"",G185&lt;Reporting!$B$4),1,0)</x:f>
        <x:v>1</x:v>
      </x:c>
      <x:c r="N185" s="16" t="n">
        <x:f>IF(M185=1,G185-E185,"")</x:f>
        <x:v>13.083333333328483</x:v>
      </x:c>
      <x:c r="O185" s="1" t="str">
        <x:f>IF(E185&gt;=Reporting!$B$4,"Outside cutoff",IF(M185=1,"Closed",IF(J185=1,"Overdue","Open - within SLA")))</x:f>
        <x:v>Closed</x:v>
      </x:c>
    </x:row>
    <x:row r="186">
      <x:c r="A186" s="14" t="str">
        <x:v>CASE-00181</x:v>
      </x:c>
      <x:c r="B186" s="14" t="str">
        <x:v>Customer Services</x:v>
      </x:c>
      <x:c r="C186" s="14" t="str">
        <x:v>Record mismatch</x:v>
      </x:c>
      <x:c r="D186" s="14" t="str">
        <x:v>Medium</x:v>
      </x:c>
      <x:c r="E186" s="15" t="n">
        <x:v>46214.333333333336</x:v>
      </x:c>
      <x:c r="F186" s="15" t="n">
        <x:v>46221.333333333336</x:v>
      </x:c>
      <x:c r="G186" s="15" t="n">
        <x:v>46219.416666666664</x:v>
      </x:c>
      <x:c r="H186" s="14" t="n">
        <x:v>1</x:v>
      </x:c>
      <x:c r="I186" s="1" t="n">
        <x:f>IF(AND(E186&lt;Reporting!$B$4,OR(G186="",G186&gt;=Reporting!$B$4)),1,0)</x:f>
        <x:v>0</x:v>
      </x:c>
      <x:c r="J186" s="1" t="n">
        <x:f>IF(AND(I186=1,F186&lt;Reporting!$B$4),1,0)</x:f>
        <x:v>0</x:v>
      </x:c>
      <x:c r="K186" s="1" t="n">
        <x:f>IF(F186&lt;Reporting!$B$4,1,0)</x:f>
        <x:v>1</x:v>
      </x:c>
      <x:c r="L186" s="1" t="n">
        <x:f>IF(AND(K186=1,G186&lt;&gt;"",G186&lt;=F186),1,0)</x:f>
        <x:v>1</x:v>
      </x:c>
      <x:c r="M186" s="1" t="n">
        <x:f>IF(AND(G186&lt;&gt;"",G186&lt;Reporting!$B$4),1,0)</x:f>
        <x:v>1</x:v>
      </x:c>
      <x:c r="N186" s="16" t="n">
        <x:f>IF(M186=1,G186-E186,"")</x:f>
        <x:v>5.083333333328483</x:v>
      </x:c>
      <x:c r="O186" s="1" t="str">
        <x:f>IF(E186&gt;=Reporting!$B$4,"Outside cutoff",IF(M186=1,"Closed",IF(J186=1,"Overdue","Open - within SLA")))</x:f>
        <x:v>Closed</x:v>
      </x:c>
    </x:row>
    <x:row r="187">
      <x:c r="A187" s="14" t="str">
        <x:v>CASE-00182</x:v>
      </x:c>
      <x:c r="B187" s="14" t="str">
        <x:v>Warehouse</x:v>
      </x:c>
      <x:c r="C187" s="14" t="str">
        <x:v>Missing evidence</x:v>
      </x:c>
      <x:c r="D187" s="14" t="str">
        <x:v>Medium</x:v>
      </x:c>
      <x:c r="E187" s="15" t="n">
        <x:v>46281.583333333336</x:v>
      </x:c>
      <x:c r="F187" s="15" t="n">
        <x:v>46288.583333333336</x:v>
      </x:c>
      <x:c r="G187" s="15"/>
      <x:c r="H187" s="14" t="n">
        <x:v>2</x:v>
      </x:c>
      <x:c r="I187" s="1" t="n">
        <x:f>IF(AND(E187&lt;Reporting!$B$4,OR(G187="",G187&gt;=Reporting!$B$4)),1,0)</x:f>
        <x:v>1</x:v>
      </x:c>
      <x:c r="J187" s="1" t="n">
        <x:f>IF(AND(I187=1,F187&lt;Reporting!$B$4),1,0)</x:f>
        <x:v>0</x:v>
      </x:c>
      <x:c r="K187" s="1" t="n">
        <x:f>IF(F187&lt;Reporting!$B$4,1,0)</x:f>
        <x:v>0</x:v>
      </x:c>
      <x:c r="L187" s="1" t="n">
        <x:f>IF(AND(K187=1,G187&lt;&gt;"",G187&lt;=F187),1,0)</x:f>
        <x:v>0</x:v>
      </x:c>
      <x:c r="M187" s="1" t="n">
        <x:f>IF(AND(G187&lt;&gt;"",G187&lt;Reporting!$B$4),1,0)</x:f>
        <x:v>0</x:v>
      </x:c>
      <x:c r="N187" s="16" t="str">
        <x:f>IF(M187=1,G187-E187,"")</x:f>
      </x:c>
      <x:c r="O187" s="1" t="str">
        <x:f>IF(E187&gt;=Reporting!$B$4,"Outside cutoff",IF(M187=1,"Closed",IF(J187=1,"Overdue","Open - within SLA")))</x:f>
        <x:v>Open - within SLA</x:v>
      </x:c>
    </x:row>
    <x:row r="188">
      <x:c r="A188" s="14" t="str">
        <x:v>CASE-00183</x:v>
      </x:c>
      <x:c r="B188" s="14" t="str">
        <x:v>Customer Services</x:v>
      </x:c>
      <x:c r="C188" s="14" t="str">
        <x:v>Late review</x:v>
      </x:c>
      <x:c r="D188" s="14" t="str">
        <x:v>Medium</x:v>
      </x:c>
      <x:c r="E188" s="15" t="n">
        <x:v>46277.583333333336</x:v>
      </x:c>
      <x:c r="F188" s="15" t="n">
        <x:v>46284.583333333336</x:v>
      </x:c>
      <x:c r="G188" s="15"/>
      <x:c r="H188" s="14" t="n">
        <x:v>1</x:v>
      </x:c>
      <x:c r="I188" s="1" t="n">
        <x:f>IF(AND(E188&lt;Reporting!$B$4,OR(G188="",G188&gt;=Reporting!$B$4)),1,0)</x:f>
        <x:v>1</x:v>
      </x:c>
      <x:c r="J188" s="1" t="n">
        <x:f>IF(AND(I188=1,F188&lt;Reporting!$B$4),1,0)</x:f>
        <x:v>1</x:v>
      </x:c>
      <x:c r="K188" s="1" t="n">
        <x:f>IF(F188&lt;Reporting!$B$4,1,0)</x:f>
        <x:v>1</x:v>
      </x:c>
      <x:c r="L188" s="1" t="n">
        <x:f>IF(AND(K188=1,G188&lt;&gt;"",G188&lt;=F188),1,0)</x:f>
        <x:v>0</x:v>
      </x:c>
      <x:c r="M188" s="1" t="n">
        <x:f>IF(AND(G188&lt;&gt;"",G188&lt;Reporting!$B$4),1,0)</x:f>
        <x:v>0</x:v>
      </x:c>
      <x:c r="N188" s="16" t="str">
        <x:f>IF(M188=1,G188-E188,"")</x:f>
      </x:c>
      <x:c r="O188" s="1" t="str">
        <x:f>IF(E188&gt;=Reporting!$B$4,"Outside cutoff",IF(M188=1,"Closed",IF(J188=1,"Overdue","Open - within SLA")))</x:f>
        <x:v>Overdue</x:v>
      </x:c>
    </x:row>
    <x:row r="189">
      <x:c r="A189" s="14" t="str">
        <x:v>CASE-00184</x:v>
      </x:c>
      <x:c r="B189" s="14" t="str">
        <x:v>Installation</x:v>
      </x:c>
      <x:c r="C189" s="14" t="str">
        <x:v>Missing evidence</x:v>
      </x:c>
      <x:c r="D189" s="14" t="str">
        <x:v>Medium</x:v>
      </x:c>
      <x:c r="E189" s="15" t="n">
        <x:v>46267.583333333336</x:v>
      </x:c>
      <x:c r="F189" s="15" t="n">
        <x:v>46274.583333333336</x:v>
      </x:c>
      <x:c r="G189" s="15" t="n">
        <x:v>46278.666666666664</x:v>
      </x:c>
      <x:c r="H189" s="14" t="n">
        <x:v>3</x:v>
      </x:c>
      <x:c r="I189" s="1" t="n">
        <x:f>IF(AND(E189&lt;Reporting!$B$4,OR(G189="",G189&gt;=Reporting!$B$4)),1,0)</x:f>
        <x:v>0</x:v>
      </x:c>
      <x:c r="J189" s="1" t="n">
        <x:f>IF(AND(I189=1,F189&lt;Reporting!$B$4),1,0)</x:f>
        <x:v>0</x:v>
      </x:c>
      <x:c r="K189" s="1" t="n">
        <x:f>IF(F189&lt;Reporting!$B$4,1,0)</x:f>
        <x:v>1</x:v>
      </x:c>
      <x:c r="L189" s="1" t="n">
        <x:f>IF(AND(K189=1,G189&lt;&gt;"",G189&lt;=F189),1,0)</x:f>
        <x:v>0</x:v>
      </x:c>
      <x:c r="M189" s="1" t="n">
        <x:f>IF(AND(G189&lt;&gt;"",G189&lt;Reporting!$B$4),1,0)</x:f>
        <x:v>1</x:v>
      </x:c>
      <x:c r="N189" s="16" t="n">
        <x:f>IF(M189=1,G189-E189,"")</x:f>
        <x:v>11.083333333328483</x:v>
      </x:c>
      <x:c r="O189" s="1" t="str">
        <x:f>IF(E189&gt;=Reporting!$B$4,"Outside cutoff",IF(M189=1,"Closed",IF(J189=1,"Overdue","Open - within SLA")))</x:f>
        <x:v>Closed</x:v>
      </x:c>
    </x:row>
    <x:row r="190">
      <x:c r="A190" s="14" t="str">
        <x:v>CASE-00185</x:v>
      </x:c>
      <x:c r="B190" s="14" t="str">
        <x:v>Warehouse</x:v>
      </x:c>
      <x:c r="C190" s="14" t="str">
        <x:v>Missing evidence</x:v>
      </x:c>
      <x:c r="D190" s="14" t="str">
        <x:v>Medium</x:v>
      </x:c>
      <x:c r="E190" s="15" t="n">
        <x:v>46256.458333333336</x:v>
      </x:c>
      <x:c r="F190" s="15" t="n">
        <x:v>46263.458333333336</x:v>
      </x:c>
      <x:c r="G190" s="15" t="n">
        <x:v>46282.5</x:v>
      </x:c>
      <x:c r="H190" s="14" t="n">
        <x:v>2</x:v>
      </x:c>
      <x:c r="I190" s="1" t="n">
        <x:f>IF(AND(E190&lt;Reporting!$B$4,OR(G190="",G190&gt;=Reporting!$B$4)),1,0)</x:f>
        <x:v>0</x:v>
      </x:c>
      <x:c r="J190" s="1" t="n">
        <x:f>IF(AND(I190=1,F190&lt;Reporting!$B$4),1,0)</x:f>
        <x:v>0</x:v>
      </x:c>
      <x:c r="K190" s="1" t="n">
        <x:f>IF(F190&lt;Reporting!$B$4,1,0)</x:f>
        <x:v>1</x:v>
      </x:c>
      <x:c r="L190" s="1" t="n">
        <x:f>IF(AND(K190=1,G190&lt;&gt;"",G190&lt;=F190),1,0)</x:f>
        <x:v>0</x:v>
      </x:c>
      <x:c r="M190" s="1" t="n">
        <x:f>IF(AND(G190&lt;&gt;"",G190&lt;Reporting!$B$4),1,0)</x:f>
        <x:v>1</x:v>
      </x:c>
      <x:c r="N190" s="16" t="n">
        <x:f>IF(M190=1,G190-E190,"")</x:f>
        <x:v>26.04166666666424</x:v>
      </x:c>
      <x:c r="O190" s="1" t="str">
        <x:f>IF(E190&gt;=Reporting!$B$4,"Outside cutoff",IF(M190=1,"Closed",IF(J190=1,"Overdue","Open - within SLA")))</x:f>
        <x:v>Closed</x:v>
      </x:c>
    </x:row>
    <x:row r="191">
      <x:c r="A191" s="14" t="str">
        <x:v>CASE-00186</x:v>
      </x:c>
      <x:c r="B191" s="14" t="str">
        <x:v>Customer Services</x:v>
      </x:c>
      <x:c r="C191" s="14" t="str">
        <x:v>Record mismatch</x:v>
      </x:c>
      <x:c r="D191" s="14" t="str">
        <x:v>Medium</x:v>
      </x:c>
      <x:c r="E191" s="15" t="n">
        <x:v>46202.375</x:v>
      </x:c>
      <x:c r="F191" s="15" t="n">
        <x:v>46209.375</x:v>
      </x:c>
      <x:c r="G191" s="15" t="n">
        <x:v>46219.375</x:v>
      </x:c>
      <x:c r="H191" s="14" t="n">
        <x:v>1</x:v>
      </x:c>
      <x:c r="I191" s="1" t="n">
        <x:f>IF(AND(E191&lt;Reporting!$B$4,OR(G191="",G191&gt;=Reporting!$B$4)),1,0)</x:f>
        <x:v>0</x:v>
      </x:c>
      <x:c r="J191" s="1" t="n">
        <x:f>IF(AND(I191=1,F191&lt;Reporting!$B$4),1,0)</x:f>
        <x:v>0</x:v>
      </x:c>
      <x:c r="K191" s="1" t="n">
        <x:f>IF(F191&lt;Reporting!$B$4,1,0)</x:f>
        <x:v>1</x:v>
      </x:c>
      <x:c r="L191" s="1" t="n">
        <x:f>IF(AND(K191=1,G191&lt;&gt;"",G191&lt;=F191),1,0)</x:f>
        <x:v>0</x:v>
      </x:c>
      <x:c r="M191" s="1" t="n">
        <x:f>IF(AND(G191&lt;&gt;"",G191&lt;Reporting!$B$4),1,0)</x:f>
        <x:v>1</x:v>
      </x:c>
      <x:c r="N191" s="16" t="n">
        <x:f>IF(M191=1,G191-E191,"")</x:f>
        <x:v>17</x:v>
      </x:c>
      <x:c r="O191" s="1" t="str">
        <x:f>IF(E191&gt;=Reporting!$B$4,"Outside cutoff",IF(M191=1,"Closed",IF(J191=1,"Overdue","Open - within SLA")))</x:f>
        <x:v>Closed</x:v>
      </x:c>
    </x:row>
    <x:row r="192">
      <x:c r="A192" s="14" t="str">
        <x:v>CASE-00187</x:v>
      </x:c>
      <x:c r="B192" s="14" t="str">
        <x:v>Installation</x:v>
      </x:c>
      <x:c r="C192" s="14" t="str">
        <x:v>Process deviation</x:v>
      </x:c>
      <x:c r="D192" s="14" t="str">
        <x:v>Low</x:v>
      </x:c>
      <x:c r="E192" s="15" t="n">
        <x:v>46224.666666666664</x:v>
      </x:c>
      <x:c r="F192" s="15" t="n">
        <x:v>46238.666666666664</x:v>
      </x:c>
      <x:c r="G192" s="15" t="n">
        <x:v>46234.75</x:v>
      </x:c>
      <x:c r="H192" s="14" t="n">
        <x:v>3</x:v>
      </x:c>
      <x:c r="I192" s="1" t="n">
        <x:f>IF(AND(E192&lt;Reporting!$B$4,OR(G192="",G192&gt;=Reporting!$B$4)),1,0)</x:f>
        <x:v>0</x:v>
      </x:c>
      <x:c r="J192" s="1" t="n">
        <x:f>IF(AND(I192=1,F192&lt;Reporting!$B$4),1,0)</x:f>
        <x:v>0</x:v>
      </x:c>
      <x:c r="K192" s="1" t="n">
        <x:f>IF(F192&lt;Reporting!$B$4,1,0)</x:f>
        <x:v>1</x:v>
      </x:c>
      <x:c r="L192" s="1" t="n">
        <x:f>IF(AND(K192=1,G192&lt;&gt;"",G192&lt;=F192),1,0)</x:f>
        <x:v>1</x:v>
      </x:c>
      <x:c r="M192" s="1" t="n">
        <x:f>IF(AND(G192&lt;&gt;"",G192&lt;Reporting!$B$4),1,0)</x:f>
        <x:v>1</x:v>
      </x:c>
      <x:c r="N192" s="16" t="n">
        <x:f>IF(M192=1,G192-E192,"")</x:f>
        <x:v>10.083333333335759</x:v>
      </x:c>
      <x:c r="O192" s="1" t="str">
        <x:f>IF(E192&gt;=Reporting!$B$4,"Outside cutoff",IF(M192=1,"Closed",IF(J192=1,"Overdue","Open - within SLA")))</x:f>
        <x:v>Closed</x:v>
      </x:c>
    </x:row>
    <x:row r="193">
      <x:c r="A193" s="14" t="str">
        <x:v>CASE-00188</x:v>
      </x:c>
      <x:c r="B193" s="14" t="str">
        <x:v>Customer Services</x:v>
      </x:c>
      <x:c r="C193" s="14" t="str">
        <x:v>Late review</x:v>
      </x:c>
      <x:c r="D193" s="14" t="str">
        <x:v>Low</x:v>
      </x:c>
      <x:c r="E193" s="15" t="n">
        <x:v>46215.5</x:v>
      </x:c>
      <x:c r="F193" s="15" t="n">
        <x:v>46229.5</x:v>
      </x:c>
      <x:c r="G193" s="15" t="n">
        <x:v>46228.583333333336</x:v>
      </x:c>
      <x:c r="H193" s="14" t="n">
        <x:v>1</x:v>
      </x:c>
      <x:c r="I193" s="1" t="n">
        <x:f>IF(AND(E193&lt;Reporting!$B$4,OR(G193="",G193&gt;=Reporting!$B$4)),1,0)</x:f>
        <x:v>0</x:v>
      </x:c>
      <x:c r="J193" s="1" t="n">
        <x:f>IF(AND(I193=1,F193&lt;Reporting!$B$4),1,0)</x:f>
        <x:v>0</x:v>
      </x:c>
      <x:c r="K193" s="1" t="n">
        <x:f>IF(F193&lt;Reporting!$B$4,1,0)</x:f>
        <x:v>1</x:v>
      </x:c>
      <x:c r="L193" s="1" t="n">
        <x:f>IF(AND(K193=1,G193&lt;&gt;"",G193&lt;=F193),1,0)</x:f>
        <x:v>1</x:v>
      </x:c>
      <x:c r="M193" s="1" t="n">
        <x:f>IF(AND(G193&lt;&gt;"",G193&lt;Reporting!$B$4),1,0)</x:f>
        <x:v>1</x:v>
      </x:c>
      <x:c r="N193" s="16" t="n">
        <x:f>IF(M193=1,G193-E193,"")</x:f>
        <x:v>13.083333333335759</x:v>
      </x:c>
      <x:c r="O193" s="1" t="str">
        <x:f>IF(E193&gt;=Reporting!$B$4,"Outside cutoff",IF(M193=1,"Closed",IF(J193=1,"Overdue","Open - within SLA")))</x:f>
        <x:v>Closed</x:v>
      </x:c>
    </x:row>
    <x:row r="194">
      <x:c r="A194" s="14" t="str">
        <x:v>CASE-00189</x:v>
      </x:c>
      <x:c r="B194" s="14" t="str">
        <x:v>Warehouse</x:v>
      </x:c>
      <x:c r="C194" s="14" t="str">
        <x:v>Record mismatch</x:v>
      </x:c>
      <x:c r="D194" s="14" t="str">
        <x:v>High</x:v>
      </x:c>
      <x:c r="E194" s="15" t="n">
        <x:v>46223.666666666664</x:v>
      </x:c>
      <x:c r="F194" s="15" t="n">
        <x:v>46226.666666666664</x:v>
      </x:c>
      <x:c r="G194" s="15" t="n">
        <x:v>46232.666666666664</x:v>
      </x:c>
      <x:c r="H194" s="14" t="n">
        <x:v>2</x:v>
      </x:c>
      <x:c r="I194" s="1" t="n">
        <x:f>IF(AND(E194&lt;Reporting!$B$4,OR(G194="",G194&gt;=Reporting!$B$4)),1,0)</x:f>
        <x:v>0</x:v>
      </x:c>
      <x:c r="J194" s="1" t="n">
        <x:f>IF(AND(I194=1,F194&lt;Reporting!$B$4),1,0)</x:f>
        <x:v>0</x:v>
      </x:c>
      <x:c r="K194" s="1" t="n">
        <x:f>IF(F194&lt;Reporting!$B$4,1,0)</x:f>
        <x:v>1</x:v>
      </x:c>
      <x:c r="L194" s="1" t="n">
        <x:f>IF(AND(K194=1,G194&lt;&gt;"",G194&lt;=F194),1,0)</x:f>
        <x:v>0</x:v>
      </x:c>
      <x:c r="M194" s="1" t="n">
        <x:f>IF(AND(G194&lt;&gt;"",G194&lt;Reporting!$B$4),1,0)</x:f>
        <x:v>1</x:v>
      </x:c>
      <x:c r="N194" s="16" t="n">
        <x:f>IF(M194=1,G194-E194,"")</x:f>
        <x:v>9</x:v>
      </x:c>
      <x:c r="O194" s="1" t="str">
        <x:f>IF(E194&gt;=Reporting!$B$4,"Outside cutoff",IF(M194=1,"Closed",IF(J194=1,"Overdue","Open - within SLA")))</x:f>
        <x:v>Closed</x:v>
      </x:c>
    </x:row>
    <x:row r="195">
      <x:c r="A195" s="14" t="str">
        <x:v>CASE-00190</x:v>
      </x:c>
      <x:c r="B195" s="14" t="str">
        <x:v>Customer Services</x:v>
      </x:c>
      <x:c r="C195" s="14" t="str">
        <x:v>Process deviation</x:v>
      </x:c>
      <x:c r="D195" s="14" t="str">
        <x:v>High</x:v>
      </x:c>
      <x:c r="E195" s="15" t="n">
        <x:v>46264.5</x:v>
      </x:c>
      <x:c r="F195" s="15" t="n">
        <x:v>46267.5</x:v>
      </x:c>
      <x:c r="G195" s="15" t="n">
        <x:v>46275.541666666664</x:v>
      </x:c>
      <x:c r="H195" s="14" t="n">
        <x:v>1</x:v>
      </x:c>
      <x:c r="I195" s="1" t="n">
        <x:f>IF(AND(E195&lt;Reporting!$B$4,OR(G195="",G195&gt;=Reporting!$B$4)),1,0)</x:f>
        <x:v>0</x:v>
      </x:c>
      <x:c r="J195" s="1" t="n">
        <x:f>IF(AND(I195=1,F195&lt;Reporting!$B$4),1,0)</x:f>
        <x:v>0</x:v>
      </x:c>
      <x:c r="K195" s="1" t="n">
        <x:f>IF(F195&lt;Reporting!$B$4,1,0)</x:f>
        <x:v>1</x:v>
      </x:c>
      <x:c r="L195" s="1" t="n">
        <x:f>IF(AND(K195=1,G195&lt;&gt;"",G195&lt;=F195),1,0)</x:f>
        <x:v>0</x:v>
      </x:c>
      <x:c r="M195" s="1" t="n">
        <x:f>IF(AND(G195&lt;&gt;"",G195&lt;Reporting!$B$4),1,0)</x:f>
        <x:v>1</x:v>
      </x:c>
      <x:c r="N195" s="16" t="n">
        <x:f>IF(M195=1,G195-E195,"")</x:f>
        <x:v>11.041666666664241</x:v>
      </x:c>
      <x:c r="O195" s="1" t="str">
        <x:f>IF(E195&gt;=Reporting!$B$4,"Outside cutoff",IF(M195=1,"Closed",IF(J195=1,"Overdue","Open - within SLA")))</x:f>
        <x:v>Closed</x:v>
      </x:c>
    </x:row>
    <x:row r="196">
      <x:c r="A196" s="14" t="str">
        <x:v>CASE-00191</x:v>
      </x:c>
      <x:c r="B196" s="14" t="str">
        <x:v>Customer Services</x:v>
      </x:c>
      <x:c r="C196" s="14" t="str">
        <x:v>Process deviation</x:v>
      </x:c>
      <x:c r="D196" s="14" t="str">
        <x:v>Medium</x:v>
      </x:c>
      <x:c r="E196" s="15" t="n">
        <x:v>46249.375</x:v>
      </x:c>
      <x:c r="F196" s="15" t="n">
        <x:v>46256.375</x:v>
      </x:c>
      <x:c r="G196" s="15" t="n">
        <x:v>46267.416666666664</x:v>
      </x:c>
      <x:c r="H196" s="14" t="n">
        <x:v>1</x:v>
      </x:c>
      <x:c r="I196" s="1" t="n">
        <x:f>IF(AND(E196&lt;Reporting!$B$4,OR(G196="",G196&gt;=Reporting!$B$4)),1,0)</x:f>
        <x:v>0</x:v>
      </x:c>
      <x:c r="J196" s="1" t="n">
        <x:f>IF(AND(I196=1,F196&lt;Reporting!$B$4),1,0)</x:f>
        <x:v>0</x:v>
      </x:c>
      <x:c r="K196" s="1" t="n">
        <x:f>IF(F196&lt;Reporting!$B$4,1,0)</x:f>
        <x:v>1</x:v>
      </x:c>
      <x:c r="L196" s="1" t="n">
        <x:f>IF(AND(K196=1,G196&lt;&gt;"",G196&lt;=F196),1,0)</x:f>
        <x:v>0</x:v>
      </x:c>
      <x:c r="M196" s="1" t="n">
        <x:f>IF(AND(G196&lt;&gt;"",G196&lt;Reporting!$B$4),1,0)</x:f>
        <x:v>1</x:v>
      </x:c>
      <x:c r="N196" s="16" t="n">
        <x:f>IF(M196=1,G196-E196,"")</x:f>
        <x:v>18.04166666666424</x:v>
      </x:c>
      <x:c r="O196" s="1" t="str">
        <x:f>IF(E196&gt;=Reporting!$B$4,"Outside cutoff",IF(M196=1,"Closed",IF(J196=1,"Overdue","Open - within SLA")))</x:f>
        <x:v>Closed</x:v>
      </x:c>
    </x:row>
    <x:row r="197">
      <x:c r="A197" s="14" t="str">
        <x:v>CASE-00192</x:v>
      </x:c>
      <x:c r="B197" s="14" t="str">
        <x:v>Warehouse</x:v>
      </x:c>
      <x:c r="C197" s="14" t="str">
        <x:v>Late review</x:v>
      </x:c>
      <x:c r="D197" s="14" t="str">
        <x:v>Medium</x:v>
      </x:c>
      <x:c r="E197" s="15" t="n">
        <x:v>46254.583333333336</x:v>
      </x:c>
      <x:c r="F197" s="15" t="n">
        <x:v>46261.583333333336</x:v>
      </x:c>
      <x:c r="G197" s="15" t="n">
        <x:v>46272.625</x:v>
      </x:c>
      <x:c r="H197" s="14" t="n">
        <x:v>2</x:v>
      </x:c>
      <x:c r="I197" s="1" t="n">
        <x:f>IF(AND(E197&lt;Reporting!$B$4,OR(G197="",G197&gt;=Reporting!$B$4)),1,0)</x:f>
        <x:v>0</x:v>
      </x:c>
      <x:c r="J197" s="1" t="n">
        <x:f>IF(AND(I197=1,F197&lt;Reporting!$B$4),1,0)</x:f>
        <x:v>0</x:v>
      </x:c>
      <x:c r="K197" s="1" t="n">
        <x:f>IF(F197&lt;Reporting!$B$4,1,0)</x:f>
        <x:v>1</x:v>
      </x:c>
      <x:c r="L197" s="1" t="n">
        <x:f>IF(AND(K197=1,G197&lt;&gt;"",G197&lt;=F197),1,0)</x:f>
        <x:v>0</x:v>
      </x:c>
      <x:c r="M197" s="1" t="n">
        <x:f>IF(AND(G197&lt;&gt;"",G197&lt;Reporting!$B$4),1,0)</x:f>
        <x:v>1</x:v>
      </x:c>
      <x:c r="N197" s="16" t="n">
        <x:f>IF(M197=1,G197-E197,"")</x:f>
        <x:v>18.04166666666424</x:v>
      </x:c>
      <x:c r="O197" s="1" t="str">
        <x:f>IF(E197&gt;=Reporting!$B$4,"Outside cutoff",IF(M197=1,"Closed",IF(J197=1,"Overdue","Open - within SLA")))</x:f>
        <x:v>Closed</x:v>
      </x:c>
    </x:row>
    <x:row r="198">
      <x:c r="A198" s="14" t="str">
        <x:v>CASE-00193</x:v>
      </x:c>
      <x:c r="B198" s="14" t="str">
        <x:v>Installation</x:v>
      </x:c>
      <x:c r="C198" s="14" t="str">
        <x:v>Late review</x:v>
      </x:c>
      <x:c r="D198" s="14" t="str">
        <x:v>Low</x:v>
      </x:c>
      <x:c r="E198" s="15" t="n">
        <x:v>46272.583333333336</x:v>
      </x:c>
      <x:c r="F198" s="15" t="n">
        <x:v>46286.583333333336</x:v>
      </x:c>
      <x:c r="G198" s="15"/>
      <x:c r="H198" s="14" t="n">
        <x:v>3</x:v>
      </x:c>
      <x:c r="I198" s="1" t="n">
        <x:f>IF(AND(E198&lt;Reporting!$B$4,OR(G198="",G198&gt;=Reporting!$B$4)),1,0)</x:f>
        <x:v>1</x:v>
      </x:c>
      <x:c r="J198" s="1" t="n">
        <x:f>IF(AND(I198=1,F198&lt;Reporting!$B$4),1,0)</x:f>
        <x:v>0</x:v>
      </x:c>
      <x:c r="K198" s="1" t="n">
        <x:f>IF(F198&lt;Reporting!$B$4,1,0)</x:f>
        <x:v>0</x:v>
      </x:c>
      <x:c r="L198" s="1" t="n">
        <x:f>IF(AND(K198=1,G198&lt;&gt;"",G198&lt;=F198),1,0)</x:f>
        <x:v>0</x:v>
      </x:c>
      <x:c r="M198" s="1" t="n">
        <x:f>IF(AND(G198&lt;&gt;"",G198&lt;Reporting!$B$4),1,0)</x:f>
        <x:v>0</x:v>
      </x:c>
      <x:c r="N198" s="16" t="str">
        <x:f>IF(M198=1,G198-E198,"")</x:f>
      </x:c>
      <x:c r="O198" s="1" t="str">
        <x:f>IF(E198&gt;=Reporting!$B$4,"Outside cutoff",IF(M198=1,"Closed",IF(J198=1,"Overdue","Open - within SLA")))</x:f>
        <x:v>Open - within SLA</x:v>
      </x:c>
    </x:row>
    <x:row r="199">
      <x:c r="A199" s="14" t="str">
        <x:v>CASE-00194</x:v>
      </x:c>
      <x:c r="B199" s="14" t="str">
        <x:v>Customer Services</x:v>
      </x:c>
      <x:c r="C199" s="14" t="str">
        <x:v>Process deviation</x:v>
      </x:c>
      <x:c r="D199" s="14" t="str">
        <x:v>Medium</x:v>
      </x:c>
      <x:c r="E199" s="15" t="n">
        <x:v>46272.625</x:v>
      </x:c>
      <x:c r="F199" s="15" t="n">
        <x:v>46279.625</x:v>
      </x:c>
      <x:c r="G199" s="15" t="n">
        <x:v>46273.666666666664</x:v>
      </x:c>
      <x:c r="H199" s="14" t="n">
        <x:v>1</x:v>
      </x:c>
      <x:c r="I199" s="1" t="n">
        <x:f>IF(AND(E199&lt;Reporting!$B$4,OR(G199="",G199&gt;=Reporting!$B$4)),1,0)</x:f>
        <x:v>0</x:v>
      </x:c>
      <x:c r="J199" s="1" t="n">
        <x:f>IF(AND(I199=1,F199&lt;Reporting!$B$4),1,0)</x:f>
        <x:v>0</x:v>
      </x:c>
      <x:c r="K199" s="1" t="n">
        <x:f>IF(F199&lt;Reporting!$B$4,1,0)</x:f>
        <x:v>1</x:v>
      </x:c>
      <x:c r="L199" s="1" t="n">
        <x:f>IF(AND(K199=1,G199&lt;&gt;"",G199&lt;=F199),1,0)</x:f>
        <x:v>1</x:v>
      </x:c>
      <x:c r="M199" s="1" t="n">
        <x:f>IF(AND(G199&lt;&gt;"",G199&lt;Reporting!$B$4),1,0)</x:f>
        <x:v>1</x:v>
      </x:c>
      <x:c r="N199" s="16" t="n">
        <x:f>IF(M199=1,G199-E199,"")</x:f>
        <x:v>1.0416666666642413</x:v>
      </x:c>
      <x:c r="O199" s="1" t="str">
        <x:f>IF(E199&gt;=Reporting!$B$4,"Outside cutoff",IF(M199=1,"Closed",IF(J199=1,"Overdue","Open - within SLA")))</x:f>
        <x:v>Closed</x:v>
      </x:c>
    </x:row>
    <x:row r="200">
      <x:c r="A200" s="14" t="str">
        <x:v>CASE-00195</x:v>
      </x:c>
      <x:c r="B200" s="14" t="str">
        <x:v>Installation</x:v>
      </x:c>
      <x:c r="C200" s="14" t="str">
        <x:v>Missing evidence</x:v>
      </x:c>
      <x:c r="D200" s="14" t="str">
        <x:v>Medium</x:v>
      </x:c>
      <x:c r="E200" s="15" t="n">
        <x:v>46284.333333333336</x:v>
      </x:c>
      <x:c r="F200" s="15" t="n">
        <x:v>46291.333333333336</x:v>
      </x:c>
      <x:c r="G200" s="15"/>
      <x:c r="H200" s="14" t="n">
        <x:v>3</x:v>
      </x:c>
      <x:c r="I200" s="1" t="n">
        <x:f>IF(AND(E200&lt;Reporting!$B$4,OR(G200="",G200&gt;=Reporting!$B$4)),1,0)</x:f>
        <x:v>1</x:v>
      </x:c>
      <x:c r="J200" s="1" t="n">
        <x:f>IF(AND(I200=1,F200&lt;Reporting!$B$4),1,0)</x:f>
        <x:v>0</x:v>
      </x:c>
      <x:c r="K200" s="1" t="n">
        <x:f>IF(F200&lt;Reporting!$B$4,1,0)</x:f>
        <x:v>0</x:v>
      </x:c>
      <x:c r="L200" s="1" t="n">
        <x:f>IF(AND(K200=1,G200&lt;&gt;"",G200&lt;=F200),1,0)</x:f>
        <x:v>0</x:v>
      </x:c>
      <x:c r="M200" s="1" t="n">
        <x:f>IF(AND(G200&lt;&gt;"",G200&lt;Reporting!$B$4),1,0)</x:f>
        <x:v>0</x:v>
      </x:c>
      <x:c r="N200" s="16" t="str">
        <x:f>IF(M200=1,G200-E200,"")</x:f>
      </x:c>
      <x:c r="O200" s="1" t="str">
        <x:f>IF(E200&gt;=Reporting!$B$4,"Outside cutoff",IF(M200=1,"Closed",IF(J200=1,"Overdue","Open - within SLA")))</x:f>
        <x:v>Open - within SLA</x:v>
      </x:c>
    </x:row>
    <x:row r="201">
      <x:c r="A201" s="14" t="str">
        <x:v>CASE-00196</x:v>
      </x:c>
      <x:c r="B201" s="14" t="str">
        <x:v>Installation</x:v>
      </x:c>
      <x:c r="C201" s="14" t="str">
        <x:v>Missing evidence</x:v>
      </x:c>
      <x:c r="D201" s="14" t="str">
        <x:v>Low</x:v>
      </x:c>
      <x:c r="E201" s="15" t="n">
        <x:v>46284.666666666664</x:v>
      </x:c>
      <x:c r="F201" s="15" t="n">
        <x:v>46298.666666666664</x:v>
      </x:c>
      <x:c r="G201" s="15"/>
      <x:c r="H201" s="14" t="n">
        <x:v>3</x:v>
      </x:c>
      <x:c r="I201" s="1" t="n">
        <x:f>IF(AND(E201&lt;Reporting!$B$4,OR(G201="",G201&gt;=Reporting!$B$4)),1,0)</x:f>
        <x:v>1</x:v>
      </x:c>
      <x:c r="J201" s="1" t="n">
        <x:f>IF(AND(I201=1,F201&lt;Reporting!$B$4),1,0)</x:f>
        <x:v>0</x:v>
      </x:c>
      <x:c r="K201" s="1" t="n">
        <x:f>IF(F201&lt;Reporting!$B$4,1,0)</x:f>
        <x:v>0</x:v>
      </x:c>
      <x:c r="L201" s="1" t="n">
        <x:f>IF(AND(K201=1,G201&lt;&gt;"",G201&lt;=F201),1,0)</x:f>
        <x:v>0</x:v>
      </x:c>
      <x:c r="M201" s="1" t="n">
        <x:f>IF(AND(G201&lt;&gt;"",G201&lt;Reporting!$B$4),1,0)</x:f>
        <x:v>0</x:v>
      </x:c>
      <x:c r="N201" s="16" t="str">
        <x:f>IF(M201=1,G201-E201,"")</x:f>
      </x:c>
      <x:c r="O201" s="1" t="str">
        <x:f>IF(E201&gt;=Reporting!$B$4,"Outside cutoff",IF(M201=1,"Closed",IF(J201=1,"Overdue","Open - within SLA")))</x:f>
        <x:v>Open - within SLA</x:v>
      </x:c>
    </x:row>
    <x:row r="202">
      <x:c r="A202" s="14" t="str">
        <x:v>CASE-00197</x:v>
      </x:c>
      <x:c r="B202" s="14" t="str">
        <x:v>Installation</x:v>
      </x:c>
      <x:c r="C202" s="14" t="str">
        <x:v>Missing evidence</x:v>
      </x:c>
      <x:c r="D202" s="14" t="str">
        <x:v>High</x:v>
      </x:c>
      <x:c r="E202" s="15" t="n">
        <x:v>46269.583333333336</x:v>
      </x:c>
      <x:c r="F202" s="15" t="n">
        <x:v>46272.583333333336</x:v>
      </x:c>
      <x:c r="G202" s="15" t="n">
        <x:v>46282.666666666664</x:v>
      </x:c>
      <x:c r="H202" s="14" t="n">
        <x:v>3</x:v>
      </x:c>
      <x:c r="I202" s="1" t="n">
        <x:f>IF(AND(E202&lt;Reporting!$B$4,OR(G202="",G202&gt;=Reporting!$B$4)),1,0)</x:f>
        <x:v>0</x:v>
      </x:c>
      <x:c r="J202" s="1" t="n">
        <x:f>IF(AND(I202=1,F202&lt;Reporting!$B$4),1,0)</x:f>
        <x:v>0</x:v>
      </x:c>
      <x:c r="K202" s="1" t="n">
        <x:f>IF(F202&lt;Reporting!$B$4,1,0)</x:f>
        <x:v>1</x:v>
      </x:c>
      <x:c r="L202" s="1" t="n">
        <x:f>IF(AND(K202=1,G202&lt;&gt;"",G202&lt;=F202),1,0)</x:f>
        <x:v>0</x:v>
      </x:c>
      <x:c r="M202" s="1" t="n">
        <x:f>IF(AND(G202&lt;&gt;"",G202&lt;Reporting!$B$4),1,0)</x:f>
        <x:v>1</x:v>
      </x:c>
      <x:c r="N202" s="16" t="n">
        <x:f>IF(M202=1,G202-E202,"")</x:f>
        <x:v>13.083333333328483</x:v>
      </x:c>
      <x:c r="O202" s="1" t="str">
        <x:f>IF(E202&gt;=Reporting!$B$4,"Outside cutoff",IF(M202=1,"Closed",IF(J202=1,"Overdue","Open - within SLA")))</x:f>
        <x:v>Closed</x:v>
      </x:c>
    </x:row>
    <x:row r="203">
      <x:c r="A203" s="14" t="str">
        <x:v>CASE-00198</x:v>
      </x:c>
      <x:c r="B203" s="14" t="str">
        <x:v>Customer Services</x:v>
      </x:c>
      <x:c r="C203" s="14" t="str">
        <x:v>Missing evidence</x:v>
      </x:c>
      <x:c r="D203" s="14" t="str">
        <x:v>High</x:v>
      </x:c>
      <x:c r="E203" s="15" t="n">
        <x:v>46244.458333333336</x:v>
      </x:c>
      <x:c r="F203" s="15" t="n">
        <x:v>46247.458333333336</x:v>
      </x:c>
      <x:c r="G203" s="15" t="n">
        <x:v>46259.5</x:v>
      </x:c>
      <x:c r="H203" s="14" t="n">
        <x:v>1</x:v>
      </x:c>
      <x:c r="I203" s="1" t="n">
        <x:f>IF(AND(E203&lt;Reporting!$B$4,OR(G203="",G203&gt;=Reporting!$B$4)),1,0)</x:f>
        <x:v>0</x:v>
      </x:c>
      <x:c r="J203" s="1" t="n">
        <x:f>IF(AND(I203=1,F203&lt;Reporting!$B$4),1,0)</x:f>
        <x:v>0</x:v>
      </x:c>
      <x:c r="K203" s="1" t="n">
        <x:f>IF(F203&lt;Reporting!$B$4,1,0)</x:f>
        <x:v>1</x:v>
      </x:c>
      <x:c r="L203" s="1" t="n">
        <x:f>IF(AND(K203=1,G203&lt;&gt;"",G203&lt;=F203),1,0)</x:f>
        <x:v>0</x:v>
      </x:c>
      <x:c r="M203" s="1" t="n">
        <x:f>IF(AND(G203&lt;&gt;"",G203&lt;Reporting!$B$4),1,0)</x:f>
        <x:v>1</x:v>
      </x:c>
      <x:c r="N203" s="16" t="n">
        <x:f>IF(M203=1,G203-E203,"")</x:f>
        <x:v>15.041666666664241</x:v>
      </x:c>
      <x:c r="O203" s="1" t="str">
        <x:f>IF(E203&gt;=Reporting!$B$4,"Outside cutoff",IF(M203=1,"Closed",IF(J203=1,"Overdue","Open - within SLA")))</x:f>
        <x:v>Closed</x:v>
      </x:c>
    </x:row>
    <x:row r="204">
      <x:c r="A204" s="14" t="str">
        <x:v>CASE-00199</x:v>
      </x:c>
      <x:c r="B204" s="14" t="str">
        <x:v>Warehouse</x:v>
      </x:c>
      <x:c r="C204" s="14" t="str">
        <x:v>Record mismatch</x:v>
      </x:c>
      <x:c r="D204" s="14" t="str">
        <x:v>Medium</x:v>
      </x:c>
      <x:c r="E204" s="15" t="n">
        <x:v>46222.541666666664</x:v>
      </x:c>
      <x:c r="F204" s="15" t="n">
        <x:v>46229.541666666664</x:v>
      </x:c>
      <x:c r="G204" s="15" t="n">
        <x:v>46237.541666666664</x:v>
      </x:c>
      <x:c r="H204" s="14" t="n">
        <x:v>2</x:v>
      </x:c>
      <x:c r="I204" s="1" t="n">
        <x:f>IF(AND(E204&lt;Reporting!$B$4,OR(G204="",G204&gt;=Reporting!$B$4)),1,0)</x:f>
        <x:v>0</x:v>
      </x:c>
      <x:c r="J204" s="1" t="n">
        <x:f>IF(AND(I204=1,F204&lt;Reporting!$B$4),1,0)</x:f>
        <x:v>0</x:v>
      </x:c>
      <x:c r="K204" s="1" t="n">
        <x:f>IF(F204&lt;Reporting!$B$4,1,0)</x:f>
        <x:v>1</x:v>
      </x:c>
      <x:c r="L204" s="1" t="n">
        <x:f>IF(AND(K204=1,G204&lt;&gt;"",G204&lt;=F204),1,0)</x:f>
        <x:v>0</x:v>
      </x:c>
      <x:c r="M204" s="1" t="n">
        <x:f>IF(AND(G204&lt;&gt;"",G204&lt;Reporting!$B$4),1,0)</x:f>
        <x:v>1</x:v>
      </x:c>
      <x:c r="N204" s="16" t="n">
        <x:f>IF(M204=1,G204-E204,"")</x:f>
        <x:v>15</x:v>
      </x:c>
      <x:c r="O204" s="1" t="str">
        <x:f>IF(E204&gt;=Reporting!$B$4,"Outside cutoff",IF(M204=1,"Closed",IF(J204=1,"Overdue","Open - within SLA")))</x:f>
        <x:v>Closed</x:v>
      </x:c>
    </x:row>
    <x:row r="205">
      <x:c r="A205" s="14" t="str">
        <x:v>CASE-00200</x:v>
      </x:c>
      <x:c r="B205" s="14" t="str">
        <x:v>Customer Services</x:v>
      </x:c>
      <x:c r="C205" s="14" t="str">
        <x:v>Process deviation</x:v>
      </x:c>
      <x:c r="D205" s="14" t="str">
        <x:v>Medium</x:v>
      </x:c>
      <x:c r="E205" s="15" t="n">
        <x:v>46220.666666666664</x:v>
      </x:c>
      <x:c r="F205" s="15" t="n">
        <x:v>46227.666666666664</x:v>
      </x:c>
      <x:c r="G205" s="15" t="n">
        <x:v>46232.708333333336</x:v>
      </x:c>
      <x:c r="H205" s="14" t="n">
        <x:v>1</x:v>
      </x:c>
      <x:c r="I205" s="1" t="n">
        <x:f>IF(AND(E205&lt;Reporting!$B$4,OR(G205="",G205&gt;=Reporting!$B$4)),1,0)</x:f>
        <x:v>0</x:v>
      </x:c>
      <x:c r="J205" s="1" t="n">
        <x:f>IF(AND(I205=1,F205&lt;Reporting!$B$4),1,0)</x:f>
        <x:v>0</x:v>
      </x:c>
      <x:c r="K205" s="1" t="n">
        <x:f>IF(F205&lt;Reporting!$B$4,1,0)</x:f>
        <x:v>1</x:v>
      </x:c>
      <x:c r="L205" s="1" t="n">
        <x:f>IF(AND(K205=1,G205&lt;&gt;"",G205&lt;=F205),1,0)</x:f>
        <x:v>0</x:v>
      </x:c>
      <x:c r="M205" s="1" t="n">
        <x:f>IF(AND(G205&lt;&gt;"",G205&lt;Reporting!$B$4),1,0)</x:f>
        <x:v>1</x:v>
      </x:c>
      <x:c r="N205" s="16" t="n">
        <x:f>IF(M205=1,G205-E205,"")</x:f>
        <x:v>12.041666666671517</x:v>
      </x:c>
      <x:c r="O205" s="1" t="str">
        <x:f>IF(E205&gt;=Reporting!$B$4,"Outside cutoff",IF(M205=1,"Closed",IF(J205=1,"Overdue","Open - within SLA")))</x:f>
        <x:v>Closed</x:v>
      </x:c>
    </x:row>
    <x:row r="206">
      <x:c r="A206" s="14" t="str">
        <x:v>CASE-00201</x:v>
      </x:c>
      <x:c r="B206" s="14" t="str">
        <x:v>Warehouse</x:v>
      </x:c>
      <x:c r="C206" s="14" t="str">
        <x:v>Missing evidence</x:v>
      </x:c>
      <x:c r="D206" s="14" t="str">
        <x:v>Medium</x:v>
      </x:c>
      <x:c r="E206" s="15" t="n">
        <x:v>46264.625</x:v>
      </x:c>
      <x:c r="F206" s="15" t="n">
        <x:v>46271.625</x:v>
      </x:c>
      <x:c r="G206" s="15" t="n">
        <x:v>46278.666666666664</x:v>
      </x:c>
      <x:c r="H206" s="14" t="n">
        <x:v>2</x:v>
      </x:c>
      <x:c r="I206" s="1" t="n">
        <x:f>IF(AND(E206&lt;Reporting!$B$4,OR(G206="",G206&gt;=Reporting!$B$4)),1,0)</x:f>
        <x:v>0</x:v>
      </x:c>
      <x:c r="J206" s="1" t="n">
        <x:f>IF(AND(I206=1,F206&lt;Reporting!$B$4),1,0)</x:f>
        <x:v>0</x:v>
      </x:c>
      <x:c r="K206" s="1" t="n">
        <x:f>IF(F206&lt;Reporting!$B$4,1,0)</x:f>
        <x:v>1</x:v>
      </x:c>
      <x:c r="L206" s="1" t="n">
        <x:f>IF(AND(K206=1,G206&lt;&gt;"",G206&lt;=F206),1,0)</x:f>
        <x:v>0</x:v>
      </x:c>
      <x:c r="M206" s="1" t="n">
        <x:f>IF(AND(G206&lt;&gt;"",G206&lt;Reporting!$B$4),1,0)</x:f>
        <x:v>1</x:v>
      </x:c>
      <x:c r="N206" s="16" t="n">
        <x:f>IF(M206=1,G206-E206,"")</x:f>
        <x:v>14.041666666664241</x:v>
      </x:c>
      <x:c r="O206" s="1" t="str">
        <x:f>IF(E206&gt;=Reporting!$B$4,"Outside cutoff",IF(M206=1,"Closed",IF(J206=1,"Overdue","Open - within SLA")))</x:f>
        <x:v>Closed</x:v>
      </x:c>
    </x:row>
    <x:row r="207">
      <x:c r="A207" s="14" t="str">
        <x:v>CASE-00202</x:v>
      </x:c>
      <x:c r="B207" s="14" t="str">
        <x:v>Installation</x:v>
      </x:c>
      <x:c r="C207" s="14" t="str">
        <x:v>Missing evidence</x:v>
      </x:c>
      <x:c r="D207" s="14" t="str">
        <x:v>Medium</x:v>
      </x:c>
      <x:c r="E207" s="15" t="n">
        <x:v>46281.625</x:v>
      </x:c>
      <x:c r="F207" s="15" t="n">
        <x:v>46288.625</x:v>
      </x:c>
      <x:c r="G207" s="15"/>
      <x:c r="H207" s="14" t="n">
        <x:v>3</x:v>
      </x:c>
      <x:c r="I207" s="1" t="n">
        <x:f>IF(AND(E207&lt;Reporting!$B$4,OR(G207="",G207&gt;=Reporting!$B$4)),1,0)</x:f>
        <x:v>1</x:v>
      </x:c>
      <x:c r="J207" s="1" t="n">
        <x:f>IF(AND(I207=1,F207&lt;Reporting!$B$4),1,0)</x:f>
        <x:v>0</x:v>
      </x:c>
      <x:c r="K207" s="1" t="n">
        <x:f>IF(F207&lt;Reporting!$B$4,1,0)</x:f>
        <x:v>0</x:v>
      </x:c>
      <x:c r="L207" s="1" t="n">
        <x:f>IF(AND(K207=1,G207&lt;&gt;"",G207&lt;=F207),1,0)</x:f>
        <x:v>0</x:v>
      </x:c>
      <x:c r="M207" s="1" t="n">
        <x:f>IF(AND(G207&lt;&gt;"",G207&lt;Reporting!$B$4),1,0)</x:f>
        <x:v>0</x:v>
      </x:c>
      <x:c r="N207" s="16" t="str">
        <x:f>IF(M207=1,G207-E207,"")</x:f>
      </x:c>
      <x:c r="O207" s="1" t="str">
        <x:f>IF(E207&gt;=Reporting!$B$4,"Outside cutoff",IF(M207=1,"Closed",IF(J207=1,"Overdue","Open - within SLA")))</x:f>
        <x:v>Open - within SLA</x:v>
      </x:c>
    </x:row>
    <x:row r="208">
      <x:c r="A208" s="14" t="str">
        <x:v>CASE-00203</x:v>
      </x:c>
      <x:c r="B208" s="14" t="str">
        <x:v>Customer Services</x:v>
      </x:c>
      <x:c r="C208" s="14" t="str">
        <x:v>Missing evidence</x:v>
      </x:c>
      <x:c r="D208" s="14" t="str">
        <x:v>High</x:v>
      </x:c>
      <x:c r="E208" s="15" t="n">
        <x:v>46248.5</x:v>
      </x:c>
      <x:c r="F208" s="15" t="n">
        <x:v>46251.5</x:v>
      </x:c>
      <x:c r="G208" s="15" t="n">
        <x:v>46258.583333333336</x:v>
      </x:c>
      <x:c r="H208" s="14" t="n">
        <x:v>1</x:v>
      </x:c>
      <x:c r="I208" s="1" t="n">
        <x:f>IF(AND(E208&lt;Reporting!$B$4,OR(G208="",G208&gt;=Reporting!$B$4)),1,0)</x:f>
        <x:v>0</x:v>
      </x:c>
      <x:c r="J208" s="1" t="n">
        <x:f>IF(AND(I208=1,F208&lt;Reporting!$B$4),1,0)</x:f>
        <x:v>0</x:v>
      </x:c>
      <x:c r="K208" s="1" t="n">
        <x:f>IF(F208&lt;Reporting!$B$4,1,0)</x:f>
        <x:v>1</x:v>
      </x:c>
      <x:c r="L208" s="1" t="n">
        <x:f>IF(AND(K208=1,G208&lt;&gt;"",G208&lt;=F208),1,0)</x:f>
        <x:v>0</x:v>
      </x:c>
      <x:c r="M208" s="1" t="n">
        <x:f>IF(AND(G208&lt;&gt;"",G208&lt;Reporting!$B$4),1,0)</x:f>
        <x:v>1</x:v>
      </x:c>
      <x:c r="N208" s="16" t="n">
        <x:f>IF(M208=1,G208-E208,"")</x:f>
        <x:v>10.083333333335759</x:v>
      </x:c>
      <x:c r="O208" s="1" t="str">
        <x:f>IF(E208&gt;=Reporting!$B$4,"Outside cutoff",IF(M208=1,"Closed",IF(J208=1,"Overdue","Open - within SLA")))</x:f>
        <x:v>Closed</x:v>
      </x:c>
    </x:row>
    <x:row r="209">
      <x:c r="A209" s="14" t="str">
        <x:v>CASE-00204</x:v>
      </x:c>
      <x:c r="B209" s="14" t="str">
        <x:v>Customer Services</x:v>
      </x:c>
      <x:c r="C209" s="14" t="str">
        <x:v>Record mismatch</x:v>
      </x:c>
      <x:c r="D209" s="14" t="str">
        <x:v>Medium</x:v>
      </x:c>
      <x:c r="E209" s="15" t="n">
        <x:v>46274.5</x:v>
      </x:c>
      <x:c r="F209" s="15" t="n">
        <x:v>46281.5</x:v>
      </x:c>
      <x:c r="G209" s="15"/>
      <x:c r="H209" s="14" t="n">
        <x:v>1</x:v>
      </x:c>
      <x:c r="I209" s="1" t="n">
        <x:f>IF(AND(E209&lt;Reporting!$B$4,OR(G209="",G209&gt;=Reporting!$B$4)),1,0)</x:f>
        <x:v>1</x:v>
      </x:c>
      <x:c r="J209" s="1" t="n">
        <x:f>IF(AND(I209=1,F209&lt;Reporting!$B$4),1,0)</x:f>
        <x:v>1</x:v>
      </x:c>
      <x:c r="K209" s="1" t="n">
        <x:f>IF(F209&lt;Reporting!$B$4,1,0)</x:f>
        <x:v>1</x:v>
      </x:c>
      <x:c r="L209" s="1" t="n">
        <x:f>IF(AND(K209=1,G209&lt;&gt;"",G209&lt;=F209),1,0)</x:f>
        <x:v>0</x:v>
      </x:c>
      <x:c r="M209" s="1" t="n">
        <x:f>IF(AND(G209&lt;&gt;"",G209&lt;Reporting!$B$4),1,0)</x:f>
        <x:v>0</x:v>
      </x:c>
      <x:c r="N209" s="16" t="str">
        <x:f>IF(M209=1,G209-E209,"")</x:f>
      </x:c>
      <x:c r="O209" s="1" t="str">
        <x:f>IF(E209&gt;=Reporting!$B$4,"Outside cutoff",IF(M209=1,"Closed",IF(J209=1,"Overdue","Open - within SLA")))</x:f>
        <x:v>Overdue</x:v>
      </x:c>
    </x:row>
    <x:row r="210">
      <x:c r="A210" s="14" t="str">
        <x:v>CASE-00205</x:v>
      </x:c>
      <x:c r="B210" s="14" t="str">
        <x:v>Installation</x:v>
      </x:c>
      <x:c r="C210" s="14" t="str">
        <x:v>Missing evidence</x:v>
      </x:c>
      <x:c r="D210" s="14" t="str">
        <x:v>High</x:v>
      </x:c>
      <x:c r="E210" s="15" t="n">
        <x:v>46282.583333333336</x:v>
      </x:c>
      <x:c r="F210" s="15" t="n">
        <x:v>46285.583333333336</x:v>
      </x:c>
      <x:c r="G210" s="15"/>
      <x:c r="H210" s="14" t="n">
        <x:v>3</x:v>
      </x:c>
      <x:c r="I210" s="1" t="n">
        <x:f>IF(AND(E210&lt;Reporting!$B$4,OR(G210="",G210&gt;=Reporting!$B$4)),1,0)</x:f>
        <x:v>1</x:v>
      </x:c>
      <x:c r="J210" s="1" t="n">
        <x:f>IF(AND(I210=1,F210&lt;Reporting!$B$4),1,0)</x:f>
        <x:v>1</x:v>
      </x:c>
      <x:c r="K210" s="1" t="n">
        <x:f>IF(F210&lt;Reporting!$B$4,1,0)</x:f>
        <x:v>1</x:v>
      </x:c>
      <x:c r="L210" s="1" t="n">
        <x:f>IF(AND(K210=1,G210&lt;&gt;"",G210&lt;=F210),1,0)</x:f>
        <x:v>0</x:v>
      </x:c>
      <x:c r="M210" s="1" t="n">
        <x:f>IF(AND(G210&lt;&gt;"",G210&lt;Reporting!$B$4),1,0)</x:f>
        <x:v>0</x:v>
      </x:c>
      <x:c r="N210" s="16" t="str">
        <x:f>IF(M210=1,G210-E210,"")</x:f>
      </x:c>
      <x:c r="O210" s="1" t="str">
        <x:f>IF(E210&gt;=Reporting!$B$4,"Outside cutoff",IF(M210=1,"Closed",IF(J210=1,"Overdue","Open - within SLA")))</x:f>
        <x:v>Overdue</x:v>
      </x:c>
    </x:row>
    <x:row r="211">
      <x:c r="A211" s="14" t="str">
        <x:v>CASE-00206</x:v>
      </x:c>
      <x:c r="B211" s="14" t="str">
        <x:v>Customer Services</x:v>
      </x:c>
      <x:c r="C211" s="14" t="str">
        <x:v>Late review</x:v>
      </x:c>
      <x:c r="D211" s="14" t="str">
        <x:v>Medium</x:v>
      </x:c>
      <x:c r="E211" s="15" t="n">
        <x:v>46284.5</x:v>
      </x:c>
      <x:c r="F211" s="15" t="n">
        <x:v>46291.5</x:v>
      </x:c>
      <x:c r="G211" s="15"/>
      <x:c r="H211" s="14" t="n">
        <x:v>1</x:v>
      </x:c>
      <x:c r="I211" s="1" t="n">
        <x:f>IF(AND(E211&lt;Reporting!$B$4,OR(G211="",G211&gt;=Reporting!$B$4)),1,0)</x:f>
        <x:v>1</x:v>
      </x:c>
      <x:c r="J211" s="1" t="n">
        <x:f>IF(AND(I211=1,F211&lt;Reporting!$B$4),1,0)</x:f>
        <x:v>0</x:v>
      </x:c>
      <x:c r="K211" s="1" t="n">
        <x:f>IF(F211&lt;Reporting!$B$4,1,0)</x:f>
        <x:v>0</x:v>
      </x:c>
      <x:c r="L211" s="1" t="n">
        <x:f>IF(AND(K211=1,G211&lt;&gt;"",G211&lt;=F211),1,0)</x:f>
        <x:v>0</x:v>
      </x:c>
      <x:c r="M211" s="1" t="n">
        <x:f>IF(AND(G211&lt;&gt;"",G211&lt;Reporting!$B$4),1,0)</x:f>
        <x:v>0</x:v>
      </x:c>
      <x:c r="N211" s="16" t="str">
        <x:f>IF(M211=1,G211-E211,"")</x:f>
      </x:c>
      <x:c r="O211" s="1" t="str">
        <x:f>IF(E211&gt;=Reporting!$B$4,"Outside cutoff",IF(M211=1,"Closed",IF(J211=1,"Overdue","Open - within SLA")))</x:f>
        <x:v>Open - within SLA</x:v>
      </x:c>
    </x:row>
    <x:row r="212">
      <x:c r="A212" s="14" t="str">
        <x:v>CASE-00207</x:v>
      </x:c>
      <x:c r="B212" s="14" t="str">
        <x:v>Customer Services</x:v>
      </x:c>
      <x:c r="C212" s="14" t="str">
        <x:v>Process deviation</x:v>
      </x:c>
      <x:c r="D212" s="14" t="str">
        <x:v>Medium</x:v>
      </x:c>
      <x:c r="E212" s="15" t="n">
        <x:v>46205.458333333336</x:v>
      </x:c>
      <x:c r="F212" s="15" t="n">
        <x:v>46212.458333333336</x:v>
      </x:c>
      <x:c r="G212" s="15" t="n">
        <x:v>46220.5</x:v>
      </x:c>
      <x:c r="H212" s="14" t="n">
        <x:v>1</x:v>
      </x:c>
      <x:c r="I212" s="1" t="n">
        <x:f>IF(AND(E212&lt;Reporting!$B$4,OR(G212="",G212&gt;=Reporting!$B$4)),1,0)</x:f>
        <x:v>0</x:v>
      </x:c>
      <x:c r="J212" s="1" t="n">
        <x:f>IF(AND(I212=1,F212&lt;Reporting!$B$4),1,0)</x:f>
        <x:v>0</x:v>
      </x:c>
      <x:c r="K212" s="1" t="n">
        <x:f>IF(F212&lt;Reporting!$B$4,1,0)</x:f>
        <x:v>1</x:v>
      </x:c>
      <x:c r="L212" s="1" t="n">
        <x:f>IF(AND(K212=1,G212&lt;&gt;"",G212&lt;=F212),1,0)</x:f>
        <x:v>0</x:v>
      </x:c>
      <x:c r="M212" s="1" t="n">
        <x:f>IF(AND(G212&lt;&gt;"",G212&lt;Reporting!$B$4),1,0)</x:f>
        <x:v>1</x:v>
      </x:c>
      <x:c r="N212" s="16" t="n">
        <x:f>IF(M212=1,G212-E212,"")</x:f>
        <x:v>15.041666666664241</x:v>
      </x:c>
      <x:c r="O212" s="1" t="str">
        <x:f>IF(E212&gt;=Reporting!$B$4,"Outside cutoff",IF(M212=1,"Closed",IF(J212=1,"Overdue","Open - within SLA")))</x:f>
        <x:v>Closed</x:v>
      </x:c>
    </x:row>
    <x:row r="213">
      <x:c r="A213" s="14" t="str">
        <x:v>CASE-00208</x:v>
      </x:c>
      <x:c r="B213" s="14" t="str">
        <x:v>Customer Services</x:v>
      </x:c>
      <x:c r="C213" s="14" t="str">
        <x:v>Record mismatch</x:v>
      </x:c>
      <x:c r="D213" s="14" t="str">
        <x:v>Medium</x:v>
      </x:c>
      <x:c r="E213" s="15" t="n">
        <x:v>46225.583333333336</x:v>
      </x:c>
      <x:c r="F213" s="15" t="n">
        <x:v>46232.583333333336</x:v>
      </x:c>
      <x:c r="G213" s="15" t="n">
        <x:v>46240.583333333336</x:v>
      </x:c>
      <x:c r="H213" s="14" t="n">
        <x:v>1</x:v>
      </x:c>
      <x:c r="I213" s="1" t="n">
        <x:f>IF(AND(E213&lt;Reporting!$B$4,OR(G213="",G213&gt;=Reporting!$B$4)),1,0)</x:f>
        <x:v>0</x:v>
      </x:c>
      <x:c r="J213" s="1" t="n">
        <x:f>IF(AND(I213=1,F213&lt;Reporting!$B$4),1,0)</x:f>
        <x:v>0</x:v>
      </x:c>
      <x:c r="K213" s="1" t="n">
        <x:f>IF(F213&lt;Reporting!$B$4,1,0)</x:f>
        <x:v>1</x:v>
      </x:c>
      <x:c r="L213" s="1" t="n">
        <x:f>IF(AND(K213=1,G213&lt;&gt;"",G213&lt;=F213),1,0)</x:f>
        <x:v>0</x:v>
      </x:c>
      <x:c r="M213" s="1" t="n">
        <x:f>IF(AND(G213&lt;&gt;"",G213&lt;Reporting!$B$4),1,0)</x:f>
        <x:v>1</x:v>
      </x:c>
      <x:c r="N213" s="16" t="n">
        <x:f>IF(M213=1,G213-E213,"")</x:f>
        <x:v>15</x:v>
      </x:c>
      <x:c r="O213" s="1" t="str">
        <x:f>IF(E213&gt;=Reporting!$B$4,"Outside cutoff",IF(M213=1,"Closed",IF(J213=1,"Overdue","Open - within SLA")))</x:f>
        <x:v>Closed</x:v>
      </x:c>
    </x:row>
    <x:row r="214">
      <x:c r="A214" s="14" t="str">
        <x:v>CASE-00209</x:v>
      </x:c>
      <x:c r="B214" s="14" t="str">
        <x:v>Customer Services</x:v>
      </x:c>
      <x:c r="C214" s="14" t="str">
        <x:v>Record mismatch</x:v>
      </x:c>
      <x:c r="D214" s="14" t="str">
        <x:v>Low</x:v>
      </x:c>
      <x:c r="E214" s="15" t="n">
        <x:v>46285.458333333336</x:v>
      </x:c>
      <x:c r="F214" s="15" t="n">
        <x:v>46299.458333333336</x:v>
      </x:c>
      <x:c r="G214" s="15"/>
      <x:c r="H214" s="14" t="n">
        <x:v>1</x:v>
      </x:c>
      <x:c r="I214" s="1" t="n">
        <x:f>IF(AND(E214&lt;Reporting!$B$4,OR(G214="",G214&gt;=Reporting!$B$4)),1,0)</x:f>
        <x:v>1</x:v>
      </x:c>
      <x:c r="J214" s="1" t="n">
        <x:f>IF(AND(I214=1,F214&lt;Reporting!$B$4),1,0)</x:f>
        <x:v>0</x:v>
      </x:c>
      <x:c r="K214" s="1" t="n">
        <x:f>IF(F214&lt;Reporting!$B$4,1,0)</x:f>
        <x:v>0</x:v>
      </x:c>
      <x:c r="L214" s="1" t="n">
        <x:f>IF(AND(K214=1,G214&lt;&gt;"",G214&lt;=F214),1,0)</x:f>
        <x:v>0</x:v>
      </x:c>
      <x:c r="M214" s="1" t="n">
        <x:f>IF(AND(G214&lt;&gt;"",G214&lt;Reporting!$B$4),1,0)</x:f>
        <x:v>0</x:v>
      </x:c>
      <x:c r="N214" s="16" t="str">
        <x:f>IF(M214=1,G214-E214,"")</x:f>
      </x:c>
      <x:c r="O214" s="1" t="str">
        <x:f>IF(E214&gt;=Reporting!$B$4,"Outside cutoff",IF(M214=1,"Closed",IF(J214=1,"Overdue","Open - within SLA")))</x:f>
        <x:v>Open - within SLA</x:v>
      </x:c>
    </x:row>
    <x:row r="215">
      <x:c r="A215" s="14" t="str">
        <x:v>CASE-00210</x:v>
      </x:c>
      <x:c r="B215" s="14" t="str">
        <x:v>Customer Services</x:v>
      </x:c>
      <x:c r="C215" s="14" t="str">
        <x:v>Record mismatch</x:v>
      </x:c>
      <x:c r="D215" s="14" t="str">
        <x:v>Low</x:v>
      </x:c>
      <x:c r="E215" s="15" t="n">
        <x:v>46253.333333333336</x:v>
      </x:c>
      <x:c r="F215" s="15" t="n">
        <x:v>46267.333333333336</x:v>
      </x:c>
      <x:c r="G215" s="15" t="n">
        <x:v>46267.375</x:v>
      </x:c>
      <x:c r="H215" s="14" t="n">
        <x:v>1</x:v>
      </x:c>
      <x:c r="I215" s="1" t="n">
        <x:f>IF(AND(E215&lt;Reporting!$B$4,OR(G215="",G215&gt;=Reporting!$B$4)),1,0)</x:f>
        <x:v>0</x:v>
      </x:c>
      <x:c r="J215" s="1" t="n">
        <x:f>IF(AND(I215=1,F215&lt;Reporting!$B$4),1,0)</x:f>
        <x:v>0</x:v>
      </x:c>
      <x:c r="K215" s="1" t="n">
        <x:f>IF(F215&lt;Reporting!$B$4,1,0)</x:f>
        <x:v>1</x:v>
      </x:c>
      <x:c r="L215" s="1" t="n">
        <x:f>IF(AND(K215=1,G215&lt;&gt;"",G215&lt;=F215),1,0)</x:f>
        <x:v>0</x:v>
      </x:c>
      <x:c r="M215" s="1" t="n">
        <x:f>IF(AND(G215&lt;&gt;"",G215&lt;Reporting!$B$4),1,0)</x:f>
        <x:v>1</x:v>
      </x:c>
      <x:c r="N215" s="16" t="n">
        <x:f>IF(M215=1,G215-E215,"")</x:f>
        <x:v>14.041666666664241</x:v>
      </x:c>
      <x:c r="O215" s="1" t="str">
        <x:f>IF(E215&gt;=Reporting!$B$4,"Outside cutoff",IF(M215=1,"Closed",IF(J215=1,"Overdue","Open - within SLA")))</x:f>
        <x:v>Closed</x:v>
      </x:c>
    </x:row>
    <x:row r="216">
      <x:c r="A216" s="14" t="str">
        <x:v>CASE-00211</x:v>
      </x:c>
      <x:c r="B216" s="14" t="str">
        <x:v>Warehouse</x:v>
      </x:c>
      <x:c r="C216" s="14" t="str">
        <x:v>Process deviation</x:v>
      </x:c>
      <x:c r="D216" s="14" t="str">
        <x:v>Low</x:v>
      </x:c>
      <x:c r="E216" s="15" t="n">
        <x:v>46208.416666666664</x:v>
      </x:c>
      <x:c r="F216" s="15" t="n">
        <x:v>46222.416666666664</x:v>
      </x:c>
      <x:c r="G216" s="15" t="n">
        <x:v>46213.5</x:v>
      </x:c>
      <x:c r="H216" s="14" t="n">
        <x:v>2</x:v>
      </x:c>
      <x:c r="I216" s="1" t="n">
        <x:f>IF(AND(E216&lt;Reporting!$B$4,OR(G216="",G216&gt;=Reporting!$B$4)),1,0)</x:f>
        <x:v>0</x:v>
      </x:c>
      <x:c r="J216" s="1" t="n">
        <x:f>IF(AND(I216=1,F216&lt;Reporting!$B$4),1,0)</x:f>
        <x:v>0</x:v>
      </x:c>
      <x:c r="K216" s="1" t="n">
        <x:f>IF(F216&lt;Reporting!$B$4,1,0)</x:f>
        <x:v>1</x:v>
      </x:c>
      <x:c r="L216" s="1" t="n">
        <x:f>IF(AND(K216=1,G216&lt;&gt;"",G216&lt;=F216),1,0)</x:f>
        <x:v>1</x:v>
      </x:c>
      <x:c r="M216" s="1" t="n">
        <x:f>IF(AND(G216&lt;&gt;"",G216&lt;Reporting!$B$4),1,0)</x:f>
        <x:v>1</x:v>
      </x:c>
      <x:c r="N216" s="16" t="n">
        <x:f>IF(M216=1,G216-E216,"")</x:f>
        <x:v>5.083333333335759</x:v>
      </x:c>
      <x:c r="O216" s="1" t="str">
        <x:f>IF(E216&gt;=Reporting!$B$4,"Outside cutoff",IF(M216=1,"Closed",IF(J216=1,"Overdue","Open - within SLA")))</x:f>
        <x:v>Closed</x:v>
      </x:c>
    </x:row>
    <x:row r="217">
      <x:c r="A217" s="14" t="str">
        <x:v>CASE-00212</x:v>
      </x:c>
      <x:c r="B217" s="14" t="str">
        <x:v>Installation</x:v>
      </x:c>
      <x:c r="C217" s="14" t="str">
        <x:v>Process deviation</x:v>
      </x:c>
      <x:c r="D217" s="14" t="str">
        <x:v>Medium</x:v>
      </x:c>
      <x:c r="E217" s="15" t="n">
        <x:v>46211.416666666664</x:v>
      </x:c>
      <x:c r="F217" s="15" t="n">
        <x:v>46218.416666666664</x:v>
      </x:c>
      <x:c r="G217" s="15" t="n">
        <x:v>46227.458333333336</x:v>
      </x:c>
      <x:c r="H217" s="14" t="n">
        <x:v>3</x:v>
      </x:c>
      <x:c r="I217" s="1" t="n">
        <x:f>IF(AND(E217&lt;Reporting!$B$4,OR(G217="",G217&gt;=Reporting!$B$4)),1,0)</x:f>
        <x:v>0</x:v>
      </x:c>
      <x:c r="J217" s="1" t="n">
        <x:f>IF(AND(I217=1,F217&lt;Reporting!$B$4),1,0)</x:f>
        <x:v>0</x:v>
      </x:c>
      <x:c r="K217" s="1" t="n">
        <x:f>IF(F217&lt;Reporting!$B$4,1,0)</x:f>
        <x:v>1</x:v>
      </x:c>
      <x:c r="L217" s="1" t="n">
        <x:f>IF(AND(K217=1,G217&lt;&gt;"",G217&lt;=F217),1,0)</x:f>
        <x:v>0</x:v>
      </x:c>
      <x:c r="M217" s="1" t="n">
        <x:f>IF(AND(G217&lt;&gt;"",G217&lt;Reporting!$B$4),1,0)</x:f>
        <x:v>1</x:v>
      </x:c>
      <x:c r="N217" s="16" t="n">
        <x:f>IF(M217=1,G217-E217,"")</x:f>
        <x:v>16.041666666671517</x:v>
      </x:c>
      <x:c r="O217" s="1" t="str">
        <x:f>IF(E217&gt;=Reporting!$B$4,"Outside cutoff",IF(M217=1,"Closed",IF(J217=1,"Overdue","Open - within SLA")))</x:f>
        <x:v>Closed</x:v>
      </x:c>
    </x:row>
    <x:row r="218">
      <x:c r="A218" s="14" t="str">
        <x:v>CASE-00213</x:v>
      </x:c>
      <x:c r="B218" s="14" t="str">
        <x:v>Warehouse</x:v>
      </x:c>
      <x:c r="C218" s="14" t="str">
        <x:v>Late review</x:v>
      </x:c>
      <x:c r="D218" s="14" t="str">
        <x:v>Low</x:v>
      </x:c>
      <x:c r="E218" s="15" t="n">
        <x:v>46245.458333333336</x:v>
      </x:c>
      <x:c r="F218" s="15" t="n">
        <x:v>46259.458333333336</x:v>
      </x:c>
      <x:c r="G218" s="15" t="n">
        <x:v>46257.5</x:v>
      </x:c>
      <x:c r="H218" s="14" t="n">
        <x:v>2</x:v>
      </x:c>
      <x:c r="I218" s="1" t="n">
        <x:f>IF(AND(E218&lt;Reporting!$B$4,OR(G218="",G218&gt;=Reporting!$B$4)),1,0)</x:f>
        <x:v>0</x:v>
      </x:c>
      <x:c r="J218" s="1" t="n">
        <x:f>IF(AND(I218=1,F218&lt;Reporting!$B$4),1,0)</x:f>
        <x:v>0</x:v>
      </x:c>
      <x:c r="K218" s="1" t="n">
        <x:f>IF(F218&lt;Reporting!$B$4,1,0)</x:f>
        <x:v>1</x:v>
      </x:c>
      <x:c r="L218" s="1" t="n">
        <x:f>IF(AND(K218=1,G218&lt;&gt;"",G218&lt;=F218),1,0)</x:f>
        <x:v>1</x:v>
      </x:c>
      <x:c r="M218" s="1" t="n">
        <x:f>IF(AND(G218&lt;&gt;"",G218&lt;Reporting!$B$4),1,0)</x:f>
        <x:v>1</x:v>
      </x:c>
      <x:c r="N218" s="16" t="n">
        <x:f>IF(M218=1,G218-E218,"")</x:f>
        <x:v>12.041666666664241</x:v>
      </x:c>
      <x:c r="O218" s="1" t="str">
        <x:f>IF(E218&gt;=Reporting!$B$4,"Outside cutoff",IF(M218=1,"Closed",IF(J218=1,"Overdue","Open - within SLA")))</x:f>
        <x:v>Closed</x:v>
      </x:c>
    </x:row>
    <x:row r="219">
      <x:c r="A219" s="14" t="str">
        <x:v>CASE-00214</x:v>
      </x:c>
      <x:c r="B219" s="14" t="str">
        <x:v>Installation</x:v>
      </x:c>
      <x:c r="C219" s="14" t="str">
        <x:v>Record mismatch</x:v>
      </x:c>
      <x:c r="D219" s="14" t="str">
        <x:v>Low</x:v>
      </x:c>
      <x:c r="E219" s="15" t="n">
        <x:v>46206.333333333336</x:v>
      </x:c>
      <x:c r="F219" s="15" t="n">
        <x:v>46220.333333333336</x:v>
      </x:c>
      <x:c r="G219" s="15" t="n">
        <x:v>46217.416666666664</x:v>
      </x:c>
      <x:c r="H219" s="14" t="n">
        <x:v>3</x:v>
      </x:c>
      <x:c r="I219" s="1" t="n">
        <x:f>IF(AND(E219&lt;Reporting!$B$4,OR(G219="",G219&gt;=Reporting!$B$4)),1,0)</x:f>
        <x:v>0</x:v>
      </x:c>
      <x:c r="J219" s="1" t="n">
        <x:f>IF(AND(I219=1,F219&lt;Reporting!$B$4),1,0)</x:f>
        <x:v>0</x:v>
      </x:c>
      <x:c r="K219" s="1" t="n">
        <x:f>IF(F219&lt;Reporting!$B$4,1,0)</x:f>
        <x:v>1</x:v>
      </x:c>
      <x:c r="L219" s="1" t="n">
        <x:f>IF(AND(K219=1,G219&lt;&gt;"",G219&lt;=F219),1,0)</x:f>
        <x:v>1</x:v>
      </x:c>
      <x:c r="M219" s="1" t="n">
        <x:f>IF(AND(G219&lt;&gt;"",G219&lt;Reporting!$B$4),1,0)</x:f>
        <x:v>1</x:v>
      </x:c>
      <x:c r="N219" s="16" t="n">
        <x:f>IF(M219=1,G219-E219,"")</x:f>
        <x:v>11.083333333328483</x:v>
      </x:c>
      <x:c r="O219" s="1" t="str">
        <x:f>IF(E219&gt;=Reporting!$B$4,"Outside cutoff",IF(M219=1,"Closed",IF(J219=1,"Overdue","Open - within SLA")))</x:f>
        <x:v>Closed</x:v>
      </x:c>
    </x:row>
    <x:row r="220">
      <x:c r="A220" s="14" t="str">
        <x:v>CASE-00215</x:v>
      </x:c>
      <x:c r="B220" s="14" t="str">
        <x:v>Warehouse</x:v>
      </x:c>
      <x:c r="C220" s="14" t="str">
        <x:v>Process deviation</x:v>
      </x:c>
      <x:c r="D220" s="14" t="str">
        <x:v>Low</x:v>
      </x:c>
      <x:c r="E220" s="15" t="n">
        <x:v>46240.583333333336</x:v>
      </x:c>
      <x:c r="F220" s="15" t="n">
        <x:v>46254.583333333336</x:v>
      </x:c>
      <x:c r="G220" s="15" t="n">
        <x:v>46254.583333333336</x:v>
      </x:c>
      <x:c r="H220" s="14" t="n">
        <x:v>2</x:v>
      </x:c>
      <x:c r="I220" s="1" t="n">
        <x:f>IF(AND(E220&lt;Reporting!$B$4,OR(G220="",G220&gt;=Reporting!$B$4)),1,0)</x:f>
        <x:v>0</x:v>
      </x:c>
      <x:c r="J220" s="1" t="n">
        <x:f>IF(AND(I220=1,F220&lt;Reporting!$B$4),1,0)</x:f>
        <x:v>0</x:v>
      </x:c>
      <x:c r="K220" s="1" t="n">
        <x:f>IF(F220&lt;Reporting!$B$4,1,0)</x:f>
        <x:v>1</x:v>
      </x:c>
      <x:c r="L220" s="1" t="n">
        <x:f>IF(AND(K220=1,G220&lt;&gt;"",G220&lt;=F220),1,0)</x:f>
        <x:v>1</x:v>
      </x:c>
      <x:c r="M220" s="1" t="n">
        <x:f>IF(AND(G220&lt;&gt;"",G220&lt;Reporting!$B$4),1,0)</x:f>
        <x:v>1</x:v>
      </x:c>
      <x:c r="N220" s="16" t="n">
        <x:f>IF(M220=1,G220-E220,"")</x:f>
        <x:v>14</x:v>
      </x:c>
      <x:c r="O220" s="1" t="str">
        <x:f>IF(E220&gt;=Reporting!$B$4,"Outside cutoff",IF(M220=1,"Closed",IF(J220=1,"Overdue","Open - within SLA")))</x:f>
        <x:v>Closed</x:v>
      </x:c>
    </x:row>
    <x:row r="221">
      <x:c r="A221" s="14" t="str">
        <x:v>CASE-00216</x:v>
      </x:c>
      <x:c r="B221" s="14" t="str">
        <x:v>Warehouse</x:v>
      </x:c>
      <x:c r="C221" s="14" t="str">
        <x:v>Missing evidence</x:v>
      </x:c>
      <x:c r="D221" s="14" t="str">
        <x:v>Low</x:v>
      </x:c>
      <x:c r="E221" s="15" t="n">
        <x:v>46217.375</x:v>
      </x:c>
      <x:c r="F221" s="15" t="n">
        <x:v>46231.375</x:v>
      </x:c>
      <x:c r="G221" s="15" t="n">
        <x:v>46221.458333333336</x:v>
      </x:c>
      <x:c r="H221" s="14" t="n">
        <x:v>2</x:v>
      </x:c>
      <x:c r="I221" s="1" t="n">
        <x:f>IF(AND(E221&lt;Reporting!$B$4,OR(G221="",G221&gt;=Reporting!$B$4)),1,0)</x:f>
        <x:v>0</x:v>
      </x:c>
      <x:c r="J221" s="1" t="n">
        <x:f>IF(AND(I221=1,F221&lt;Reporting!$B$4),1,0)</x:f>
        <x:v>0</x:v>
      </x:c>
      <x:c r="K221" s="1" t="n">
        <x:f>IF(F221&lt;Reporting!$B$4,1,0)</x:f>
        <x:v>1</x:v>
      </x:c>
      <x:c r="L221" s="1" t="n">
        <x:f>IF(AND(K221=1,G221&lt;&gt;"",G221&lt;=F221),1,0)</x:f>
        <x:v>1</x:v>
      </x:c>
      <x:c r="M221" s="1" t="n">
        <x:f>IF(AND(G221&lt;&gt;"",G221&lt;Reporting!$B$4),1,0)</x:f>
        <x:v>1</x:v>
      </x:c>
      <x:c r="N221" s="16" t="n">
        <x:f>IF(M221=1,G221-E221,"")</x:f>
        <x:v>4.083333333335759</x:v>
      </x:c>
      <x:c r="O221" s="1" t="str">
        <x:f>IF(E221&gt;=Reporting!$B$4,"Outside cutoff",IF(M221=1,"Closed",IF(J221=1,"Overdue","Open - within SLA")))</x:f>
        <x:v>Closed</x:v>
      </x:c>
    </x:row>
    <x:row r="222">
      <x:c r="A222" s="14" t="str">
        <x:v>CASE-00217</x:v>
      </x:c>
      <x:c r="B222" s="14" t="str">
        <x:v>Customer Services</x:v>
      </x:c>
      <x:c r="C222" s="14" t="str">
        <x:v>Missing evidence</x:v>
      </x:c>
      <x:c r="D222" s="14" t="str">
        <x:v>Low</x:v>
      </x:c>
      <x:c r="E222" s="15" t="n">
        <x:v>46225.333333333336</x:v>
      </x:c>
      <x:c r="F222" s="15" t="n">
        <x:v>46239.333333333336</x:v>
      </x:c>
      <x:c r="G222" s="15" t="n">
        <x:v>46239.416666666664</x:v>
      </x:c>
      <x:c r="H222" s="14" t="n">
        <x:v>1</x:v>
      </x:c>
      <x:c r="I222" s="1" t="n">
        <x:f>IF(AND(E222&lt;Reporting!$B$4,OR(G222="",G222&gt;=Reporting!$B$4)),1,0)</x:f>
        <x:v>0</x:v>
      </x:c>
      <x:c r="J222" s="1" t="n">
        <x:f>IF(AND(I222=1,F222&lt;Reporting!$B$4),1,0)</x:f>
        <x:v>0</x:v>
      </x:c>
      <x:c r="K222" s="1" t="n">
        <x:f>IF(F222&lt;Reporting!$B$4,1,0)</x:f>
        <x:v>1</x:v>
      </x:c>
      <x:c r="L222" s="1" t="n">
        <x:f>IF(AND(K222=1,G222&lt;&gt;"",G222&lt;=F222),1,0)</x:f>
        <x:v>0</x:v>
      </x:c>
      <x:c r="M222" s="1" t="n">
        <x:f>IF(AND(G222&lt;&gt;"",G222&lt;Reporting!$B$4),1,0)</x:f>
        <x:v>1</x:v>
      </x:c>
      <x:c r="N222" s="16" t="n">
        <x:f>IF(M222=1,G222-E222,"")</x:f>
        <x:v>14.083333333328483</x:v>
      </x:c>
      <x:c r="O222" s="1" t="str">
        <x:f>IF(E222&gt;=Reporting!$B$4,"Outside cutoff",IF(M222=1,"Closed",IF(J222=1,"Overdue","Open - within SLA")))</x:f>
        <x:v>Closed</x:v>
      </x:c>
    </x:row>
    <x:row r="223">
      <x:c r="A223" s="14" t="str">
        <x:v>CASE-00218</x:v>
      </x:c>
      <x:c r="B223" s="14" t="str">
        <x:v>Warehouse</x:v>
      </x:c>
      <x:c r="C223" s="14" t="str">
        <x:v>Record mismatch</x:v>
      </x:c>
      <x:c r="D223" s="14" t="str">
        <x:v>Low</x:v>
      </x:c>
      <x:c r="E223" s="15" t="n">
        <x:v>46234.625</x:v>
      </x:c>
      <x:c r="F223" s="15" t="n">
        <x:v>46248.625</x:v>
      </x:c>
      <x:c r="G223" s="15" t="n">
        <x:v>46249.625</x:v>
      </x:c>
      <x:c r="H223" s="14" t="n">
        <x:v>2</x:v>
      </x:c>
      <x:c r="I223" s="1" t="n">
        <x:f>IF(AND(E223&lt;Reporting!$B$4,OR(G223="",G223&gt;=Reporting!$B$4)),1,0)</x:f>
        <x:v>0</x:v>
      </x:c>
      <x:c r="J223" s="1" t="n">
        <x:f>IF(AND(I223=1,F223&lt;Reporting!$B$4),1,0)</x:f>
        <x:v>0</x:v>
      </x:c>
      <x:c r="K223" s="1" t="n">
        <x:f>IF(F223&lt;Reporting!$B$4,1,0)</x:f>
        <x:v>1</x:v>
      </x:c>
      <x:c r="L223" s="1" t="n">
        <x:f>IF(AND(K223=1,G223&lt;&gt;"",G223&lt;=F223),1,0)</x:f>
        <x:v>0</x:v>
      </x:c>
      <x:c r="M223" s="1" t="n">
        <x:f>IF(AND(G223&lt;&gt;"",G223&lt;Reporting!$B$4),1,0)</x:f>
        <x:v>1</x:v>
      </x:c>
      <x:c r="N223" s="16" t="n">
        <x:f>IF(M223=1,G223-E223,"")</x:f>
        <x:v>15</x:v>
      </x:c>
      <x:c r="O223" s="1" t="str">
        <x:f>IF(E223&gt;=Reporting!$B$4,"Outside cutoff",IF(M223=1,"Closed",IF(J223=1,"Overdue","Open - within SLA")))</x:f>
        <x:v>Closed</x:v>
      </x:c>
    </x:row>
    <x:row r="224">
      <x:c r="A224" s="14" t="str">
        <x:v>CASE-00219</x:v>
      </x:c>
      <x:c r="B224" s="14" t="str">
        <x:v>Installation</x:v>
      </x:c>
      <x:c r="C224" s="14" t="str">
        <x:v>Record mismatch</x:v>
      </x:c>
      <x:c r="D224" s="14" t="str">
        <x:v>Low</x:v>
      </x:c>
      <x:c r="E224" s="15" t="n">
        <x:v>46228.541666666664</x:v>
      </x:c>
      <x:c r="F224" s="15" t="n">
        <x:v>46242.541666666664</x:v>
      </x:c>
      <x:c r="G224" s="15" t="n">
        <x:v>46243.541666666664</x:v>
      </x:c>
      <x:c r="H224" s="14" t="n">
        <x:v>3</x:v>
      </x:c>
      <x:c r="I224" s="1" t="n">
        <x:f>IF(AND(E224&lt;Reporting!$B$4,OR(G224="",G224&gt;=Reporting!$B$4)),1,0)</x:f>
        <x:v>0</x:v>
      </x:c>
      <x:c r="J224" s="1" t="n">
        <x:f>IF(AND(I224=1,F224&lt;Reporting!$B$4),1,0)</x:f>
        <x:v>0</x:v>
      </x:c>
      <x:c r="K224" s="1" t="n">
        <x:f>IF(F224&lt;Reporting!$B$4,1,0)</x:f>
        <x:v>1</x:v>
      </x:c>
      <x:c r="L224" s="1" t="n">
        <x:f>IF(AND(K224=1,G224&lt;&gt;"",G224&lt;=F224),1,0)</x:f>
        <x:v>0</x:v>
      </x:c>
      <x:c r="M224" s="1" t="n">
        <x:f>IF(AND(G224&lt;&gt;"",G224&lt;Reporting!$B$4),1,0)</x:f>
        <x:v>1</x:v>
      </x:c>
      <x:c r="N224" s="16" t="n">
        <x:f>IF(M224=1,G224-E224,"")</x:f>
        <x:v>15</x:v>
      </x:c>
      <x:c r="O224" s="1" t="str">
        <x:f>IF(E224&gt;=Reporting!$B$4,"Outside cutoff",IF(M224=1,"Closed",IF(J224=1,"Overdue","Open - within SLA")))</x:f>
        <x:v>Closed</x:v>
      </x:c>
    </x:row>
    <x:row r="225">
      <x:c r="A225" s="14" t="str">
        <x:v>CASE-00220</x:v>
      </x:c>
      <x:c r="B225" s="14" t="str">
        <x:v>Installation</x:v>
      </x:c>
      <x:c r="C225" s="14" t="str">
        <x:v>Process deviation</x:v>
      </x:c>
      <x:c r="D225" s="14" t="str">
        <x:v>Medium</x:v>
      </x:c>
      <x:c r="E225" s="15" t="n">
        <x:v>46215.375</x:v>
      </x:c>
      <x:c r="F225" s="15" t="n">
        <x:v>46222.375</x:v>
      </x:c>
      <x:c r="G225" s="15" t="n">
        <x:v>46221.416666666664</x:v>
      </x:c>
      <x:c r="H225" s="14" t="n">
        <x:v>3</x:v>
      </x:c>
      <x:c r="I225" s="1" t="n">
        <x:f>IF(AND(E225&lt;Reporting!$B$4,OR(G225="",G225&gt;=Reporting!$B$4)),1,0)</x:f>
        <x:v>0</x:v>
      </x:c>
      <x:c r="J225" s="1" t="n">
        <x:f>IF(AND(I225=1,F225&lt;Reporting!$B$4),1,0)</x:f>
        <x:v>0</x:v>
      </x:c>
      <x:c r="K225" s="1" t="n">
        <x:f>IF(F225&lt;Reporting!$B$4,1,0)</x:f>
        <x:v>1</x:v>
      </x:c>
      <x:c r="L225" s="1" t="n">
        <x:f>IF(AND(K225=1,G225&lt;&gt;"",G225&lt;=F225),1,0)</x:f>
        <x:v>1</x:v>
      </x:c>
      <x:c r="M225" s="1" t="n">
        <x:f>IF(AND(G225&lt;&gt;"",G225&lt;Reporting!$B$4),1,0)</x:f>
        <x:v>1</x:v>
      </x:c>
      <x:c r="N225" s="16" t="n">
        <x:f>IF(M225=1,G225-E225,"")</x:f>
        <x:v>6.041666666664241</x:v>
      </x:c>
      <x:c r="O225" s="1" t="str">
        <x:f>IF(E225&gt;=Reporting!$B$4,"Outside cutoff",IF(M225=1,"Closed",IF(J225=1,"Overdue","Open - within SLA")))</x:f>
        <x:v>Closed</x:v>
      </x:c>
    </x:row>
    <x:row r="226">
      <x:c r="A226" s="14" t="str">
        <x:v>CASE-00221</x:v>
      </x:c>
      <x:c r="B226" s="14" t="str">
        <x:v>Warehouse</x:v>
      </x:c>
      <x:c r="C226" s="14" t="str">
        <x:v>Process deviation</x:v>
      </x:c>
      <x:c r="D226" s="14" t="str">
        <x:v>High</x:v>
      </x:c>
      <x:c r="E226" s="15" t="n">
        <x:v>46217.541666666664</x:v>
      </x:c>
      <x:c r="F226" s="15" t="n">
        <x:v>46220.541666666664</x:v>
      </x:c>
      <x:c r="G226" s="15"/>
      <x:c r="H226" s="14" t="n">
        <x:v>2</x:v>
      </x:c>
      <x:c r="I226" s="1" t="n">
        <x:f>IF(AND(E226&lt;Reporting!$B$4,OR(G226="",G226&gt;=Reporting!$B$4)),1,0)</x:f>
        <x:v>1</x:v>
      </x:c>
      <x:c r="J226" s="1" t="n">
        <x:f>IF(AND(I226=1,F226&lt;Reporting!$B$4),1,0)</x:f>
        <x:v>1</x:v>
      </x:c>
      <x:c r="K226" s="1" t="n">
        <x:f>IF(F226&lt;Reporting!$B$4,1,0)</x:f>
        <x:v>1</x:v>
      </x:c>
      <x:c r="L226" s="1" t="n">
        <x:f>IF(AND(K226=1,G226&lt;&gt;"",G226&lt;=F226),1,0)</x:f>
        <x:v>0</x:v>
      </x:c>
      <x:c r="M226" s="1" t="n">
        <x:f>IF(AND(G226&lt;&gt;"",G226&lt;Reporting!$B$4),1,0)</x:f>
        <x:v>0</x:v>
      </x:c>
      <x:c r="N226" s="16" t="str">
        <x:f>IF(M226=1,G226-E226,"")</x:f>
      </x:c>
      <x:c r="O226" s="1" t="str">
        <x:f>IF(E226&gt;=Reporting!$B$4,"Outside cutoff",IF(M226=1,"Closed",IF(J226=1,"Overdue","Open - within SLA")))</x:f>
        <x:v>Overdue</x:v>
      </x:c>
    </x:row>
    <x:row r="227">
      <x:c r="A227" s="14" t="str">
        <x:v>CASE-00222</x:v>
      </x:c>
      <x:c r="B227" s="14" t="str">
        <x:v>Warehouse</x:v>
      </x:c>
      <x:c r="C227" s="14" t="str">
        <x:v>Missing evidence</x:v>
      </x:c>
      <x:c r="D227" s="14" t="str">
        <x:v>Medium</x:v>
      </x:c>
      <x:c r="E227" s="15" t="n">
        <x:v>46219.458333333336</x:v>
      </x:c>
      <x:c r="F227" s="15" t="n">
        <x:v>46226.458333333336</x:v>
      </x:c>
      <x:c r="G227" s="15" t="n">
        <x:v>46233.458333333336</x:v>
      </x:c>
      <x:c r="H227" s="14" t="n">
        <x:v>2</x:v>
      </x:c>
      <x:c r="I227" s="1" t="n">
        <x:f>IF(AND(E227&lt;Reporting!$B$4,OR(G227="",G227&gt;=Reporting!$B$4)),1,0)</x:f>
        <x:v>0</x:v>
      </x:c>
      <x:c r="J227" s="1" t="n">
        <x:f>IF(AND(I227=1,F227&lt;Reporting!$B$4),1,0)</x:f>
        <x:v>0</x:v>
      </x:c>
      <x:c r="K227" s="1" t="n">
        <x:f>IF(F227&lt;Reporting!$B$4,1,0)</x:f>
        <x:v>1</x:v>
      </x:c>
      <x:c r="L227" s="1" t="n">
        <x:f>IF(AND(K227=1,G227&lt;&gt;"",G227&lt;=F227),1,0)</x:f>
        <x:v>0</x:v>
      </x:c>
      <x:c r="M227" s="1" t="n">
        <x:f>IF(AND(G227&lt;&gt;"",G227&lt;Reporting!$B$4),1,0)</x:f>
        <x:v>1</x:v>
      </x:c>
      <x:c r="N227" s="16" t="n">
        <x:f>IF(M227=1,G227-E227,"")</x:f>
        <x:v>14</x:v>
      </x:c>
      <x:c r="O227" s="1" t="str">
        <x:f>IF(E227&gt;=Reporting!$B$4,"Outside cutoff",IF(M227=1,"Closed",IF(J227=1,"Overdue","Open - within SLA")))</x:f>
        <x:v>Closed</x:v>
      </x:c>
    </x:row>
    <x:row r="228">
      <x:c r="A228" s="14" t="str">
        <x:v>CASE-00223</x:v>
      </x:c>
      <x:c r="B228" s="14" t="str">
        <x:v>Warehouse</x:v>
      </x:c>
      <x:c r="C228" s="14" t="str">
        <x:v>Process deviation</x:v>
      </x:c>
      <x:c r="D228" s="14" t="str">
        <x:v>Medium</x:v>
      </x:c>
      <x:c r="E228" s="15" t="n">
        <x:v>46244.333333333336</x:v>
      </x:c>
      <x:c r="F228" s="15" t="n">
        <x:v>46251.333333333336</x:v>
      </x:c>
      <x:c r="G228" s="15" t="n">
        <x:v>46271.375</x:v>
      </x:c>
      <x:c r="H228" s="14" t="n">
        <x:v>2</x:v>
      </x:c>
      <x:c r="I228" s="1" t="n">
        <x:f>IF(AND(E228&lt;Reporting!$B$4,OR(G228="",G228&gt;=Reporting!$B$4)),1,0)</x:f>
        <x:v>0</x:v>
      </x:c>
      <x:c r="J228" s="1" t="n">
        <x:f>IF(AND(I228=1,F228&lt;Reporting!$B$4),1,0)</x:f>
        <x:v>0</x:v>
      </x:c>
      <x:c r="K228" s="1" t="n">
        <x:f>IF(F228&lt;Reporting!$B$4,1,0)</x:f>
        <x:v>1</x:v>
      </x:c>
      <x:c r="L228" s="1" t="n">
        <x:f>IF(AND(K228=1,G228&lt;&gt;"",G228&lt;=F228),1,0)</x:f>
        <x:v>0</x:v>
      </x:c>
      <x:c r="M228" s="1" t="n">
        <x:f>IF(AND(G228&lt;&gt;"",G228&lt;Reporting!$B$4),1,0)</x:f>
        <x:v>1</x:v>
      </x:c>
      <x:c r="N228" s="16" t="n">
        <x:f>IF(M228=1,G228-E228,"")</x:f>
        <x:v>27.04166666666424</x:v>
      </x:c>
      <x:c r="O228" s="1" t="str">
        <x:f>IF(E228&gt;=Reporting!$B$4,"Outside cutoff",IF(M228=1,"Closed",IF(J228=1,"Overdue","Open - within SLA")))</x:f>
        <x:v>Closed</x:v>
      </x:c>
    </x:row>
    <x:row r="229">
      <x:c r="A229" s="14" t="str">
        <x:v>CASE-00224</x:v>
      </x:c>
      <x:c r="B229" s="14" t="str">
        <x:v>Installation</x:v>
      </x:c>
      <x:c r="C229" s="14" t="str">
        <x:v>Missing evidence</x:v>
      </x:c>
      <x:c r="D229" s="14" t="str">
        <x:v>Medium</x:v>
      </x:c>
      <x:c r="E229" s="15" t="n">
        <x:v>46241.625</x:v>
      </x:c>
      <x:c r="F229" s="15" t="n">
        <x:v>46248.625</x:v>
      </x:c>
      <x:c r="G229" s="15" t="n">
        <x:v>46243.625</x:v>
      </x:c>
      <x:c r="H229" s="14" t="n">
        <x:v>3</x:v>
      </x:c>
      <x:c r="I229" s="1" t="n">
        <x:f>IF(AND(E229&lt;Reporting!$B$4,OR(G229="",G229&gt;=Reporting!$B$4)),1,0)</x:f>
        <x:v>0</x:v>
      </x:c>
      <x:c r="J229" s="1" t="n">
        <x:f>IF(AND(I229=1,F229&lt;Reporting!$B$4),1,0)</x:f>
        <x:v>0</x:v>
      </x:c>
      <x:c r="K229" s="1" t="n">
        <x:f>IF(F229&lt;Reporting!$B$4,1,0)</x:f>
        <x:v>1</x:v>
      </x:c>
      <x:c r="L229" s="1" t="n">
        <x:f>IF(AND(K229=1,G229&lt;&gt;"",G229&lt;=F229),1,0)</x:f>
        <x:v>1</x:v>
      </x:c>
      <x:c r="M229" s="1" t="n">
        <x:f>IF(AND(G229&lt;&gt;"",G229&lt;Reporting!$B$4),1,0)</x:f>
        <x:v>1</x:v>
      </x:c>
      <x:c r="N229" s="16" t="n">
        <x:f>IF(M229=1,G229-E229,"")</x:f>
        <x:v>2</x:v>
      </x:c>
      <x:c r="O229" s="1" t="str">
        <x:f>IF(E229&gt;=Reporting!$B$4,"Outside cutoff",IF(M229=1,"Closed",IF(J229=1,"Overdue","Open - within SLA")))</x:f>
        <x:v>Closed</x:v>
      </x:c>
    </x:row>
    <x:row r="230">
      <x:c r="A230" s="14" t="str">
        <x:v>CASE-00225</x:v>
      </x:c>
      <x:c r="B230" s="14" t="str">
        <x:v>Installation</x:v>
      </x:c>
      <x:c r="C230" s="14" t="str">
        <x:v>Missing evidence</x:v>
      </x:c>
      <x:c r="D230" s="14" t="str">
        <x:v>Medium</x:v>
      </x:c>
      <x:c r="E230" s="15" t="n">
        <x:v>46283.416666666664</x:v>
      </x:c>
      <x:c r="F230" s="15" t="n">
        <x:v>46290.416666666664</x:v>
      </x:c>
      <x:c r="G230" s="15"/>
      <x:c r="H230" s="14" t="n">
        <x:v>3</x:v>
      </x:c>
      <x:c r="I230" s="1" t="n">
        <x:f>IF(AND(E230&lt;Reporting!$B$4,OR(G230="",G230&gt;=Reporting!$B$4)),1,0)</x:f>
        <x:v>1</x:v>
      </x:c>
      <x:c r="J230" s="1" t="n">
        <x:f>IF(AND(I230=1,F230&lt;Reporting!$B$4),1,0)</x:f>
        <x:v>0</x:v>
      </x:c>
      <x:c r="K230" s="1" t="n">
        <x:f>IF(F230&lt;Reporting!$B$4,1,0)</x:f>
        <x:v>0</x:v>
      </x:c>
      <x:c r="L230" s="1" t="n">
        <x:f>IF(AND(K230=1,G230&lt;&gt;"",G230&lt;=F230),1,0)</x:f>
        <x:v>0</x:v>
      </x:c>
      <x:c r="M230" s="1" t="n">
        <x:f>IF(AND(G230&lt;&gt;"",G230&lt;Reporting!$B$4),1,0)</x:f>
        <x:v>0</x:v>
      </x:c>
      <x:c r="N230" s="16" t="str">
        <x:f>IF(M230=1,G230-E230,"")</x:f>
      </x:c>
      <x:c r="O230" s="1" t="str">
        <x:f>IF(E230&gt;=Reporting!$B$4,"Outside cutoff",IF(M230=1,"Closed",IF(J230=1,"Overdue","Open - within SLA")))</x:f>
        <x:v>Open - within SLA</x:v>
      </x:c>
    </x:row>
    <x:row r="231">
      <x:c r="A231" s="14" t="str">
        <x:v>CASE-00226</x:v>
      </x:c>
      <x:c r="B231" s="14" t="str">
        <x:v>Installation</x:v>
      </x:c>
      <x:c r="C231" s="14" t="str">
        <x:v>Process deviation</x:v>
      </x:c>
      <x:c r="D231" s="14" t="str">
        <x:v>Low</x:v>
      </x:c>
      <x:c r="E231" s="15" t="n">
        <x:v>46271.375</x:v>
      </x:c>
      <x:c r="F231" s="15" t="n">
        <x:v>46285.375</x:v>
      </x:c>
      <x:c r="G231" s="15" t="n">
        <x:v>46281.416666666664</x:v>
      </x:c>
      <x:c r="H231" s="14" t="n">
        <x:v>3</x:v>
      </x:c>
      <x:c r="I231" s="1" t="n">
        <x:f>IF(AND(E231&lt;Reporting!$B$4,OR(G231="",G231&gt;=Reporting!$B$4)),1,0)</x:f>
        <x:v>0</x:v>
      </x:c>
      <x:c r="J231" s="1" t="n">
        <x:f>IF(AND(I231=1,F231&lt;Reporting!$B$4),1,0)</x:f>
        <x:v>0</x:v>
      </x:c>
      <x:c r="K231" s="1" t="n">
        <x:f>IF(F231&lt;Reporting!$B$4,1,0)</x:f>
        <x:v>1</x:v>
      </x:c>
      <x:c r="L231" s="1" t="n">
        <x:f>IF(AND(K231=1,G231&lt;&gt;"",G231&lt;=F231),1,0)</x:f>
        <x:v>1</x:v>
      </x:c>
      <x:c r="M231" s="1" t="n">
        <x:f>IF(AND(G231&lt;&gt;"",G231&lt;Reporting!$B$4),1,0)</x:f>
        <x:v>1</x:v>
      </x:c>
      <x:c r="N231" s="16" t="n">
        <x:f>IF(M231=1,G231-E231,"")</x:f>
        <x:v>10.041666666664241</x:v>
      </x:c>
      <x:c r="O231" s="1" t="str">
        <x:f>IF(E231&gt;=Reporting!$B$4,"Outside cutoff",IF(M231=1,"Closed",IF(J231=1,"Overdue","Open - within SLA")))</x:f>
        <x:v>Closed</x:v>
      </x:c>
    </x:row>
    <x:row r="232">
      <x:c r="A232" s="14" t="str">
        <x:v>CASE-00227</x:v>
      </x:c>
      <x:c r="B232" s="14" t="str">
        <x:v>Installation</x:v>
      </x:c>
      <x:c r="C232" s="14" t="str">
        <x:v>Missing evidence</x:v>
      </x:c>
      <x:c r="D232" s="14" t="str">
        <x:v>Medium</x:v>
      </x:c>
      <x:c r="E232" s="15" t="n">
        <x:v>46234.666666666664</x:v>
      </x:c>
      <x:c r="F232" s="15" t="n">
        <x:v>46241.666666666664</x:v>
      </x:c>
      <x:c r="G232" s="15" t="n">
        <x:v>46249.75</x:v>
      </x:c>
      <x:c r="H232" s="14" t="n">
        <x:v>3</x:v>
      </x:c>
      <x:c r="I232" s="1" t="n">
        <x:f>IF(AND(E232&lt;Reporting!$B$4,OR(G232="",G232&gt;=Reporting!$B$4)),1,0)</x:f>
        <x:v>0</x:v>
      </x:c>
      <x:c r="J232" s="1" t="n">
        <x:f>IF(AND(I232=1,F232&lt;Reporting!$B$4),1,0)</x:f>
        <x:v>0</x:v>
      </x:c>
      <x:c r="K232" s="1" t="n">
        <x:f>IF(F232&lt;Reporting!$B$4,1,0)</x:f>
        <x:v>1</x:v>
      </x:c>
      <x:c r="L232" s="1" t="n">
        <x:f>IF(AND(K232=1,G232&lt;&gt;"",G232&lt;=F232),1,0)</x:f>
        <x:v>0</x:v>
      </x:c>
      <x:c r="M232" s="1" t="n">
        <x:f>IF(AND(G232&lt;&gt;"",G232&lt;Reporting!$B$4),1,0)</x:f>
        <x:v>1</x:v>
      </x:c>
      <x:c r="N232" s="16" t="n">
        <x:f>IF(M232=1,G232-E232,"")</x:f>
        <x:v>15.083333333335759</x:v>
      </x:c>
      <x:c r="O232" s="1" t="str">
        <x:f>IF(E232&gt;=Reporting!$B$4,"Outside cutoff",IF(M232=1,"Closed",IF(J232=1,"Overdue","Open - within SLA")))</x:f>
        <x:v>Closed</x:v>
      </x:c>
    </x:row>
    <x:row r="233">
      <x:c r="A233" s="14" t="str">
        <x:v>CASE-00228</x:v>
      </x:c>
      <x:c r="B233" s="14" t="str">
        <x:v>Warehouse</x:v>
      </x:c>
      <x:c r="C233" s="14" t="str">
        <x:v>Late review</x:v>
      </x:c>
      <x:c r="D233" s="14" t="str">
        <x:v>High</x:v>
      </x:c>
      <x:c r="E233" s="15" t="n">
        <x:v>46273.458333333336</x:v>
      </x:c>
      <x:c r="F233" s="15" t="n">
        <x:v>46276.458333333336</x:v>
      </x:c>
      <x:c r="G233" s="15"/>
      <x:c r="H233" s="14" t="n">
        <x:v>2</x:v>
      </x:c>
      <x:c r="I233" s="1" t="n">
        <x:f>IF(AND(E233&lt;Reporting!$B$4,OR(G233="",G233&gt;=Reporting!$B$4)),1,0)</x:f>
        <x:v>1</x:v>
      </x:c>
      <x:c r="J233" s="1" t="n">
        <x:f>IF(AND(I233=1,F233&lt;Reporting!$B$4),1,0)</x:f>
        <x:v>1</x:v>
      </x:c>
      <x:c r="K233" s="1" t="n">
        <x:f>IF(F233&lt;Reporting!$B$4,1,0)</x:f>
        <x:v>1</x:v>
      </x:c>
      <x:c r="L233" s="1" t="n">
        <x:f>IF(AND(K233=1,G233&lt;&gt;"",G233&lt;=F233),1,0)</x:f>
        <x:v>0</x:v>
      </x:c>
      <x:c r="M233" s="1" t="n">
        <x:f>IF(AND(G233&lt;&gt;"",G233&lt;Reporting!$B$4),1,0)</x:f>
        <x:v>0</x:v>
      </x:c>
      <x:c r="N233" s="16" t="str">
        <x:f>IF(M233=1,G233-E233,"")</x:f>
      </x:c>
      <x:c r="O233" s="1" t="str">
        <x:f>IF(E233&gt;=Reporting!$B$4,"Outside cutoff",IF(M233=1,"Closed",IF(J233=1,"Overdue","Open - within SLA")))</x:f>
        <x:v>Overdue</x:v>
      </x:c>
    </x:row>
    <x:row r="234">
      <x:c r="A234" s="14" t="str">
        <x:v>CASE-00229</x:v>
      </x:c>
      <x:c r="B234" s="14" t="str">
        <x:v>Customer Services</x:v>
      </x:c>
      <x:c r="C234" s="14" t="str">
        <x:v>Record mismatch</x:v>
      </x:c>
      <x:c r="D234" s="14" t="str">
        <x:v>High</x:v>
      </x:c>
      <x:c r="E234" s="15" t="n">
        <x:v>46261.375</x:v>
      </x:c>
      <x:c r="F234" s="15" t="n">
        <x:v>46264.375</x:v>
      </x:c>
      <x:c r="G234" s="15" t="n">
        <x:v>46266.416666666664</x:v>
      </x:c>
      <x:c r="H234" s="14" t="n">
        <x:v>1</x:v>
      </x:c>
      <x:c r="I234" s="1" t="n">
        <x:f>IF(AND(E234&lt;Reporting!$B$4,OR(G234="",G234&gt;=Reporting!$B$4)),1,0)</x:f>
        <x:v>0</x:v>
      </x:c>
      <x:c r="J234" s="1" t="n">
        <x:f>IF(AND(I234=1,F234&lt;Reporting!$B$4),1,0)</x:f>
        <x:v>0</x:v>
      </x:c>
      <x:c r="K234" s="1" t="n">
        <x:f>IF(F234&lt;Reporting!$B$4,1,0)</x:f>
        <x:v>1</x:v>
      </x:c>
      <x:c r="L234" s="1" t="n">
        <x:f>IF(AND(K234=1,G234&lt;&gt;"",G234&lt;=F234),1,0)</x:f>
        <x:v>0</x:v>
      </x:c>
      <x:c r="M234" s="1" t="n">
        <x:f>IF(AND(G234&lt;&gt;"",G234&lt;Reporting!$B$4),1,0)</x:f>
        <x:v>1</x:v>
      </x:c>
      <x:c r="N234" s="16" t="n">
        <x:f>IF(M234=1,G234-E234,"")</x:f>
        <x:v>5.041666666664241</x:v>
      </x:c>
      <x:c r="O234" s="1" t="str">
        <x:f>IF(E234&gt;=Reporting!$B$4,"Outside cutoff",IF(M234=1,"Closed",IF(J234=1,"Overdue","Open - within SLA")))</x:f>
        <x:v>Closed</x:v>
      </x:c>
    </x:row>
    <x:row r="235">
      <x:c r="A235" s="14" t="str">
        <x:v>CASE-00230</x:v>
      </x:c>
      <x:c r="B235" s="14" t="str">
        <x:v>Customer Services</x:v>
      </x:c>
      <x:c r="C235" s="14" t="str">
        <x:v>Process deviation</x:v>
      </x:c>
      <x:c r="D235" s="14" t="str">
        <x:v>Medium</x:v>
      </x:c>
      <x:c r="E235" s="15" t="n">
        <x:v>46207.458333333336</x:v>
      </x:c>
      <x:c r="F235" s="15" t="n">
        <x:v>46214.458333333336</x:v>
      </x:c>
      <x:c r="G235" s="15" t="n">
        <x:v>46211.458333333336</x:v>
      </x:c>
      <x:c r="H235" s="14" t="n">
        <x:v>1</x:v>
      </x:c>
      <x:c r="I235" s="1" t="n">
        <x:f>IF(AND(E235&lt;Reporting!$B$4,OR(G235="",G235&gt;=Reporting!$B$4)),1,0)</x:f>
        <x:v>0</x:v>
      </x:c>
      <x:c r="J235" s="1" t="n">
        <x:f>IF(AND(I235=1,F235&lt;Reporting!$B$4),1,0)</x:f>
        <x:v>0</x:v>
      </x:c>
      <x:c r="K235" s="1" t="n">
        <x:f>IF(F235&lt;Reporting!$B$4,1,0)</x:f>
        <x:v>1</x:v>
      </x:c>
      <x:c r="L235" s="1" t="n">
        <x:f>IF(AND(K235=1,G235&lt;&gt;"",G235&lt;=F235),1,0)</x:f>
        <x:v>1</x:v>
      </x:c>
      <x:c r="M235" s="1" t="n">
        <x:f>IF(AND(G235&lt;&gt;"",G235&lt;Reporting!$B$4),1,0)</x:f>
        <x:v>1</x:v>
      </x:c>
      <x:c r="N235" s="16" t="n">
        <x:f>IF(M235=1,G235-E235,"")</x:f>
        <x:v>4</x:v>
      </x:c>
      <x:c r="O235" s="1" t="str">
        <x:f>IF(E235&gt;=Reporting!$B$4,"Outside cutoff",IF(M235=1,"Closed",IF(J235=1,"Overdue","Open - within SLA")))</x:f>
        <x:v>Closed</x:v>
      </x:c>
    </x:row>
    <x:row r="236">
      <x:c r="A236" s="14" t="str">
        <x:v>CASE-00231</x:v>
      </x:c>
      <x:c r="B236" s="14" t="str">
        <x:v>Warehouse</x:v>
      </x:c>
      <x:c r="C236" s="14" t="str">
        <x:v>Late review</x:v>
      </x:c>
      <x:c r="D236" s="14" t="str">
        <x:v>Low</x:v>
      </x:c>
      <x:c r="E236" s="15" t="n">
        <x:v>46236.583333333336</x:v>
      </x:c>
      <x:c r="F236" s="15" t="n">
        <x:v>46250.583333333336</x:v>
      </x:c>
      <x:c r="G236" s="15"/>
      <x:c r="H236" s="14" t="n">
        <x:v>2</x:v>
      </x:c>
      <x:c r="I236" s="1" t="n">
        <x:f>IF(AND(E236&lt;Reporting!$B$4,OR(G236="",G236&gt;=Reporting!$B$4)),1,0)</x:f>
        <x:v>1</x:v>
      </x:c>
      <x:c r="J236" s="1" t="n">
        <x:f>IF(AND(I236=1,F236&lt;Reporting!$B$4),1,0)</x:f>
        <x:v>1</x:v>
      </x:c>
      <x:c r="K236" s="1" t="n">
        <x:f>IF(F236&lt;Reporting!$B$4,1,0)</x:f>
        <x:v>1</x:v>
      </x:c>
      <x:c r="L236" s="1" t="n">
        <x:f>IF(AND(K236=1,G236&lt;&gt;"",G236&lt;=F236),1,0)</x:f>
        <x:v>0</x:v>
      </x:c>
      <x:c r="M236" s="1" t="n">
        <x:f>IF(AND(G236&lt;&gt;"",G236&lt;Reporting!$B$4),1,0)</x:f>
        <x:v>0</x:v>
      </x:c>
      <x:c r="N236" s="16" t="str">
        <x:f>IF(M236=1,G236-E236,"")</x:f>
      </x:c>
      <x:c r="O236" s="1" t="str">
        <x:f>IF(E236&gt;=Reporting!$B$4,"Outside cutoff",IF(M236=1,"Closed",IF(J236=1,"Overdue","Open - within SLA")))</x:f>
        <x:v>Overdue</x:v>
      </x:c>
    </x:row>
    <x:row r="237">
      <x:c r="A237" s="14" t="str">
        <x:v>CASE-00232</x:v>
      </x:c>
      <x:c r="B237" s="14" t="str">
        <x:v>Customer Services</x:v>
      </x:c>
      <x:c r="C237" s="14" t="str">
        <x:v>Missing evidence</x:v>
      </x:c>
      <x:c r="D237" s="14" t="str">
        <x:v>High</x:v>
      </x:c>
      <x:c r="E237" s="15" t="n">
        <x:v>46245.375</x:v>
      </x:c>
      <x:c r="F237" s="15" t="n">
        <x:v>46248.375</x:v>
      </x:c>
      <x:c r="G237" s="15" t="n">
        <x:v>46256.375</x:v>
      </x:c>
      <x:c r="H237" s="14" t="n">
        <x:v>1</x:v>
      </x:c>
      <x:c r="I237" s="1" t="n">
        <x:f>IF(AND(E237&lt;Reporting!$B$4,OR(G237="",G237&gt;=Reporting!$B$4)),1,0)</x:f>
        <x:v>0</x:v>
      </x:c>
      <x:c r="J237" s="1" t="n">
        <x:f>IF(AND(I237=1,F237&lt;Reporting!$B$4),1,0)</x:f>
        <x:v>0</x:v>
      </x:c>
      <x:c r="K237" s="1" t="n">
        <x:f>IF(F237&lt;Reporting!$B$4,1,0)</x:f>
        <x:v>1</x:v>
      </x:c>
      <x:c r="L237" s="1" t="n">
        <x:f>IF(AND(K237=1,G237&lt;&gt;"",G237&lt;=F237),1,0)</x:f>
        <x:v>0</x:v>
      </x:c>
      <x:c r="M237" s="1" t="n">
        <x:f>IF(AND(G237&lt;&gt;"",G237&lt;Reporting!$B$4),1,0)</x:f>
        <x:v>1</x:v>
      </x:c>
      <x:c r="N237" s="16" t="n">
        <x:f>IF(M237=1,G237-E237,"")</x:f>
        <x:v>11</x:v>
      </x:c>
      <x:c r="O237" s="1" t="str">
        <x:f>IF(E237&gt;=Reporting!$B$4,"Outside cutoff",IF(M237=1,"Closed",IF(J237=1,"Overdue","Open - within SLA")))</x:f>
        <x:v>Closed</x:v>
      </x:c>
    </x:row>
    <x:row r="238">
      <x:c r="A238" s="14" t="str">
        <x:v>CASE-00233</x:v>
      </x:c>
      <x:c r="B238" s="14" t="str">
        <x:v>Warehouse</x:v>
      </x:c>
      <x:c r="C238" s="14" t="str">
        <x:v>Record mismatch</x:v>
      </x:c>
      <x:c r="D238" s="14" t="str">
        <x:v>Medium</x:v>
      </x:c>
      <x:c r="E238" s="15" t="n">
        <x:v>46243.5</x:v>
      </x:c>
      <x:c r="F238" s="15" t="n">
        <x:v>46250.5</x:v>
      </x:c>
      <x:c r="G238" s="15" t="n">
        <x:v>46247.583333333336</x:v>
      </x:c>
      <x:c r="H238" s="14" t="n">
        <x:v>2</x:v>
      </x:c>
      <x:c r="I238" s="1" t="n">
        <x:f>IF(AND(E238&lt;Reporting!$B$4,OR(G238="",G238&gt;=Reporting!$B$4)),1,0)</x:f>
        <x:v>0</x:v>
      </x:c>
      <x:c r="J238" s="1" t="n">
        <x:f>IF(AND(I238=1,F238&lt;Reporting!$B$4),1,0)</x:f>
        <x:v>0</x:v>
      </x:c>
      <x:c r="K238" s="1" t="n">
        <x:f>IF(F238&lt;Reporting!$B$4,1,0)</x:f>
        <x:v>1</x:v>
      </x:c>
      <x:c r="L238" s="1" t="n">
        <x:f>IF(AND(K238=1,G238&lt;&gt;"",G238&lt;=F238),1,0)</x:f>
        <x:v>1</x:v>
      </x:c>
      <x:c r="M238" s="1" t="n">
        <x:f>IF(AND(G238&lt;&gt;"",G238&lt;Reporting!$B$4),1,0)</x:f>
        <x:v>1</x:v>
      </x:c>
      <x:c r="N238" s="16" t="n">
        <x:f>IF(M238=1,G238-E238,"")</x:f>
        <x:v>4.083333333335759</x:v>
      </x:c>
      <x:c r="O238" s="1" t="str">
        <x:f>IF(E238&gt;=Reporting!$B$4,"Outside cutoff",IF(M238=1,"Closed",IF(J238=1,"Overdue","Open - within SLA")))</x:f>
        <x:v>Closed</x:v>
      </x:c>
    </x:row>
    <x:row r="239">
      <x:c r="A239" s="14" t="str">
        <x:v>CASE-00234</x:v>
      </x:c>
      <x:c r="B239" s="14" t="str">
        <x:v>Warehouse</x:v>
      </x:c>
      <x:c r="C239" s="14" t="str">
        <x:v>Late review</x:v>
      </x:c>
      <x:c r="D239" s="14" t="str">
        <x:v>Medium</x:v>
      </x:c>
      <x:c r="E239" s="15" t="n">
        <x:v>46236.625</x:v>
      </x:c>
      <x:c r="F239" s="15" t="n">
        <x:v>46243.625</x:v>
      </x:c>
      <x:c r="G239" s="15"/>
      <x:c r="H239" s="14" t="n">
        <x:v>2</x:v>
      </x:c>
      <x:c r="I239" s="1" t="n">
        <x:f>IF(AND(E239&lt;Reporting!$B$4,OR(G239="",G239&gt;=Reporting!$B$4)),1,0)</x:f>
        <x:v>1</x:v>
      </x:c>
      <x:c r="J239" s="1" t="n">
        <x:f>IF(AND(I239=1,F239&lt;Reporting!$B$4),1,0)</x:f>
        <x:v>1</x:v>
      </x:c>
      <x:c r="K239" s="1" t="n">
        <x:f>IF(F239&lt;Reporting!$B$4,1,0)</x:f>
        <x:v>1</x:v>
      </x:c>
      <x:c r="L239" s="1" t="n">
        <x:f>IF(AND(K239=1,G239&lt;&gt;"",G239&lt;=F239),1,0)</x:f>
        <x:v>0</x:v>
      </x:c>
      <x:c r="M239" s="1" t="n">
        <x:f>IF(AND(G239&lt;&gt;"",G239&lt;Reporting!$B$4),1,0)</x:f>
        <x:v>0</x:v>
      </x:c>
      <x:c r="N239" s="16" t="str">
        <x:f>IF(M239=1,G239-E239,"")</x:f>
      </x:c>
      <x:c r="O239" s="1" t="str">
        <x:f>IF(E239&gt;=Reporting!$B$4,"Outside cutoff",IF(M239=1,"Closed",IF(J239=1,"Overdue","Open - within SLA")))</x:f>
        <x:v>Overdue</x:v>
      </x:c>
    </x:row>
    <x:row r="240">
      <x:c r="A240" s="14" t="str">
        <x:v>CASE-00235</x:v>
      </x:c>
      <x:c r="B240" s="14" t="str">
        <x:v>Customer Services</x:v>
      </x:c>
      <x:c r="C240" s="14" t="str">
        <x:v>Missing evidence</x:v>
      </x:c>
      <x:c r="D240" s="14" t="str">
        <x:v>Medium</x:v>
      </x:c>
      <x:c r="E240" s="15" t="n">
        <x:v>46204.375</x:v>
      </x:c>
      <x:c r="F240" s="15" t="n">
        <x:v>46211.375</x:v>
      </x:c>
      <x:c r="G240" s="15" t="n">
        <x:v>46206.416666666664</x:v>
      </x:c>
      <x:c r="H240" s="14" t="n">
        <x:v>1</x:v>
      </x:c>
      <x:c r="I240" s="1" t="n">
        <x:f>IF(AND(E240&lt;Reporting!$B$4,OR(G240="",G240&gt;=Reporting!$B$4)),1,0)</x:f>
        <x:v>0</x:v>
      </x:c>
      <x:c r="J240" s="1" t="n">
        <x:f>IF(AND(I240=1,F240&lt;Reporting!$B$4),1,0)</x:f>
        <x:v>0</x:v>
      </x:c>
      <x:c r="K240" s="1" t="n">
        <x:f>IF(F240&lt;Reporting!$B$4,1,0)</x:f>
        <x:v>1</x:v>
      </x:c>
      <x:c r="L240" s="1" t="n">
        <x:f>IF(AND(K240=1,G240&lt;&gt;"",G240&lt;=F240),1,0)</x:f>
        <x:v>1</x:v>
      </x:c>
      <x:c r="M240" s="1" t="n">
        <x:f>IF(AND(G240&lt;&gt;"",G240&lt;Reporting!$B$4),1,0)</x:f>
        <x:v>1</x:v>
      </x:c>
      <x:c r="N240" s="16" t="n">
        <x:f>IF(M240=1,G240-E240,"")</x:f>
        <x:v>2.0416666666642413</x:v>
      </x:c>
      <x:c r="O240" s="1" t="str">
        <x:f>IF(E240&gt;=Reporting!$B$4,"Outside cutoff",IF(M240=1,"Closed",IF(J240=1,"Overdue","Open - within SLA")))</x:f>
        <x:v>Closed</x:v>
      </x:c>
    </x:row>
    <x:row r="241">
      <x:c r="A241" s="14" t="str">
        <x:v>CASE-00236</x:v>
      </x:c>
      <x:c r="B241" s="14" t="str">
        <x:v>Customer Services</x:v>
      </x:c>
      <x:c r="C241" s="14" t="str">
        <x:v>Record mismatch</x:v>
      </x:c>
      <x:c r="D241" s="14" t="str">
        <x:v>Medium</x:v>
      </x:c>
      <x:c r="E241" s="15" t="n">
        <x:v>46230.666666666664</x:v>
      </x:c>
      <x:c r="F241" s="15" t="n">
        <x:v>46237.666666666664</x:v>
      </x:c>
      <x:c r="G241" s="15" t="n">
        <x:v>46247.75</x:v>
      </x:c>
      <x:c r="H241" s="14" t="n">
        <x:v>1</x:v>
      </x:c>
      <x:c r="I241" s="1" t="n">
        <x:f>IF(AND(E241&lt;Reporting!$B$4,OR(G241="",G241&gt;=Reporting!$B$4)),1,0)</x:f>
        <x:v>0</x:v>
      </x:c>
      <x:c r="J241" s="1" t="n">
        <x:f>IF(AND(I241=1,F241&lt;Reporting!$B$4),1,0)</x:f>
        <x:v>0</x:v>
      </x:c>
      <x:c r="K241" s="1" t="n">
        <x:f>IF(F241&lt;Reporting!$B$4,1,0)</x:f>
        <x:v>1</x:v>
      </x:c>
      <x:c r="L241" s="1" t="n">
        <x:f>IF(AND(K241=1,G241&lt;&gt;"",G241&lt;=F241),1,0)</x:f>
        <x:v>0</x:v>
      </x:c>
      <x:c r="M241" s="1" t="n">
        <x:f>IF(AND(G241&lt;&gt;"",G241&lt;Reporting!$B$4),1,0)</x:f>
        <x:v>1</x:v>
      </x:c>
      <x:c r="N241" s="16" t="n">
        <x:f>IF(M241=1,G241-E241,"")</x:f>
        <x:v>17.08333333333576</x:v>
      </x:c>
      <x:c r="O241" s="1" t="str">
        <x:f>IF(E241&gt;=Reporting!$B$4,"Outside cutoff",IF(M241=1,"Closed",IF(J241=1,"Overdue","Open - within SLA")))</x:f>
        <x:v>Closed</x:v>
      </x:c>
    </x:row>
    <x:row r="242">
      <x:c r="A242" s="14" t="str">
        <x:v>CASE-00237</x:v>
      </x:c>
      <x:c r="B242" s="14" t="str">
        <x:v>Installation</x:v>
      </x:c>
      <x:c r="C242" s="14" t="str">
        <x:v>Process deviation</x:v>
      </x:c>
      <x:c r="D242" s="14" t="str">
        <x:v>Low</x:v>
      </x:c>
      <x:c r="E242" s="15" t="n">
        <x:v>46265.666666666664</x:v>
      </x:c>
      <x:c r="F242" s="15" t="n">
        <x:v>46279.666666666664</x:v>
      </x:c>
      <x:c r="G242" s="15" t="n">
        <x:v>46275.708333333336</x:v>
      </x:c>
      <x:c r="H242" s="14" t="n">
        <x:v>3</x:v>
      </x:c>
      <x:c r="I242" s="1" t="n">
        <x:f>IF(AND(E242&lt;Reporting!$B$4,OR(G242="",G242&gt;=Reporting!$B$4)),1,0)</x:f>
        <x:v>0</x:v>
      </x:c>
      <x:c r="J242" s="1" t="n">
        <x:f>IF(AND(I242=1,F242&lt;Reporting!$B$4),1,0)</x:f>
        <x:v>0</x:v>
      </x:c>
      <x:c r="K242" s="1" t="n">
        <x:f>IF(F242&lt;Reporting!$B$4,1,0)</x:f>
        <x:v>1</x:v>
      </x:c>
      <x:c r="L242" s="1" t="n">
        <x:f>IF(AND(K242=1,G242&lt;&gt;"",G242&lt;=F242),1,0)</x:f>
        <x:v>1</x:v>
      </x:c>
      <x:c r="M242" s="1" t="n">
        <x:f>IF(AND(G242&lt;&gt;"",G242&lt;Reporting!$B$4),1,0)</x:f>
        <x:v>1</x:v>
      </x:c>
      <x:c r="N242" s="16" t="n">
        <x:f>IF(M242=1,G242-E242,"")</x:f>
        <x:v>10.041666666671517</x:v>
      </x:c>
      <x:c r="O242" s="1" t="str">
        <x:f>IF(E242&gt;=Reporting!$B$4,"Outside cutoff",IF(M242=1,"Closed",IF(J242=1,"Overdue","Open - within SLA")))</x:f>
        <x:v>Closed</x:v>
      </x:c>
    </x:row>
    <x:row r="243">
      <x:c r="A243" s="14" t="str">
        <x:v>CASE-00238</x:v>
      </x:c>
      <x:c r="B243" s="14" t="str">
        <x:v>Warehouse</x:v>
      </x:c>
      <x:c r="C243" s="14" t="str">
        <x:v>Late review</x:v>
      </x:c>
      <x:c r="D243" s="14" t="str">
        <x:v>Low</x:v>
      </x:c>
      <x:c r="E243" s="15" t="n">
        <x:v>46265.583333333336</x:v>
      </x:c>
      <x:c r="F243" s="15" t="n">
        <x:v>46279.583333333336</x:v>
      </x:c>
      <x:c r="G243" s="15" t="n">
        <x:v>46279.583333333336</x:v>
      </x:c>
      <x:c r="H243" s="14" t="n">
        <x:v>2</x:v>
      </x:c>
      <x:c r="I243" s="1" t="n">
        <x:f>IF(AND(E243&lt;Reporting!$B$4,OR(G243="",G243&gt;=Reporting!$B$4)),1,0)</x:f>
        <x:v>0</x:v>
      </x:c>
      <x:c r="J243" s="1" t="n">
        <x:f>IF(AND(I243=1,F243&lt;Reporting!$B$4),1,0)</x:f>
        <x:v>0</x:v>
      </x:c>
      <x:c r="K243" s="1" t="n">
        <x:f>IF(F243&lt;Reporting!$B$4,1,0)</x:f>
        <x:v>1</x:v>
      </x:c>
      <x:c r="L243" s="1" t="n">
        <x:f>IF(AND(K243=1,G243&lt;&gt;"",G243&lt;=F243),1,0)</x:f>
        <x:v>1</x:v>
      </x:c>
      <x:c r="M243" s="1" t="n">
        <x:f>IF(AND(G243&lt;&gt;"",G243&lt;Reporting!$B$4),1,0)</x:f>
        <x:v>1</x:v>
      </x:c>
      <x:c r="N243" s="16" t="n">
        <x:f>IF(M243=1,G243-E243,"")</x:f>
        <x:v>14</x:v>
      </x:c>
      <x:c r="O243" s="1" t="str">
        <x:f>IF(E243&gt;=Reporting!$B$4,"Outside cutoff",IF(M243=1,"Closed",IF(J243=1,"Overdue","Open - within SLA")))</x:f>
        <x:v>Closed</x:v>
      </x:c>
    </x:row>
    <x:row r="244">
      <x:c r="A244" s="14" t="str">
        <x:v>CASE-00239</x:v>
      </x:c>
      <x:c r="B244" s="14" t="str">
        <x:v>Customer Services</x:v>
      </x:c>
      <x:c r="C244" s="14" t="str">
        <x:v>Process deviation</x:v>
      </x:c>
      <x:c r="D244" s="14" t="str">
        <x:v>High</x:v>
      </x:c>
      <x:c r="E244" s="15" t="n">
        <x:v>46209.416666666664</x:v>
      </x:c>
      <x:c r="F244" s="15" t="n">
        <x:v>46212.416666666664</x:v>
      </x:c>
      <x:c r="G244" s="15"/>
      <x:c r="H244" s="14" t="n">
        <x:v>1</x:v>
      </x:c>
      <x:c r="I244" s="1" t="n">
        <x:f>IF(AND(E244&lt;Reporting!$B$4,OR(G244="",G244&gt;=Reporting!$B$4)),1,0)</x:f>
        <x:v>1</x:v>
      </x:c>
      <x:c r="J244" s="1" t="n">
        <x:f>IF(AND(I244=1,F244&lt;Reporting!$B$4),1,0)</x:f>
        <x:v>1</x:v>
      </x:c>
      <x:c r="K244" s="1" t="n">
        <x:f>IF(F244&lt;Reporting!$B$4,1,0)</x:f>
        <x:v>1</x:v>
      </x:c>
      <x:c r="L244" s="1" t="n">
        <x:f>IF(AND(K244=1,G244&lt;&gt;"",G244&lt;=F244),1,0)</x:f>
        <x:v>0</x:v>
      </x:c>
      <x:c r="M244" s="1" t="n">
        <x:f>IF(AND(G244&lt;&gt;"",G244&lt;Reporting!$B$4),1,0)</x:f>
        <x:v>0</x:v>
      </x:c>
      <x:c r="N244" s="16" t="str">
        <x:f>IF(M244=1,G244-E244,"")</x:f>
      </x:c>
      <x:c r="O244" s="1" t="str">
        <x:f>IF(E244&gt;=Reporting!$B$4,"Outside cutoff",IF(M244=1,"Closed",IF(J244=1,"Overdue","Open - within SLA")))</x:f>
        <x:v>Overdue</x:v>
      </x:c>
    </x:row>
    <x:row r="245">
      <x:c r="A245" s="14" t="str">
        <x:v>CASE-00240</x:v>
      </x:c>
      <x:c r="B245" s="14" t="str">
        <x:v>Installation</x:v>
      </x:c>
      <x:c r="C245" s="14" t="str">
        <x:v>Late review</x:v>
      </x:c>
      <x:c r="D245" s="14" t="str">
        <x:v>High</x:v>
      </x:c>
      <x:c r="E245" s="15" t="n">
        <x:v>46277.625</x:v>
      </x:c>
      <x:c r="F245" s="15" t="n">
        <x:v>46280.625</x:v>
      </x:c>
      <x:c r="G245" s="15"/>
      <x:c r="H245" s="14" t="n">
        <x:v>3</x:v>
      </x:c>
      <x:c r="I245" s="1" t="n">
        <x:f>IF(AND(E245&lt;Reporting!$B$4,OR(G245="",G245&gt;=Reporting!$B$4)),1,0)</x:f>
        <x:v>1</x:v>
      </x:c>
      <x:c r="J245" s="1" t="n">
        <x:f>IF(AND(I245=1,F245&lt;Reporting!$B$4),1,0)</x:f>
        <x:v>1</x:v>
      </x:c>
      <x:c r="K245" s="1" t="n">
        <x:f>IF(F245&lt;Reporting!$B$4,1,0)</x:f>
        <x:v>1</x:v>
      </x:c>
      <x:c r="L245" s="1" t="n">
        <x:f>IF(AND(K245=1,G245&lt;&gt;"",G245&lt;=F245),1,0)</x:f>
        <x:v>0</x:v>
      </x:c>
      <x:c r="M245" s="1" t="n">
        <x:f>IF(AND(G245&lt;&gt;"",G245&lt;Reporting!$B$4),1,0)</x:f>
        <x:v>0</x:v>
      </x:c>
      <x:c r="N245" s="16" t="str">
        <x:f>IF(M245=1,G245-E245,"")</x:f>
      </x:c>
      <x:c r="O245" s="1" t="str">
        <x:f>IF(E245&gt;=Reporting!$B$4,"Outside cutoff",IF(M245=1,"Closed",IF(J245=1,"Overdue","Open - within SLA")))</x:f>
        <x:v>Overdue</x:v>
      </x:c>
    </x:row>
    <x:row r="246">
      <x:c r="A246" s="14" t="str">
        <x:v>CASE-00241</x:v>
      </x:c>
      <x:c r="B246" s="14" t="str">
        <x:v>Customer Services</x:v>
      </x:c>
      <x:c r="C246" s="14" t="str">
        <x:v>Record mismatch</x:v>
      </x:c>
      <x:c r="D246" s="14" t="str">
        <x:v>Medium</x:v>
      </x:c>
      <x:c r="E246" s="15" t="n">
        <x:v>46248.583333333336</x:v>
      </x:c>
      <x:c r="F246" s="15" t="n">
        <x:v>46255.583333333336</x:v>
      </x:c>
      <x:c r="G246" s="15" t="n">
        <x:v>46249.625</x:v>
      </x:c>
      <x:c r="H246" s="14" t="n">
        <x:v>1</x:v>
      </x:c>
      <x:c r="I246" s="1" t="n">
        <x:f>IF(AND(E246&lt;Reporting!$B$4,OR(G246="",G246&gt;=Reporting!$B$4)),1,0)</x:f>
        <x:v>0</x:v>
      </x:c>
      <x:c r="J246" s="1" t="n">
        <x:f>IF(AND(I246=1,F246&lt;Reporting!$B$4),1,0)</x:f>
        <x:v>0</x:v>
      </x:c>
      <x:c r="K246" s="1" t="n">
        <x:f>IF(F246&lt;Reporting!$B$4,1,0)</x:f>
        <x:v>1</x:v>
      </x:c>
      <x:c r="L246" s="1" t="n">
        <x:f>IF(AND(K246=1,G246&lt;&gt;"",G246&lt;=F246),1,0)</x:f>
        <x:v>1</x:v>
      </x:c>
      <x:c r="M246" s="1" t="n">
        <x:f>IF(AND(G246&lt;&gt;"",G246&lt;Reporting!$B$4),1,0)</x:f>
        <x:v>1</x:v>
      </x:c>
      <x:c r="N246" s="16" t="n">
        <x:f>IF(M246=1,G246-E246,"")</x:f>
        <x:v>1.0416666666642413</x:v>
      </x:c>
      <x:c r="O246" s="1" t="str">
        <x:f>IF(E246&gt;=Reporting!$B$4,"Outside cutoff",IF(M246=1,"Closed",IF(J246=1,"Overdue","Open - within SLA")))</x:f>
        <x:v>Closed</x:v>
      </x:c>
    </x:row>
    <x:row r="247">
      <x:c r="A247" s="14" t="str">
        <x:v>CASE-00242</x:v>
      </x:c>
      <x:c r="B247" s="14" t="str">
        <x:v>Installation</x:v>
      </x:c>
      <x:c r="C247" s="14" t="str">
        <x:v>Record mismatch</x:v>
      </x:c>
      <x:c r="D247" s="14" t="str">
        <x:v>Medium</x:v>
      </x:c>
      <x:c r="E247" s="15" t="n">
        <x:v>46214.375</x:v>
      </x:c>
      <x:c r="F247" s="15" t="n">
        <x:v>46221.375</x:v>
      </x:c>
      <x:c r="G247" s="15" t="n">
        <x:v>46223.458333333336</x:v>
      </x:c>
      <x:c r="H247" s="14" t="n">
        <x:v>3</x:v>
      </x:c>
      <x:c r="I247" s="1" t="n">
        <x:f>IF(AND(E247&lt;Reporting!$B$4,OR(G247="",G247&gt;=Reporting!$B$4)),1,0)</x:f>
        <x:v>0</x:v>
      </x:c>
      <x:c r="J247" s="1" t="n">
        <x:f>IF(AND(I247=1,F247&lt;Reporting!$B$4),1,0)</x:f>
        <x:v>0</x:v>
      </x:c>
      <x:c r="K247" s="1" t="n">
        <x:f>IF(F247&lt;Reporting!$B$4,1,0)</x:f>
        <x:v>1</x:v>
      </x:c>
      <x:c r="L247" s="1" t="n">
        <x:f>IF(AND(K247=1,G247&lt;&gt;"",G247&lt;=F247),1,0)</x:f>
        <x:v>0</x:v>
      </x:c>
      <x:c r="M247" s="1" t="n">
        <x:f>IF(AND(G247&lt;&gt;"",G247&lt;Reporting!$B$4),1,0)</x:f>
        <x:v>1</x:v>
      </x:c>
      <x:c r="N247" s="16" t="n">
        <x:f>IF(M247=1,G247-E247,"")</x:f>
        <x:v>9.083333333335759</x:v>
      </x:c>
      <x:c r="O247" s="1" t="str">
        <x:f>IF(E247&gt;=Reporting!$B$4,"Outside cutoff",IF(M247=1,"Closed",IF(J247=1,"Overdue","Open - within SLA")))</x:f>
        <x:v>Closed</x:v>
      </x:c>
    </x:row>
    <x:row r="248">
      <x:c r="A248" s="14" t="str">
        <x:v>CASE-00243</x:v>
      </x:c>
      <x:c r="B248" s="14" t="str">
        <x:v>Installation</x:v>
      </x:c>
      <x:c r="C248" s="14" t="str">
        <x:v>Process deviation</x:v>
      </x:c>
      <x:c r="D248" s="14" t="str">
        <x:v>Low</x:v>
      </x:c>
      <x:c r="E248" s="15" t="n">
        <x:v>46205.375</x:v>
      </x:c>
      <x:c r="F248" s="15" t="n">
        <x:v>46219.375</x:v>
      </x:c>
      <x:c r="G248" s="15" t="n">
        <x:v>46212.375</x:v>
      </x:c>
      <x:c r="H248" s="14" t="n">
        <x:v>3</x:v>
      </x:c>
      <x:c r="I248" s="1" t="n">
        <x:f>IF(AND(E248&lt;Reporting!$B$4,OR(G248="",G248&gt;=Reporting!$B$4)),1,0)</x:f>
        <x:v>0</x:v>
      </x:c>
      <x:c r="J248" s="1" t="n">
        <x:f>IF(AND(I248=1,F248&lt;Reporting!$B$4),1,0)</x:f>
        <x:v>0</x:v>
      </x:c>
      <x:c r="K248" s="1" t="n">
        <x:f>IF(F248&lt;Reporting!$B$4,1,0)</x:f>
        <x:v>1</x:v>
      </x:c>
      <x:c r="L248" s="1" t="n">
        <x:f>IF(AND(K248=1,G248&lt;&gt;"",G248&lt;=F248),1,0)</x:f>
        <x:v>1</x:v>
      </x:c>
      <x:c r="M248" s="1" t="n">
        <x:f>IF(AND(G248&lt;&gt;"",G248&lt;Reporting!$B$4),1,0)</x:f>
        <x:v>1</x:v>
      </x:c>
      <x:c r="N248" s="16" t="n">
        <x:f>IF(M248=1,G248-E248,"")</x:f>
        <x:v>7</x:v>
      </x:c>
      <x:c r="O248" s="1" t="str">
        <x:f>IF(E248&gt;=Reporting!$B$4,"Outside cutoff",IF(M248=1,"Closed",IF(J248=1,"Overdue","Open - within SLA")))</x:f>
        <x:v>Closed</x:v>
      </x:c>
    </x:row>
    <x:row r="249">
      <x:c r="A249" s="14" t="str">
        <x:v>CASE-00244</x:v>
      </x:c>
      <x:c r="B249" s="14" t="str">
        <x:v>Customer Services</x:v>
      </x:c>
      <x:c r="C249" s="14" t="str">
        <x:v>Missing evidence</x:v>
      </x:c>
      <x:c r="D249" s="14" t="str">
        <x:v>Medium</x:v>
      </x:c>
      <x:c r="E249" s="15" t="n">
        <x:v>46209.375</x:v>
      </x:c>
      <x:c r="F249" s="15" t="n">
        <x:v>46216.375</x:v>
      </x:c>
      <x:c r="G249" s="15" t="n">
        <x:v>46226.416666666664</x:v>
      </x:c>
      <x:c r="H249" s="14" t="n">
        <x:v>1</x:v>
      </x:c>
      <x:c r="I249" s="1" t="n">
        <x:f>IF(AND(E249&lt;Reporting!$B$4,OR(G249="",G249&gt;=Reporting!$B$4)),1,0)</x:f>
        <x:v>0</x:v>
      </x:c>
      <x:c r="J249" s="1" t="n">
        <x:f>IF(AND(I249=1,F249&lt;Reporting!$B$4),1,0)</x:f>
        <x:v>0</x:v>
      </x:c>
      <x:c r="K249" s="1" t="n">
        <x:f>IF(F249&lt;Reporting!$B$4,1,0)</x:f>
        <x:v>1</x:v>
      </x:c>
      <x:c r="L249" s="1" t="n">
        <x:f>IF(AND(K249=1,G249&lt;&gt;"",G249&lt;=F249),1,0)</x:f>
        <x:v>0</x:v>
      </x:c>
      <x:c r="M249" s="1" t="n">
        <x:f>IF(AND(G249&lt;&gt;"",G249&lt;Reporting!$B$4),1,0)</x:f>
        <x:v>1</x:v>
      </x:c>
      <x:c r="N249" s="16" t="n">
        <x:f>IF(M249=1,G249-E249,"")</x:f>
        <x:v>17.04166666666424</x:v>
      </x:c>
      <x:c r="O249" s="1" t="str">
        <x:f>IF(E249&gt;=Reporting!$B$4,"Outside cutoff",IF(M249=1,"Closed",IF(J249=1,"Overdue","Open - within SLA")))</x:f>
        <x:v>Closed</x:v>
      </x:c>
    </x:row>
    <x:row r="250">
      <x:c r="A250" s="14" t="str">
        <x:v>CASE-00245</x:v>
      </x:c>
      <x:c r="B250" s="14" t="str">
        <x:v>Warehouse</x:v>
      </x:c>
      <x:c r="C250" s="14" t="str">
        <x:v>Missing evidence</x:v>
      </x:c>
      <x:c r="D250" s="14" t="str">
        <x:v>Low</x:v>
      </x:c>
      <x:c r="E250" s="15" t="n">
        <x:v>46266.666666666664</x:v>
      </x:c>
      <x:c r="F250" s="15" t="n">
        <x:v>46280.666666666664</x:v>
      </x:c>
      <x:c r="G250" s="15" t="n">
        <x:v>46283.666666666664</x:v>
      </x:c>
      <x:c r="H250" s="14" t="n">
        <x:v>2</x:v>
      </x:c>
      <x:c r="I250" s="1" t="n">
        <x:f>IF(AND(E250&lt;Reporting!$B$4,OR(G250="",G250&gt;=Reporting!$B$4)),1,0)</x:f>
        <x:v>0</x:v>
      </x:c>
      <x:c r="J250" s="1" t="n">
        <x:f>IF(AND(I250=1,F250&lt;Reporting!$B$4),1,0)</x:f>
        <x:v>0</x:v>
      </x:c>
      <x:c r="K250" s="1" t="n">
        <x:f>IF(F250&lt;Reporting!$B$4,1,0)</x:f>
        <x:v>1</x:v>
      </x:c>
      <x:c r="L250" s="1" t="n">
        <x:f>IF(AND(K250=1,G250&lt;&gt;"",G250&lt;=F250),1,0)</x:f>
        <x:v>0</x:v>
      </x:c>
      <x:c r="M250" s="1" t="n">
        <x:f>IF(AND(G250&lt;&gt;"",G250&lt;Reporting!$B$4),1,0)</x:f>
        <x:v>1</x:v>
      </x:c>
      <x:c r="N250" s="16" t="n">
        <x:f>IF(M250=1,G250-E250,"")</x:f>
        <x:v>17</x:v>
      </x:c>
      <x:c r="O250" s="1" t="str">
        <x:f>IF(E250&gt;=Reporting!$B$4,"Outside cutoff",IF(M250=1,"Closed",IF(J250=1,"Overdue","Open - within SLA")))</x:f>
        <x:v>Closed</x:v>
      </x:c>
    </x:row>
    <x:row r="251">
      <x:c r="A251" s="14" t="str">
        <x:v>CASE-00246</x:v>
      </x:c>
      <x:c r="B251" s="14" t="str">
        <x:v>Warehouse</x:v>
      </x:c>
      <x:c r="C251" s="14" t="str">
        <x:v>Missing evidence</x:v>
      </x:c>
      <x:c r="D251" s="14" t="str">
        <x:v>Medium</x:v>
      </x:c>
      <x:c r="E251" s="15" t="n">
        <x:v>46281.625</x:v>
      </x:c>
      <x:c r="F251" s="15" t="n">
        <x:v>46288.625</x:v>
      </x:c>
      <x:c r="G251" s="15"/>
      <x:c r="H251" s="14" t="n">
        <x:v>2</x:v>
      </x:c>
      <x:c r="I251" s="1" t="n">
        <x:f>IF(AND(E251&lt;Reporting!$B$4,OR(G251="",G251&gt;=Reporting!$B$4)),1,0)</x:f>
        <x:v>1</x:v>
      </x:c>
      <x:c r="J251" s="1" t="n">
        <x:f>IF(AND(I251=1,F251&lt;Reporting!$B$4),1,0)</x:f>
        <x:v>0</x:v>
      </x:c>
      <x:c r="K251" s="1" t="n">
        <x:f>IF(F251&lt;Reporting!$B$4,1,0)</x:f>
        <x:v>0</x:v>
      </x:c>
      <x:c r="L251" s="1" t="n">
        <x:f>IF(AND(K251=1,G251&lt;&gt;"",G251&lt;=F251),1,0)</x:f>
        <x:v>0</x:v>
      </x:c>
      <x:c r="M251" s="1" t="n">
        <x:f>IF(AND(G251&lt;&gt;"",G251&lt;Reporting!$B$4),1,0)</x:f>
        <x:v>0</x:v>
      </x:c>
      <x:c r="N251" s="16" t="str">
        <x:f>IF(M251=1,G251-E251,"")</x:f>
      </x:c>
      <x:c r="O251" s="1" t="str">
        <x:f>IF(E251&gt;=Reporting!$B$4,"Outside cutoff",IF(M251=1,"Closed",IF(J251=1,"Overdue","Open - within SLA")))</x:f>
        <x:v>Open - within SLA</x:v>
      </x:c>
    </x:row>
    <x:row r="252">
      <x:c r="A252" s="14" t="str">
        <x:v>CASE-00247</x:v>
      </x:c>
      <x:c r="B252" s="14" t="str">
        <x:v>Customer Services</x:v>
      </x:c>
      <x:c r="C252" s="14" t="str">
        <x:v>Process deviation</x:v>
      </x:c>
      <x:c r="D252" s="14" t="str">
        <x:v>Medium</x:v>
      </x:c>
      <x:c r="E252" s="15" t="n">
        <x:v>46221.375</x:v>
      </x:c>
      <x:c r="F252" s="15" t="n">
        <x:v>46228.375</x:v>
      </x:c>
      <x:c r="G252" s="15" t="n">
        <x:v>46222.375</x:v>
      </x:c>
      <x:c r="H252" s="14" t="n">
        <x:v>1</x:v>
      </x:c>
      <x:c r="I252" s="1" t="n">
        <x:f>IF(AND(E252&lt;Reporting!$B$4,OR(G252="",G252&gt;=Reporting!$B$4)),1,0)</x:f>
        <x:v>0</x:v>
      </x:c>
      <x:c r="J252" s="1" t="n">
        <x:f>IF(AND(I252=1,F252&lt;Reporting!$B$4),1,0)</x:f>
        <x:v>0</x:v>
      </x:c>
      <x:c r="K252" s="1" t="n">
        <x:f>IF(F252&lt;Reporting!$B$4,1,0)</x:f>
        <x:v>1</x:v>
      </x:c>
      <x:c r="L252" s="1" t="n">
        <x:f>IF(AND(K252=1,G252&lt;&gt;"",G252&lt;=F252),1,0)</x:f>
        <x:v>1</x:v>
      </x:c>
      <x:c r="M252" s="1" t="n">
        <x:f>IF(AND(G252&lt;&gt;"",G252&lt;Reporting!$B$4),1,0)</x:f>
        <x:v>1</x:v>
      </x:c>
      <x:c r="N252" s="16" t="n">
        <x:f>IF(M252=1,G252-E252,"")</x:f>
        <x:v>1</x:v>
      </x:c>
      <x:c r="O252" s="1" t="str">
        <x:f>IF(E252&gt;=Reporting!$B$4,"Outside cutoff",IF(M252=1,"Closed",IF(J252=1,"Overdue","Open - within SLA")))</x:f>
        <x:v>Closed</x:v>
      </x:c>
    </x:row>
    <x:row r="253">
      <x:c r="A253" s="14" t="str">
        <x:v>CASE-00248</x:v>
      </x:c>
      <x:c r="B253" s="14" t="str">
        <x:v>Customer Services</x:v>
      </x:c>
      <x:c r="C253" s="14" t="str">
        <x:v>Late review</x:v>
      </x:c>
      <x:c r="D253" s="14" t="str">
        <x:v>Low</x:v>
      </x:c>
      <x:c r="E253" s="15" t="n">
        <x:v>46248.583333333336</x:v>
      </x:c>
      <x:c r="F253" s="15" t="n">
        <x:v>46262.583333333336</x:v>
      </x:c>
      <x:c r="G253" s="15" t="n">
        <x:v>46254.625</x:v>
      </x:c>
      <x:c r="H253" s="14" t="n">
        <x:v>1</x:v>
      </x:c>
      <x:c r="I253" s="1" t="n">
        <x:f>IF(AND(E253&lt;Reporting!$B$4,OR(G253="",G253&gt;=Reporting!$B$4)),1,0)</x:f>
        <x:v>0</x:v>
      </x:c>
      <x:c r="J253" s="1" t="n">
        <x:f>IF(AND(I253=1,F253&lt;Reporting!$B$4),1,0)</x:f>
        <x:v>0</x:v>
      </x:c>
      <x:c r="K253" s="1" t="n">
        <x:f>IF(F253&lt;Reporting!$B$4,1,0)</x:f>
        <x:v>1</x:v>
      </x:c>
      <x:c r="L253" s="1" t="n">
        <x:f>IF(AND(K253=1,G253&lt;&gt;"",G253&lt;=F253),1,0)</x:f>
        <x:v>1</x:v>
      </x:c>
      <x:c r="M253" s="1" t="n">
        <x:f>IF(AND(G253&lt;&gt;"",G253&lt;Reporting!$B$4),1,0)</x:f>
        <x:v>1</x:v>
      </x:c>
      <x:c r="N253" s="16" t="n">
        <x:f>IF(M253=1,G253-E253,"")</x:f>
        <x:v>6.041666666664241</x:v>
      </x:c>
      <x:c r="O253" s="1" t="str">
        <x:f>IF(E253&gt;=Reporting!$B$4,"Outside cutoff",IF(M253=1,"Closed",IF(J253=1,"Overdue","Open - within SLA")))</x:f>
        <x:v>Closed</x:v>
      </x:c>
    </x:row>
    <x:row r="254">
      <x:c r="A254" s="14" t="str">
        <x:v>CASE-00249</x:v>
      </x:c>
      <x:c r="B254" s="14" t="str">
        <x:v>Customer Services</x:v>
      </x:c>
      <x:c r="C254" s="14" t="str">
        <x:v>Process deviation</x:v>
      </x:c>
      <x:c r="D254" s="14" t="str">
        <x:v>Medium</x:v>
      </x:c>
      <x:c r="E254" s="15" t="n">
        <x:v>46255.333333333336</x:v>
      </x:c>
      <x:c r="F254" s="15" t="n">
        <x:v>46262.333333333336</x:v>
      </x:c>
      <x:c r="G254" s="15" t="n">
        <x:v>46269.375</x:v>
      </x:c>
      <x:c r="H254" s="14" t="n">
        <x:v>1</x:v>
      </x:c>
      <x:c r="I254" s="1" t="n">
        <x:f>IF(AND(E254&lt;Reporting!$B$4,OR(G254="",G254&gt;=Reporting!$B$4)),1,0)</x:f>
        <x:v>0</x:v>
      </x:c>
      <x:c r="J254" s="1" t="n">
        <x:f>IF(AND(I254=1,F254&lt;Reporting!$B$4),1,0)</x:f>
        <x:v>0</x:v>
      </x:c>
      <x:c r="K254" s="1" t="n">
        <x:f>IF(F254&lt;Reporting!$B$4,1,0)</x:f>
        <x:v>1</x:v>
      </x:c>
      <x:c r="L254" s="1" t="n">
        <x:f>IF(AND(K254=1,G254&lt;&gt;"",G254&lt;=F254),1,0)</x:f>
        <x:v>0</x:v>
      </x:c>
      <x:c r="M254" s="1" t="n">
        <x:f>IF(AND(G254&lt;&gt;"",G254&lt;Reporting!$B$4),1,0)</x:f>
        <x:v>1</x:v>
      </x:c>
      <x:c r="N254" s="16" t="n">
        <x:f>IF(M254=1,G254-E254,"")</x:f>
        <x:v>14.041666666664241</x:v>
      </x:c>
      <x:c r="O254" s="1" t="str">
        <x:f>IF(E254&gt;=Reporting!$B$4,"Outside cutoff",IF(M254=1,"Closed",IF(J254=1,"Overdue","Open - within SLA")))</x:f>
        <x:v>Closed</x:v>
      </x:c>
    </x:row>
    <x:row r="255">
      <x:c r="A255" s="14" t="str">
        <x:v>CASE-00250</x:v>
      </x:c>
      <x:c r="B255" s="14" t="str">
        <x:v>Installation</x:v>
      </x:c>
      <x:c r="C255" s="14" t="str">
        <x:v>Late review</x:v>
      </x:c>
      <x:c r="D255" s="14" t="str">
        <x:v>Medium</x:v>
      </x:c>
      <x:c r="E255" s="15" t="n">
        <x:v>46264.666666666664</x:v>
      </x:c>
      <x:c r="F255" s="15" t="n">
        <x:v>46271.666666666664</x:v>
      </x:c>
      <x:c r="G255" s="15" t="n">
        <x:v>46272.708333333336</x:v>
      </x:c>
      <x:c r="H255" s="14" t="n">
        <x:v>3</x:v>
      </x:c>
      <x:c r="I255" s="1" t="n">
        <x:f>IF(AND(E255&lt;Reporting!$B$4,OR(G255="",G255&gt;=Reporting!$B$4)),1,0)</x:f>
        <x:v>0</x:v>
      </x:c>
      <x:c r="J255" s="1" t="n">
        <x:f>IF(AND(I255=1,F255&lt;Reporting!$B$4),1,0)</x:f>
        <x:v>0</x:v>
      </x:c>
      <x:c r="K255" s="1" t="n">
        <x:f>IF(F255&lt;Reporting!$B$4,1,0)</x:f>
        <x:v>1</x:v>
      </x:c>
      <x:c r="L255" s="1" t="n">
        <x:f>IF(AND(K255=1,G255&lt;&gt;"",G255&lt;=F255),1,0)</x:f>
        <x:v>0</x:v>
      </x:c>
      <x:c r="M255" s="1" t="n">
        <x:f>IF(AND(G255&lt;&gt;"",G255&lt;Reporting!$B$4),1,0)</x:f>
        <x:v>1</x:v>
      </x:c>
      <x:c r="N255" s="16" t="n">
        <x:f>IF(M255=1,G255-E255,"")</x:f>
        <x:v>8.041666666671517</x:v>
      </x:c>
      <x:c r="O255" s="1" t="str">
        <x:f>IF(E255&gt;=Reporting!$B$4,"Outside cutoff",IF(M255=1,"Closed",IF(J255=1,"Overdue","Open - within SLA")))</x:f>
        <x:v>Closed</x:v>
      </x:c>
    </x:row>
    <x:row r="256">
      <x:c r="A256" s="14" t="str">
        <x:v>CASE-00251</x:v>
      </x:c>
      <x:c r="B256" s="14" t="str">
        <x:v>Installation</x:v>
      </x:c>
      <x:c r="C256" s="14" t="str">
        <x:v>Late review</x:v>
      </x:c>
      <x:c r="D256" s="14" t="str">
        <x:v>Low</x:v>
      </x:c>
      <x:c r="E256" s="15" t="n">
        <x:v>46204.458333333336</x:v>
      </x:c>
      <x:c r="F256" s="15" t="n">
        <x:v>46218.458333333336</x:v>
      </x:c>
      <x:c r="G256" s="15" t="n">
        <x:v>46213.458333333336</x:v>
      </x:c>
      <x:c r="H256" s="14" t="n">
        <x:v>3</x:v>
      </x:c>
      <x:c r="I256" s="1" t="n">
        <x:f>IF(AND(E256&lt;Reporting!$B$4,OR(G256="",G256&gt;=Reporting!$B$4)),1,0)</x:f>
        <x:v>0</x:v>
      </x:c>
      <x:c r="J256" s="1" t="n">
        <x:f>IF(AND(I256=1,F256&lt;Reporting!$B$4),1,0)</x:f>
        <x:v>0</x:v>
      </x:c>
      <x:c r="K256" s="1" t="n">
        <x:f>IF(F256&lt;Reporting!$B$4,1,0)</x:f>
        <x:v>1</x:v>
      </x:c>
      <x:c r="L256" s="1" t="n">
        <x:f>IF(AND(K256=1,G256&lt;&gt;"",G256&lt;=F256),1,0)</x:f>
        <x:v>1</x:v>
      </x:c>
      <x:c r="M256" s="1" t="n">
        <x:f>IF(AND(G256&lt;&gt;"",G256&lt;Reporting!$B$4),1,0)</x:f>
        <x:v>1</x:v>
      </x:c>
      <x:c r="N256" s="16" t="n">
        <x:f>IF(M256=1,G256-E256,"")</x:f>
        <x:v>9</x:v>
      </x:c>
      <x:c r="O256" s="1" t="str">
        <x:f>IF(E256&gt;=Reporting!$B$4,"Outside cutoff",IF(M256=1,"Closed",IF(J256=1,"Overdue","Open - within SLA")))</x:f>
        <x:v>Closed</x:v>
      </x:c>
    </x:row>
    <x:row r="257">
      <x:c r="A257" s="14" t="str">
        <x:v>CASE-00252</x:v>
      </x:c>
      <x:c r="B257" s="14" t="str">
        <x:v>Warehouse</x:v>
      </x:c>
      <x:c r="C257" s="14" t="str">
        <x:v>Missing evidence</x:v>
      </x:c>
      <x:c r="D257" s="14" t="str">
        <x:v>High</x:v>
      </x:c>
      <x:c r="E257" s="15" t="n">
        <x:v>46221.375</x:v>
      </x:c>
      <x:c r="F257" s="15" t="n">
        <x:v>46224.375</x:v>
      </x:c>
      <x:c r="G257" s="15" t="n">
        <x:v>46229.375</x:v>
      </x:c>
      <x:c r="H257" s="14" t="n">
        <x:v>2</x:v>
      </x:c>
      <x:c r="I257" s="1" t="n">
        <x:f>IF(AND(E257&lt;Reporting!$B$4,OR(G257="",G257&gt;=Reporting!$B$4)),1,0)</x:f>
        <x:v>0</x:v>
      </x:c>
      <x:c r="J257" s="1" t="n">
        <x:f>IF(AND(I257=1,F257&lt;Reporting!$B$4),1,0)</x:f>
        <x:v>0</x:v>
      </x:c>
      <x:c r="K257" s="1" t="n">
        <x:f>IF(F257&lt;Reporting!$B$4,1,0)</x:f>
        <x:v>1</x:v>
      </x:c>
      <x:c r="L257" s="1" t="n">
        <x:f>IF(AND(K257=1,G257&lt;&gt;"",G257&lt;=F257),1,0)</x:f>
        <x:v>0</x:v>
      </x:c>
      <x:c r="M257" s="1" t="n">
        <x:f>IF(AND(G257&lt;&gt;"",G257&lt;Reporting!$B$4),1,0)</x:f>
        <x:v>1</x:v>
      </x:c>
      <x:c r="N257" s="16" t="n">
        <x:f>IF(M257=1,G257-E257,"")</x:f>
        <x:v>8</x:v>
      </x:c>
      <x:c r="O257" s="1" t="str">
        <x:f>IF(E257&gt;=Reporting!$B$4,"Outside cutoff",IF(M257=1,"Closed",IF(J257=1,"Overdue","Open - within SLA")))</x:f>
        <x:v>Closed</x:v>
      </x:c>
    </x:row>
    <x:row r="258">
      <x:c r="A258" s="14" t="str">
        <x:v>CASE-00253</x:v>
      </x:c>
      <x:c r="B258" s="14" t="str">
        <x:v>Warehouse</x:v>
      </x:c>
      <x:c r="C258" s="14" t="str">
        <x:v>Late review</x:v>
      </x:c>
      <x:c r="D258" s="14" t="str">
        <x:v>Medium</x:v>
      </x:c>
      <x:c r="E258" s="15" t="n">
        <x:v>46248.375</x:v>
      </x:c>
      <x:c r="F258" s="15" t="n">
        <x:v>46255.375</x:v>
      </x:c>
      <x:c r="G258" s="15"/>
      <x:c r="H258" s="14" t="n">
        <x:v>2</x:v>
      </x:c>
      <x:c r="I258" s="1" t="n">
        <x:f>IF(AND(E258&lt;Reporting!$B$4,OR(G258="",G258&gt;=Reporting!$B$4)),1,0)</x:f>
        <x:v>1</x:v>
      </x:c>
      <x:c r="J258" s="1" t="n">
        <x:f>IF(AND(I258=1,F258&lt;Reporting!$B$4),1,0)</x:f>
        <x:v>1</x:v>
      </x:c>
      <x:c r="K258" s="1" t="n">
        <x:f>IF(F258&lt;Reporting!$B$4,1,0)</x:f>
        <x:v>1</x:v>
      </x:c>
      <x:c r="L258" s="1" t="n">
        <x:f>IF(AND(K258=1,G258&lt;&gt;"",G258&lt;=F258),1,0)</x:f>
        <x:v>0</x:v>
      </x:c>
      <x:c r="M258" s="1" t="n">
        <x:f>IF(AND(G258&lt;&gt;"",G258&lt;Reporting!$B$4),1,0)</x:f>
        <x:v>0</x:v>
      </x:c>
      <x:c r="N258" s="16" t="str">
        <x:f>IF(M258=1,G258-E258,"")</x:f>
      </x:c>
      <x:c r="O258" s="1" t="str">
        <x:f>IF(E258&gt;=Reporting!$B$4,"Outside cutoff",IF(M258=1,"Closed",IF(J258=1,"Overdue","Open - within SLA")))</x:f>
        <x:v>Overdue</x:v>
      </x:c>
    </x:row>
    <x:row r="259">
      <x:c r="A259" s="14" t="str">
        <x:v>CASE-00254</x:v>
      </x:c>
      <x:c r="B259" s="14" t="str">
        <x:v>Customer Services</x:v>
      </x:c>
      <x:c r="C259" s="14" t="str">
        <x:v>Record mismatch</x:v>
      </x:c>
      <x:c r="D259" s="14" t="str">
        <x:v>Medium</x:v>
      </x:c>
      <x:c r="E259" s="15" t="n">
        <x:v>46207.333333333336</x:v>
      </x:c>
      <x:c r="F259" s="15" t="n">
        <x:v>46214.333333333336</x:v>
      </x:c>
      <x:c r="G259" s="15" t="n">
        <x:v>46225.416666666664</x:v>
      </x:c>
      <x:c r="H259" s="14" t="n">
        <x:v>1</x:v>
      </x:c>
      <x:c r="I259" s="1" t="n">
        <x:f>IF(AND(E259&lt;Reporting!$B$4,OR(G259="",G259&gt;=Reporting!$B$4)),1,0)</x:f>
        <x:v>0</x:v>
      </x:c>
      <x:c r="J259" s="1" t="n">
        <x:f>IF(AND(I259=1,F259&lt;Reporting!$B$4),1,0)</x:f>
        <x:v>0</x:v>
      </x:c>
      <x:c r="K259" s="1" t="n">
        <x:f>IF(F259&lt;Reporting!$B$4,1,0)</x:f>
        <x:v>1</x:v>
      </x:c>
      <x:c r="L259" s="1" t="n">
        <x:f>IF(AND(K259=1,G259&lt;&gt;"",G259&lt;=F259),1,0)</x:f>
        <x:v>0</x:v>
      </x:c>
      <x:c r="M259" s="1" t="n">
        <x:f>IF(AND(G259&lt;&gt;"",G259&lt;Reporting!$B$4),1,0)</x:f>
        <x:v>1</x:v>
      </x:c>
      <x:c r="N259" s="16" t="n">
        <x:f>IF(M259=1,G259-E259,"")</x:f>
        <x:v>18.083333333328483</x:v>
      </x:c>
      <x:c r="O259" s="1" t="str">
        <x:f>IF(E259&gt;=Reporting!$B$4,"Outside cutoff",IF(M259=1,"Closed",IF(J259=1,"Overdue","Open - within SLA")))</x:f>
        <x:v>Closed</x:v>
      </x:c>
    </x:row>
    <x:row r="260">
      <x:c r="A260" s="14" t="str">
        <x:v>CASE-00255</x:v>
      </x:c>
      <x:c r="B260" s="14" t="str">
        <x:v>Warehouse</x:v>
      </x:c>
      <x:c r="C260" s="14" t="str">
        <x:v>Record mismatch</x:v>
      </x:c>
      <x:c r="D260" s="14" t="str">
        <x:v>Low</x:v>
      </x:c>
      <x:c r="E260" s="15" t="n">
        <x:v>46272.583333333336</x:v>
      </x:c>
      <x:c r="F260" s="15" t="n">
        <x:v>46286.583333333336</x:v>
      </x:c>
      <x:c r="G260" s="15"/>
      <x:c r="H260" s="14" t="n">
        <x:v>2</x:v>
      </x:c>
      <x:c r="I260" s="1" t="n">
        <x:f>IF(AND(E260&lt;Reporting!$B$4,OR(G260="",G260&gt;=Reporting!$B$4)),1,0)</x:f>
        <x:v>1</x:v>
      </x:c>
      <x:c r="J260" s="1" t="n">
        <x:f>IF(AND(I260=1,F260&lt;Reporting!$B$4),1,0)</x:f>
        <x:v>0</x:v>
      </x:c>
      <x:c r="K260" s="1" t="n">
        <x:f>IF(F260&lt;Reporting!$B$4,1,0)</x:f>
        <x:v>0</x:v>
      </x:c>
      <x:c r="L260" s="1" t="n">
        <x:f>IF(AND(K260=1,G260&lt;&gt;"",G260&lt;=F260),1,0)</x:f>
        <x:v>0</x:v>
      </x:c>
      <x:c r="M260" s="1" t="n">
        <x:f>IF(AND(G260&lt;&gt;"",G260&lt;Reporting!$B$4),1,0)</x:f>
        <x:v>0</x:v>
      </x:c>
      <x:c r="N260" s="16" t="str">
        <x:f>IF(M260=1,G260-E260,"")</x:f>
      </x:c>
      <x:c r="O260" s="1" t="str">
        <x:f>IF(E260&gt;=Reporting!$B$4,"Outside cutoff",IF(M260=1,"Closed",IF(J260=1,"Overdue","Open - within SLA")))</x:f>
        <x:v>Open - within SLA</x:v>
      </x:c>
    </x:row>
    <x:row r="261">
      <x:c r="A261" s="14" t="str">
        <x:v>CASE-00256</x:v>
      </x:c>
      <x:c r="B261" s="14" t="str">
        <x:v>Installation</x:v>
      </x:c>
      <x:c r="C261" s="14" t="str">
        <x:v>Record mismatch</x:v>
      </x:c>
      <x:c r="D261" s="14" t="str">
        <x:v>Low</x:v>
      </x:c>
      <x:c r="E261" s="15" t="n">
        <x:v>46243.541666666664</x:v>
      </x:c>
      <x:c r="F261" s="15" t="n">
        <x:v>46257.541666666664</x:v>
      </x:c>
      <x:c r="G261" s="15" t="n">
        <x:v>46259.583333333336</x:v>
      </x:c>
      <x:c r="H261" s="14" t="n">
        <x:v>3</x:v>
      </x:c>
      <x:c r="I261" s="1" t="n">
        <x:f>IF(AND(E261&lt;Reporting!$B$4,OR(G261="",G261&gt;=Reporting!$B$4)),1,0)</x:f>
        <x:v>0</x:v>
      </x:c>
      <x:c r="J261" s="1" t="n">
        <x:f>IF(AND(I261=1,F261&lt;Reporting!$B$4),1,0)</x:f>
        <x:v>0</x:v>
      </x:c>
      <x:c r="K261" s="1" t="n">
        <x:f>IF(F261&lt;Reporting!$B$4,1,0)</x:f>
        <x:v>1</x:v>
      </x:c>
      <x:c r="L261" s="1" t="n">
        <x:f>IF(AND(K261=1,G261&lt;&gt;"",G261&lt;=F261),1,0)</x:f>
        <x:v>0</x:v>
      </x:c>
      <x:c r="M261" s="1" t="n">
        <x:f>IF(AND(G261&lt;&gt;"",G261&lt;Reporting!$B$4),1,0)</x:f>
        <x:v>1</x:v>
      </x:c>
      <x:c r="N261" s="16" t="n">
        <x:f>IF(M261=1,G261-E261,"")</x:f>
        <x:v>16.041666666671517</x:v>
      </x:c>
      <x:c r="O261" s="1" t="str">
        <x:f>IF(E261&gt;=Reporting!$B$4,"Outside cutoff",IF(M261=1,"Closed",IF(J261=1,"Overdue","Open - within SLA")))</x:f>
        <x:v>Closed</x:v>
      </x:c>
    </x:row>
    <x:row r="262">
      <x:c r="A262" s="14" t="str">
        <x:v>CASE-00257</x:v>
      </x:c>
      <x:c r="B262" s="14" t="str">
        <x:v>Customer Services</x:v>
      </x:c>
      <x:c r="C262" s="14" t="str">
        <x:v>Process deviation</x:v>
      </x:c>
      <x:c r="D262" s="14" t="str">
        <x:v>Medium</x:v>
      </x:c>
      <x:c r="E262" s="15" t="n">
        <x:v>46207.5</x:v>
      </x:c>
      <x:c r="F262" s="15" t="n">
        <x:v>46214.5</x:v>
      </x:c>
      <x:c r="G262" s="15" t="n">
        <x:v>46216.5</x:v>
      </x:c>
      <x:c r="H262" s="14" t="n">
        <x:v>1</x:v>
      </x:c>
      <x:c r="I262" s="1" t="n">
        <x:f>IF(AND(E262&lt;Reporting!$B$4,OR(G262="",G262&gt;=Reporting!$B$4)),1,0)</x:f>
        <x:v>0</x:v>
      </x:c>
      <x:c r="J262" s="1" t="n">
        <x:f>IF(AND(I262=1,F262&lt;Reporting!$B$4),1,0)</x:f>
        <x:v>0</x:v>
      </x:c>
      <x:c r="K262" s="1" t="n">
        <x:f>IF(F262&lt;Reporting!$B$4,1,0)</x:f>
        <x:v>1</x:v>
      </x:c>
      <x:c r="L262" s="1" t="n">
        <x:f>IF(AND(K262=1,G262&lt;&gt;"",G262&lt;=F262),1,0)</x:f>
        <x:v>0</x:v>
      </x:c>
      <x:c r="M262" s="1" t="n">
        <x:f>IF(AND(G262&lt;&gt;"",G262&lt;Reporting!$B$4),1,0)</x:f>
        <x:v>1</x:v>
      </x:c>
      <x:c r="N262" s="16" t="n">
        <x:f>IF(M262=1,G262-E262,"")</x:f>
        <x:v>9</x:v>
      </x:c>
      <x:c r="O262" s="1" t="str">
        <x:f>IF(E262&gt;=Reporting!$B$4,"Outside cutoff",IF(M262=1,"Closed",IF(J262=1,"Overdue","Open - within SLA")))</x:f>
        <x:v>Closed</x:v>
      </x:c>
    </x:row>
    <x:row r="263">
      <x:c r="A263" s="14" t="str">
        <x:v>CASE-00258</x:v>
      </x:c>
      <x:c r="B263" s="14" t="str">
        <x:v>Customer Services</x:v>
      </x:c>
      <x:c r="C263" s="14" t="str">
        <x:v>Late review</x:v>
      </x:c>
      <x:c r="D263" s="14" t="str">
        <x:v>Low</x:v>
      </x:c>
      <x:c r="E263" s="15" t="n">
        <x:v>46231.375</x:v>
      </x:c>
      <x:c r="F263" s="15" t="n">
        <x:v>46245.375</x:v>
      </x:c>
      <x:c r="G263" s="15" t="n">
        <x:v>46246.375</x:v>
      </x:c>
      <x:c r="H263" s="14" t="n">
        <x:v>1</x:v>
      </x:c>
      <x:c r="I263" s="1" t="n">
        <x:f>IF(AND(E263&lt;Reporting!$B$4,OR(G263="",G263&gt;=Reporting!$B$4)),1,0)</x:f>
        <x:v>0</x:v>
      </x:c>
      <x:c r="J263" s="1" t="n">
        <x:f>IF(AND(I263=1,F263&lt;Reporting!$B$4),1,0)</x:f>
        <x:v>0</x:v>
      </x:c>
      <x:c r="K263" s="1" t="n">
        <x:f>IF(F263&lt;Reporting!$B$4,1,0)</x:f>
        <x:v>1</x:v>
      </x:c>
      <x:c r="L263" s="1" t="n">
        <x:f>IF(AND(K263=1,G263&lt;&gt;"",G263&lt;=F263),1,0)</x:f>
        <x:v>0</x:v>
      </x:c>
      <x:c r="M263" s="1" t="n">
        <x:f>IF(AND(G263&lt;&gt;"",G263&lt;Reporting!$B$4),1,0)</x:f>
        <x:v>1</x:v>
      </x:c>
      <x:c r="N263" s="16" t="n">
        <x:f>IF(M263=1,G263-E263,"")</x:f>
        <x:v>15</x:v>
      </x:c>
      <x:c r="O263" s="1" t="str">
        <x:f>IF(E263&gt;=Reporting!$B$4,"Outside cutoff",IF(M263=1,"Closed",IF(J263=1,"Overdue","Open - within SLA")))</x:f>
        <x:v>Closed</x:v>
      </x:c>
    </x:row>
    <x:row r="264">
      <x:c r="A264" s="14" t="str">
        <x:v>CASE-00259</x:v>
      </x:c>
      <x:c r="B264" s="14" t="str">
        <x:v>Warehouse</x:v>
      </x:c>
      <x:c r="C264" s="14" t="str">
        <x:v>Process deviation</x:v>
      </x:c>
      <x:c r="D264" s="14" t="str">
        <x:v>Medium</x:v>
      </x:c>
      <x:c r="E264" s="15" t="n">
        <x:v>46264.666666666664</x:v>
      </x:c>
      <x:c r="F264" s="15" t="n">
        <x:v>46271.666666666664</x:v>
      </x:c>
      <x:c r="G264" s="15" t="n">
        <x:v>46275.708333333336</x:v>
      </x:c>
      <x:c r="H264" s="14" t="n">
        <x:v>2</x:v>
      </x:c>
      <x:c r="I264" s="1" t="n">
        <x:f>IF(AND(E264&lt;Reporting!$B$4,OR(G264="",G264&gt;=Reporting!$B$4)),1,0)</x:f>
        <x:v>0</x:v>
      </x:c>
      <x:c r="J264" s="1" t="n">
        <x:f>IF(AND(I264=1,F264&lt;Reporting!$B$4),1,0)</x:f>
        <x:v>0</x:v>
      </x:c>
      <x:c r="K264" s="1" t="n">
        <x:f>IF(F264&lt;Reporting!$B$4,1,0)</x:f>
        <x:v>1</x:v>
      </x:c>
      <x:c r="L264" s="1" t="n">
        <x:f>IF(AND(K264=1,G264&lt;&gt;"",G264&lt;=F264),1,0)</x:f>
        <x:v>0</x:v>
      </x:c>
      <x:c r="M264" s="1" t="n">
        <x:f>IF(AND(G264&lt;&gt;"",G264&lt;Reporting!$B$4),1,0)</x:f>
        <x:v>1</x:v>
      </x:c>
      <x:c r="N264" s="16" t="n">
        <x:f>IF(M264=1,G264-E264,"")</x:f>
        <x:v>11.041666666671517</x:v>
      </x:c>
      <x:c r="O264" s="1" t="str">
        <x:f>IF(E264&gt;=Reporting!$B$4,"Outside cutoff",IF(M264=1,"Closed",IF(J264=1,"Overdue","Open - within SLA")))</x:f>
        <x:v>Closed</x:v>
      </x:c>
    </x:row>
    <x:row r="265">
      <x:c r="A265" s="14" t="str">
        <x:v>CASE-00260</x:v>
      </x:c>
      <x:c r="B265" s="14" t="str">
        <x:v>Warehouse</x:v>
      </x:c>
      <x:c r="C265" s="14" t="str">
        <x:v>Missing evidence</x:v>
      </x:c>
      <x:c r="D265" s="14" t="str">
        <x:v>Low</x:v>
      </x:c>
      <x:c r="E265" s="15" t="n">
        <x:v>46282.541666666664</x:v>
      </x:c>
      <x:c r="F265" s="15" t="n">
        <x:v>46296.541666666664</x:v>
      </x:c>
      <x:c r="G265" s="15"/>
      <x:c r="H265" s="14" t="n">
        <x:v>2</x:v>
      </x:c>
      <x:c r="I265" s="1" t="n">
        <x:f>IF(AND(E265&lt;Reporting!$B$4,OR(G265="",G265&gt;=Reporting!$B$4)),1,0)</x:f>
        <x:v>1</x:v>
      </x:c>
      <x:c r="J265" s="1" t="n">
        <x:f>IF(AND(I265=1,F265&lt;Reporting!$B$4),1,0)</x:f>
        <x:v>0</x:v>
      </x:c>
      <x:c r="K265" s="1" t="n">
        <x:f>IF(F265&lt;Reporting!$B$4,1,0)</x:f>
        <x:v>0</x:v>
      </x:c>
      <x:c r="L265" s="1" t="n">
        <x:f>IF(AND(K265=1,G265&lt;&gt;"",G265&lt;=F265),1,0)</x:f>
        <x:v>0</x:v>
      </x:c>
      <x:c r="M265" s="1" t="n">
        <x:f>IF(AND(G265&lt;&gt;"",G265&lt;Reporting!$B$4),1,0)</x:f>
        <x:v>0</x:v>
      </x:c>
      <x:c r="N265" s="16" t="str">
        <x:f>IF(M265=1,G265-E265,"")</x:f>
      </x:c>
      <x:c r="O265" s="1" t="str">
        <x:f>IF(E265&gt;=Reporting!$B$4,"Outside cutoff",IF(M265=1,"Closed",IF(J265=1,"Overdue","Open - within SLA")))</x:f>
        <x:v>Open - within SLA</x:v>
      </x:c>
    </x:row>
    <x:row r="266">
      <x:c r="A266" s="14" t="str">
        <x:v>CASE-00261</x:v>
      </x:c>
      <x:c r="B266" s="14" t="str">
        <x:v>Customer Services</x:v>
      </x:c>
      <x:c r="C266" s="14" t="str">
        <x:v>Missing evidence</x:v>
      </x:c>
      <x:c r="D266" s="14" t="str">
        <x:v>Low</x:v>
      </x:c>
      <x:c r="E266" s="15" t="n">
        <x:v>46208.458333333336</x:v>
      </x:c>
      <x:c r="F266" s="15" t="n">
        <x:v>46222.458333333336</x:v>
      </x:c>
      <x:c r="G266" s="15" t="n">
        <x:v>46226.5</x:v>
      </x:c>
      <x:c r="H266" s="14" t="n">
        <x:v>1</x:v>
      </x:c>
      <x:c r="I266" s="1" t="n">
        <x:f>IF(AND(E266&lt;Reporting!$B$4,OR(G266="",G266&gt;=Reporting!$B$4)),1,0)</x:f>
        <x:v>0</x:v>
      </x:c>
      <x:c r="J266" s="1" t="n">
        <x:f>IF(AND(I266=1,F266&lt;Reporting!$B$4),1,0)</x:f>
        <x:v>0</x:v>
      </x:c>
      <x:c r="K266" s="1" t="n">
        <x:f>IF(F266&lt;Reporting!$B$4,1,0)</x:f>
        <x:v>1</x:v>
      </x:c>
      <x:c r="L266" s="1" t="n">
        <x:f>IF(AND(K266=1,G266&lt;&gt;"",G266&lt;=F266),1,0)</x:f>
        <x:v>0</x:v>
      </x:c>
      <x:c r="M266" s="1" t="n">
        <x:f>IF(AND(G266&lt;&gt;"",G266&lt;Reporting!$B$4),1,0)</x:f>
        <x:v>1</x:v>
      </x:c>
      <x:c r="N266" s="16" t="n">
        <x:f>IF(M266=1,G266-E266,"")</x:f>
        <x:v>18.04166666666424</x:v>
      </x:c>
      <x:c r="O266" s="1" t="str">
        <x:f>IF(E266&gt;=Reporting!$B$4,"Outside cutoff",IF(M266=1,"Closed",IF(J266=1,"Overdue","Open - within SLA")))</x:f>
        <x:v>Closed</x:v>
      </x:c>
    </x:row>
    <x:row r="267">
      <x:c r="A267" s="14" t="str">
        <x:v>CASE-00262</x:v>
      </x:c>
      <x:c r="B267" s="14" t="str">
        <x:v>Warehouse</x:v>
      </x:c>
      <x:c r="C267" s="14" t="str">
        <x:v>Missing evidence</x:v>
      </x:c>
      <x:c r="D267" s="14" t="str">
        <x:v>High</x:v>
      </x:c>
      <x:c r="E267" s="15" t="n">
        <x:v>46222.541666666664</x:v>
      </x:c>
      <x:c r="F267" s="15" t="n">
        <x:v>46225.541666666664</x:v>
      </x:c>
      <x:c r="G267" s="15" t="n">
        <x:v>46236.541666666664</x:v>
      </x:c>
      <x:c r="H267" s="14" t="n">
        <x:v>2</x:v>
      </x:c>
      <x:c r="I267" s="1" t="n">
        <x:f>IF(AND(E267&lt;Reporting!$B$4,OR(G267="",G267&gt;=Reporting!$B$4)),1,0)</x:f>
        <x:v>0</x:v>
      </x:c>
      <x:c r="J267" s="1" t="n">
        <x:f>IF(AND(I267=1,F267&lt;Reporting!$B$4),1,0)</x:f>
        <x:v>0</x:v>
      </x:c>
      <x:c r="K267" s="1" t="n">
        <x:f>IF(F267&lt;Reporting!$B$4,1,0)</x:f>
        <x:v>1</x:v>
      </x:c>
      <x:c r="L267" s="1" t="n">
        <x:f>IF(AND(K267=1,G267&lt;&gt;"",G267&lt;=F267),1,0)</x:f>
        <x:v>0</x:v>
      </x:c>
      <x:c r="M267" s="1" t="n">
        <x:f>IF(AND(G267&lt;&gt;"",G267&lt;Reporting!$B$4),1,0)</x:f>
        <x:v>1</x:v>
      </x:c>
      <x:c r="N267" s="16" t="n">
        <x:f>IF(M267=1,G267-E267,"")</x:f>
        <x:v>14</x:v>
      </x:c>
      <x:c r="O267" s="1" t="str">
        <x:f>IF(E267&gt;=Reporting!$B$4,"Outside cutoff",IF(M267=1,"Closed",IF(J267=1,"Overdue","Open - within SLA")))</x:f>
        <x:v>Closed</x:v>
      </x:c>
    </x:row>
    <x:row r="268">
      <x:c r="A268" s="14" t="str">
        <x:v>CASE-00263</x:v>
      </x:c>
      <x:c r="B268" s="14" t="str">
        <x:v>Customer Services</x:v>
      </x:c>
      <x:c r="C268" s="14" t="str">
        <x:v>Missing evidence</x:v>
      </x:c>
      <x:c r="D268" s="14" t="str">
        <x:v>Medium</x:v>
      </x:c>
      <x:c r="E268" s="15" t="n">
        <x:v>46215.583333333336</x:v>
      </x:c>
      <x:c r="F268" s="15" t="n">
        <x:v>46222.583333333336</x:v>
      </x:c>
      <x:c r="G268" s="15" t="n">
        <x:v>46226.625</x:v>
      </x:c>
      <x:c r="H268" s="14" t="n">
        <x:v>1</x:v>
      </x:c>
      <x:c r="I268" s="1" t="n">
        <x:f>IF(AND(E268&lt;Reporting!$B$4,OR(G268="",G268&gt;=Reporting!$B$4)),1,0)</x:f>
        <x:v>0</x:v>
      </x:c>
      <x:c r="J268" s="1" t="n">
        <x:f>IF(AND(I268=1,F268&lt;Reporting!$B$4),1,0)</x:f>
        <x:v>0</x:v>
      </x:c>
      <x:c r="K268" s="1" t="n">
        <x:f>IF(F268&lt;Reporting!$B$4,1,0)</x:f>
        <x:v>1</x:v>
      </x:c>
      <x:c r="L268" s="1" t="n">
        <x:f>IF(AND(K268=1,G268&lt;&gt;"",G268&lt;=F268),1,0)</x:f>
        <x:v>0</x:v>
      </x:c>
      <x:c r="M268" s="1" t="n">
        <x:f>IF(AND(G268&lt;&gt;"",G268&lt;Reporting!$B$4),1,0)</x:f>
        <x:v>1</x:v>
      </x:c>
      <x:c r="N268" s="16" t="n">
        <x:f>IF(M268=1,G268-E268,"")</x:f>
        <x:v>11.041666666664241</x:v>
      </x:c>
      <x:c r="O268" s="1" t="str">
        <x:f>IF(E268&gt;=Reporting!$B$4,"Outside cutoff",IF(M268=1,"Closed",IF(J268=1,"Overdue","Open - within SLA")))</x:f>
        <x:v>Closed</x:v>
      </x:c>
    </x:row>
    <x:row r="269">
      <x:c r="A269" s="14" t="str">
        <x:v>CASE-00264</x:v>
      </x:c>
      <x:c r="B269" s="14" t="str">
        <x:v>Installation</x:v>
      </x:c>
      <x:c r="C269" s="14" t="str">
        <x:v>Record mismatch</x:v>
      </x:c>
      <x:c r="D269" s="14" t="str">
        <x:v>Medium</x:v>
      </x:c>
      <x:c r="E269" s="15" t="n">
        <x:v>46224.375</x:v>
      </x:c>
      <x:c r="F269" s="15" t="n">
        <x:v>46231.375</x:v>
      </x:c>
      <x:c r="G269" s="15" t="n">
        <x:v>46238.375</x:v>
      </x:c>
      <x:c r="H269" s="14" t="n">
        <x:v>3</x:v>
      </x:c>
      <x:c r="I269" s="1" t="n">
        <x:f>IF(AND(E269&lt;Reporting!$B$4,OR(G269="",G269&gt;=Reporting!$B$4)),1,0)</x:f>
        <x:v>0</x:v>
      </x:c>
      <x:c r="J269" s="1" t="n">
        <x:f>IF(AND(I269=1,F269&lt;Reporting!$B$4),1,0)</x:f>
        <x:v>0</x:v>
      </x:c>
      <x:c r="K269" s="1" t="n">
        <x:f>IF(F269&lt;Reporting!$B$4,1,0)</x:f>
        <x:v>1</x:v>
      </x:c>
      <x:c r="L269" s="1" t="n">
        <x:f>IF(AND(K269=1,G269&lt;&gt;"",G269&lt;=F269),1,0)</x:f>
        <x:v>0</x:v>
      </x:c>
      <x:c r="M269" s="1" t="n">
        <x:f>IF(AND(G269&lt;&gt;"",G269&lt;Reporting!$B$4),1,0)</x:f>
        <x:v>1</x:v>
      </x:c>
      <x:c r="N269" s="16" t="n">
        <x:f>IF(M269=1,G269-E269,"")</x:f>
        <x:v>14</x:v>
      </x:c>
      <x:c r="O269" s="1" t="str">
        <x:f>IF(E269&gt;=Reporting!$B$4,"Outside cutoff",IF(M269=1,"Closed",IF(J269=1,"Overdue","Open - within SLA")))</x:f>
        <x:v>Closed</x:v>
      </x:c>
    </x:row>
    <x:row r="270">
      <x:c r="A270" s="14" t="str">
        <x:v>CASE-00265</x:v>
      </x:c>
      <x:c r="B270" s="14" t="str">
        <x:v>Installation</x:v>
      </x:c>
      <x:c r="C270" s="14" t="str">
        <x:v>Process deviation</x:v>
      </x:c>
      <x:c r="D270" s="14" t="str">
        <x:v>Medium</x:v>
      </x:c>
      <x:c r="E270" s="15" t="n">
        <x:v>46259.666666666664</x:v>
      </x:c>
      <x:c r="F270" s="15" t="n">
        <x:v>46266.666666666664</x:v>
      </x:c>
      <x:c r="G270" s="15" t="n">
        <x:v>46264.708333333336</x:v>
      </x:c>
      <x:c r="H270" s="14" t="n">
        <x:v>3</x:v>
      </x:c>
      <x:c r="I270" s="1" t="n">
        <x:f>IF(AND(E270&lt;Reporting!$B$4,OR(G270="",G270&gt;=Reporting!$B$4)),1,0)</x:f>
        <x:v>0</x:v>
      </x:c>
      <x:c r="J270" s="1" t="n">
        <x:f>IF(AND(I270=1,F270&lt;Reporting!$B$4),1,0)</x:f>
        <x:v>0</x:v>
      </x:c>
      <x:c r="K270" s="1" t="n">
        <x:f>IF(F270&lt;Reporting!$B$4,1,0)</x:f>
        <x:v>1</x:v>
      </x:c>
      <x:c r="L270" s="1" t="n">
        <x:f>IF(AND(K270=1,G270&lt;&gt;"",G270&lt;=F270),1,0)</x:f>
        <x:v>1</x:v>
      </x:c>
      <x:c r="M270" s="1" t="n">
        <x:f>IF(AND(G270&lt;&gt;"",G270&lt;Reporting!$B$4),1,0)</x:f>
        <x:v>1</x:v>
      </x:c>
      <x:c r="N270" s="16" t="n">
        <x:f>IF(M270=1,G270-E270,"")</x:f>
        <x:v>5.041666666671517</x:v>
      </x:c>
      <x:c r="O270" s="1" t="str">
        <x:f>IF(E270&gt;=Reporting!$B$4,"Outside cutoff",IF(M270=1,"Closed",IF(J270=1,"Overdue","Open - within SLA")))</x:f>
        <x:v>Closed</x:v>
      </x:c>
    </x:row>
    <x:row r="271">
      <x:c r="A271" s="14" t="str">
        <x:v>CASE-00266</x:v>
      </x:c>
      <x:c r="B271" s="14" t="str">
        <x:v>Installation</x:v>
      </x:c>
      <x:c r="C271" s="14" t="str">
        <x:v>Late review</x:v>
      </x:c>
      <x:c r="D271" s="14" t="str">
        <x:v>Medium</x:v>
      </x:c>
      <x:c r="E271" s="15" t="n">
        <x:v>46225.5</x:v>
      </x:c>
      <x:c r="F271" s="15" t="n">
        <x:v>46232.5</x:v>
      </x:c>
      <x:c r="G271" s="15" t="n">
        <x:v>46228.583333333336</x:v>
      </x:c>
      <x:c r="H271" s="14" t="n">
        <x:v>3</x:v>
      </x:c>
      <x:c r="I271" s="1" t="n">
        <x:f>IF(AND(E271&lt;Reporting!$B$4,OR(G271="",G271&gt;=Reporting!$B$4)),1,0)</x:f>
        <x:v>0</x:v>
      </x:c>
      <x:c r="J271" s="1" t="n">
        <x:f>IF(AND(I271=1,F271&lt;Reporting!$B$4),1,0)</x:f>
        <x:v>0</x:v>
      </x:c>
      <x:c r="K271" s="1" t="n">
        <x:f>IF(F271&lt;Reporting!$B$4,1,0)</x:f>
        <x:v>1</x:v>
      </x:c>
      <x:c r="L271" s="1" t="n">
        <x:f>IF(AND(K271=1,G271&lt;&gt;"",G271&lt;=F271),1,0)</x:f>
        <x:v>1</x:v>
      </x:c>
      <x:c r="M271" s="1" t="n">
        <x:f>IF(AND(G271&lt;&gt;"",G271&lt;Reporting!$B$4),1,0)</x:f>
        <x:v>1</x:v>
      </x:c>
      <x:c r="N271" s="16" t="n">
        <x:f>IF(M271=1,G271-E271,"")</x:f>
        <x:v>3.0833333333357587</x:v>
      </x:c>
      <x:c r="O271" s="1" t="str">
        <x:f>IF(E271&gt;=Reporting!$B$4,"Outside cutoff",IF(M271=1,"Closed",IF(J271=1,"Overdue","Open - within SLA")))</x:f>
        <x:v>Closed</x:v>
      </x:c>
    </x:row>
    <x:row r="272">
      <x:c r="A272" s="14" t="str">
        <x:v>CASE-00267</x:v>
      </x:c>
      <x:c r="B272" s="14" t="str">
        <x:v>Warehouse</x:v>
      </x:c>
      <x:c r="C272" s="14" t="str">
        <x:v>Record mismatch</x:v>
      </x:c>
      <x:c r="D272" s="14" t="str">
        <x:v>Medium</x:v>
      </x:c>
      <x:c r="E272" s="15" t="n">
        <x:v>46220.666666666664</x:v>
      </x:c>
      <x:c r="F272" s="15" t="n">
        <x:v>46227.666666666664</x:v>
      </x:c>
      <x:c r="G272" s="15" t="n">
        <x:v>46222.666666666664</x:v>
      </x:c>
      <x:c r="H272" s="14" t="n">
        <x:v>2</x:v>
      </x:c>
      <x:c r="I272" s="1" t="n">
        <x:f>IF(AND(E272&lt;Reporting!$B$4,OR(G272="",G272&gt;=Reporting!$B$4)),1,0)</x:f>
        <x:v>0</x:v>
      </x:c>
      <x:c r="J272" s="1" t="n">
        <x:f>IF(AND(I272=1,F272&lt;Reporting!$B$4),1,0)</x:f>
        <x:v>0</x:v>
      </x:c>
      <x:c r="K272" s="1" t="n">
        <x:f>IF(F272&lt;Reporting!$B$4,1,0)</x:f>
        <x:v>1</x:v>
      </x:c>
      <x:c r="L272" s="1" t="n">
        <x:f>IF(AND(K272=1,G272&lt;&gt;"",G272&lt;=F272),1,0)</x:f>
        <x:v>1</x:v>
      </x:c>
      <x:c r="M272" s="1" t="n">
        <x:f>IF(AND(G272&lt;&gt;"",G272&lt;Reporting!$B$4),1,0)</x:f>
        <x:v>1</x:v>
      </x:c>
      <x:c r="N272" s="16" t="n">
        <x:f>IF(M272=1,G272-E272,"")</x:f>
        <x:v>2</x:v>
      </x:c>
      <x:c r="O272" s="1" t="str">
        <x:f>IF(E272&gt;=Reporting!$B$4,"Outside cutoff",IF(M272=1,"Closed",IF(J272=1,"Overdue","Open - within SLA")))</x:f>
        <x:v>Closed</x:v>
      </x:c>
    </x:row>
    <x:row r="273">
      <x:c r="A273" s="14" t="str">
        <x:v>CASE-00268</x:v>
      </x:c>
      <x:c r="B273" s="14" t="str">
        <x:v>Customer Services</x:v>
      </x:c>
      <x:c r="C273" s="14" t="str">
        <x:v>Process deviation</x:v>
      </x:c>
      <x:c r="D273" s="14" t="str">
        <x:v>Low</x:v>
      </x:c>
      <x:c r="E273" s="15" t="n">
        <x:v>46276.541666666664</x:v>
      </x:c>
      <x:c r="F273" s="15" t="n">
        <x:v>46290.541666666664</x:v>
      </x:c>
      <x:c r="G273" s="15"/>
      <x:c r="H273" s="14" t="n">
        <x:v>1</x:v>
      </x:c>
      <x:c r="I273" s="1" t="n">
        <x:f>IF(AND(E273&lt;Reporting!$B$4,OR(G273="",G273&gt;=Reporting!$B$4)),1,0)</x:f>
        <x:v>1</x:v>
      </x:c>
      <x:c r="J273" s="1" t="n">
        <x:f>IF(AND(I273=1,F273&lt;Reporting!$B$4),1,0)</x:f>
        <x:v>0</x:v>
      </x:c>
      <x:c r="K273" s="1" t="n">
        <x:f>IF(F273&lt;Reporting!$B$4,1,0)</x:f>
        <x:v>0</x:v>
      </x:c>
      <x:c r="L273" s="1" t="n">
        <x:f>IF(AND(K273=1,G273&lt;&gt;"",G273&lt;=F273),1,0)</x:f>
        <x:v>0</x:v>
      </x:c>
      <x:c r="M273" s="1" t="n">
        <x:f>IF(AND(G273&lt;&gt;"",G273&lt;Reporting!$B$4),1,0)</x:f>
        <x:v>0</x:v>
      </x:c>
      <x:c r="N273" s="16" t="str">
        <x:f>IF(M273=1,G273-E273,"")</x:f>
      </x:c>
      <x:c r="O273" s="1" t="str">
        <x:f>IF(E273&gt;=Reporting!$B$4,"Outside cutoff",IF(M273=1,"Closed",IF(J273=1,"Overdue","Open - within SLA")))</x:f>
        <x:v>Open - within SLA</x:v>
      </x:c>
    </x:row>
    <x:row r="274">
      <x:c r="A274" s="14" t="str">
        <x:v>CASE-00269</x:v>
      </x:c>
      <x:c r="B274" s="14" t="str">
        <x:v>Warehouse</x:v>
      </x:c>
      <x:c r="C274" s="14" t="str">
        <x:v>Record mismatch</x:v>
      </x:c>
      <x:c r="D274" s="14" t="str">
        <x:v>Low</x:v>
      </x:c>
      <x:c r="E274" s="15" t="n">
        <x:v>46236.666666666664</x:v>
      </x:c>
      <x:c r="F274" s="15" t="n">
        <x:v>46250.666666666664</x:v>
      </x:c>
      <x:c r="G274" s="15" t="n">
        <x:v>46248.708333333336</x:v>
      </x:c>
      <x:c r="H274" s="14" t="n">
        <x:v>2</x:v>
      </x:c>
      <x:c r="I274" s="1" t="n">
        <x:f>IF(AND(E274&lt;Reporting!$B$4,OR(G274="",G274&gt;=Reporting!$B$4)),1,0)</x:f>
        <x:v>0</x:v>
      </x:c>
      <x:c r="J274" s="1" t="n">
        <x:f>IF(AND(I274=1,F274&lt;Reporting!$B$4),1,0)</x:f>
        <x:v>0</x:v>
      </x:c>
      <x:c r="K274" s="1" t="n">
        <x:f>IF(F274&lt;Reporting!$B$4,1,0)</x:f>
        <x:v>1</x:v>
      </x:c>
      <x:c r="L274" s="1" t="n">
        <x:f>IF(AND(K274=1,G274&lt;&gt;"",G274&lt;=F274),1,0)</x:f>
        <x:v>1</x:v>
      </x:c>
      <x:c r="M274" s="1" t="n">
        <x:f>IF(AND(G274&lt;&gt;"",G274&lt;Reporting!$B$4),1,0)</x:f>
        <x:v>1</x:v>
      </x:c>
      <x:c r="N274" s="16" t="n">
        <x:f>IF(M274=1,G274-E274,"")</x:f>
        <x:v>12.041666666671517</x:v>
      </x:c>
      <x:c r="O274" s="1" t="str">
        <x:f>IF(E274&gt;=Reporting!$B$4,"Outside cutoff",IF(M274=1,"Closed",IF(J274=1,"Overdue","Open - within SLA")))</x:f>
        <x:v>Closed</x:v>
      </x:c>
    </x:row>
    <x:row r="275">
      <x:c r="A275" s="14" t="str">
        <x:v>CASE-00270</x:v>
      </x:c>
      <x:c r="B275" s="14" t="str">
        <x:v>Installation</x:v>
      </x:c>
      <x:c r="C275" s="14" t="str">
        <x:v>Missing evidence</x:v>
      </x:c>
      <x:c r="D275" s="14" t="str">
        <x:v>Medium</x:v>
      </x:c>
      <x:c r="E275" s="15" t="n">
        <x:v>46202.5</x:v>
      </x:c>
      <x:c r="F275" s="15" t="n">
        <x:v>46209.5</x:v>
      </x:c>
      <x:c r="G275" s="15" t="n">
        <x:v>46208.541666666664</x:v>
      </x:c>
      <x:c r="H275" s="14" t="n">
        <x:v>3</x:v>
      </x:c>
      <x:c r="I275" s="1" t="n">
        <x:f>IF(AND(E275&lt;Reporting!$B$4,OR(G275="",G275&gt;=Reporting!$B$4)),1,0)</x:f>
        <x:v>0</x:v>
      </x:c>
      <x:c r="J275" s="1" t="n">
        <x:f>IF(AND(I275=1,F275&lt;Reporting!$B$4),1,0)</x:f>
        <x:v>0</x:v>
      </x:c>
      <x:c r="K275" s="1" t="n">
        <x:f>IF(F275&lt;Reporting!$B$4,1,0)</x:f>
        <x:v>1</x:v>
      </x:c>
      <x:c r="L275" s="1" t="n">
        <x:f>IF(AND(K275=1,G275&lt;&gt;"",G275&lt;=F275),1,0)</x:f>
        <x:v>1</x:v>
      </x:c>
      <x:c r="M275" s="1" t="n">
        <x:f>IF(AND(G275&lt;&gt;"",G275&lt;Reporting!$B$4),1,0)</x:f>
        <x:v>1</x:v>
      </x:c>
      <x:c r="N275" s="16" t="n">
        <x:f>IF(M275=1,G275-E275,"")</x:f>
        <x:v>6.041666666664241</x:v>
      </x:c>
      <x:c r="O275" s="1" t="str">
        <x:f>IF(E275&gt;=Reporting!$B$4,"Outside cutoff",IF(M275=1,"Closed",IF(J275=1,"Overdue","Open - within SLA")))</x:f>
        <x:v>Closed</x:v>
      </x:c>
    </x:row>
    <x:row r="276">
      <x:c r="A276" s="14" t="str">
        <x:v>CASE-00271</x:v>
      </x:c>
      <x:c r="B276" s="14" t="str">
        <x:v>Customer Services</x:v>
      </x:c>
      <x:c r="C276" s="14" t="str">
        <x:v>Missing evidence</x:v>
      </x:c>
      <x:c r="D276" s="14" t="str">
        <x:v>Medium</x:v>
      </x:c>
      <x:c r="E276" s="15" t="n">
        <x:v>46271.333333333336</x:v>
      </x:c>
      <x:c r="F276" s="15" t="n">
        <x:v>46278.333333333336</x:v>
      </x:c>
      <x:c r="G276" s="15"/>
      <x:c r="H276" s="14" t="n">
        <x:v>1</x:v>
      </x:c>
      <x:c r="I276" s="1" t="n">
        <x:f>IF(AND(E276&lt;Reporting!$B$4,OR(G276="",G276&gt;=Reporting!$B$4)),1,0)</x:f>
        <x:v>1</x:v>
      </x:c>
      <x:c r="J276" s="1" t="n">
        <x:f>IF(AND(I276=1,F276&lt;Reporting!$B$4),1,0)</x:f>
        <x:v>1</x:v>
      </x:c>
      <x:c r="K276" s="1" t="n">
        <x:f>IF(F276&lt;Reporting!$B$4,1,0)</x:f>
        <x:v>1</x:v>
      </x:c>
      <x:c r="L276" s="1" t="n">
        <x:f>IF(AND(K276=1,G276&lt;&gt;"",G276&lt;=F276),1,0)</x:f>
        <x:v>0</x:v>
      </x:c>
      <x:c r="M276" s="1" t="n">
        <x:f>IF(AND(G276&lt;&gt;"",G276&lt;Reporting!$B$4),1,0)</x:f>
        <x:v>0</x:v>
      </x:c>
      <x:c r="N276" s="16" t="str">
        <x:f>IF(M276=1,G276-E276,"")</x:f>
      </x:c>
      <x:c r="O276" s="1" t="str">
        <x:f>IF(E276&gt;=Reporting!$B$4,"Outside cutoff",IF(M276=1,"Closed",IF(J276=1,"Overdue","Open - within SLA")))</x:f>
        <x:v>Overdue</x:v>
      </x:c>
    </x:row>
    <x:row r="277">
      <x:c r="A277" s="14" t="str">
        <x:v>CASE-00272</x:v>
      </x:c>
      <x:c r="B277" s="14" t="str">
        <x:v>Installation</x:v>
      </x:c>
      <x:c r="C277" s="14" t="str">
        <x:v>Record mismatch</x:v>
      </x:c>
      <x:c r="D277" s="14" t="str">
        <x:v>Medium</x:v>
      </x:c>
      <x:c r="E277" s="15" t="n">
        <x:v>46209.583333333336</x:v>
      </x:c>
      <x:c r="F277" s="15" t="n">
        <x:v>46216.583333333336</x:v>
      </x:c>
      <x:c r="G277" s="15" t="n">
        <x:v>46226.583333333336</x:v>
      </x:c>
      <x:c r="H277" s="14" t="n">
        <x:v>3</x:v>
      </x:c>
      <x:c r="I277" s="1" t="n">
        <x:f>IF(AND(E277&lt;Reporting!$B$4,OR(G277="",G277&gt;=Reporting!$B$4)),1,0)</x:f>
        <x:v>0</x:v>
      </x:c>
      <x:c r="J277" s="1" t="n">
        <x:f>IF(AND(I277=1,F277&lt;Reporting!$B$4),1,0)</x:f>
        <x:v>0</x:v>
      </x:c>
      <x:c r="K277" s="1" t="n">
        <x:f>IF(F277&lt;Reporting!$B$4,1,0)</x:f>
        <x:v>1</x:v>
      </x:c>
      <x:c r="L277" s="1" t="n">
        <x:f>IF(AND(K277=1,G277&lt;&gt;"",G277&lt;=F277),1,0)</x:f>
        <x:v>0</x:v>
      </x:c>
      <x:c r="M277" s="1" t="n">
        <x:f>IF(AND(G277&lt;&gt;"",G277&lt;Reporting!$B$4),1,0)</x:f>
        <x:v>1</x:v>
      </x:c>
      <x:c r="N277" s="16" t="n">
        <x:f>IF(M277=1,G277-E277,"")</x:f>
        <x:v>17</x:v>
      </x:c>
      <x:c r="O277" s="1" t="str">
        <x:f>IF(E277&gt;=Reporting!$B$4,"Outside cutoff",IF(M277=1,"Closed",IF(J277=1,"Overdue","Open - within SLA")))</x:f>
        <x:v>Closed</x:v>
      </x:c>
    </x:row>
    <x:row r="278">
      <x:c r="A278" s="14" t="str">
        <x:v>CASE-00273</x:v>
      </x:c>
      <x:c r="B278" s="14" t="str">
        <x:v>Customer Services</x:v>
      </x:c>
      <x:c r="C278" s="14" t="str">
        <x:v>Record mismatch</x:v>
      </x:c>
      <x:c r="D278" s="14" t="str">
        <x:v>Medium</x:v>
      </x:c>
      <x:c r="E278" s="15" t="n">
        <x:v>46281.541666666664</x:v>
      </x:c>
      <x:c r="F278" s="15" t="n">
        <x:v>46288.541666666664</x:v>
      </x:c>
      <x:c r="G278" s="15"/>
      <x:c r="H278" s="14" t="n">
        <x:v>1</x:v>
      </x:c>
      <x:c r="I278" s="1" t="n">
        <x:f>IF(AND(E278&lt;Reporting!$B$4,OR(G278="",G278&gt;=Reporting!$B$4)),1,0)</x:f>
        <x:v>1</x:v>
      </x:c>
      <x:c r="J278" s="1" t="n">
        <x:f>IF(AND(I278=1,F278&lt;Reporting!$B$4),1,0)</x:f>
        <x:v>0</x:v>
      </x:c>
      <x:c r="K278" s="1" t="n">
        <x:f>IF(F278&lt;Reporting!$B$4,1,0)</x:f>
        <x:v>0</x:v>
      </x:c>
      <x:c r="L278" s="1" t="n">
        <x:f>IF(AND(K278=1,G278&lt;&gt;"",G278&lt;=F278),1,0)</x:f>
        <x:v>0</x:v>
      </x:c>
      <x:c r="M278" s="1" t="n">
        <x:f>IF(AND(G278&lt;&gt;"",G278&lt;Reporting!$B$4),1,0)</x:f>
        <x:v>0</x:v>
      </x:c>
      <x:c r="N278" s="16" t="str">
        <x:f>IF(M278=1,G278-E278,"")</x:f>
      </x:c>
      <x:c r="O278" s="1" t="str">
        <x:f>IF(E278&gt;=Reporting!$B$4,"Outside cutoff",IF(M278=1,"Closed",IF(J278=1,"Overdue","Open - within SLA")))</x:f>
        <x:v>Open - within SLA</x:v>
      </x:c>
    </x:row>
    <x:row r="279">
      <x:c r="A279" s="14" t="str">
        <x:v>CASE-00274</x:v>
      </x:c>
      <x:c r="B279" s="14" t="str">
        <x:v>Customer Services</x:v>
      </x:c>
      <x:c r="C279" s="14" t="str">
        <x:v>Record mismatch</x:v>
      </x:c>
      <x:c r="D279" s="14" t="str">
        <x:v>Medium</x:v>
      </x:c>
      <x:c r="E279" s="15" t="n">
        <x:v>46224.583333333336</x:v>
      </x:c>
      <x:c r="F279" s="15" t="n">
        <x:v>46231.583333333336</x:v>
      </x:c>
      <x:c r="G279" s="15" t="n">
        <x:v>46226.625</x:v>
      </x:c>
      <x:c r="H279" s="14" t="n">
        <x:v>1</x:v>
      </x:c>
      <x:c r="I279" s="1" t="n">
        <x:f>IF(AND(E279&lt;Reporting!$B$4,OR(G279="",G279&gt;=Reporting!$B$4)),1,0)</x:f>
        <x:v>0</x:v>
      </x:c>
      <x:c r="J279" s="1" t="n">
        <x:f>IF(AND(I279=1,F279&lt;Reporting!$B$4),1,0)</x:f>
        <x:v>0</x:v>
      </x:c>
      <x:c r="K279" s="1" t="n">
        <x:f>IF(F279&lt;Reporting!$B$4,1,0)</x:f>
        <x:v>1</x:v>
      </x:c>
      <x:c r="L279" s="1" t="n">
        <x:f>IF(AND(K279=1,G279&lt;&gt;"",G279&lt;=F279),1,0)</x:f>
        <x:v>1</x:v>
      </x:c>
      <x:c r="M279" s="1" t="n">
        <x:f>IF(AND(G279&lt;&gt;"",G279&lt;Reporting!$B$4),1,0)</x:f>
        <x:v>1</x:v>
      </x:c>
      <x:c r="N279" s="16" t="n">
        <x:f>IF(M279=1,G279-E279,"")</x:f>
        <x:v>2.0416666666642413</x:v>
      </x:c>
      <x:c r="O279" s="1" t="str">
        <x:f>IF(E279&gt;=Reporting!$B$4,"Outside cutoff",IF(M279=1,"Closed",IF(J279=1,"Overdue","Open - within SLA")))</x:f>
        <x:v>Closed</x:v>
      </x:c>
    </x:row>
    <x:row r="280">
      <x:c r="A280" s="14" t="str">
        <x:v>CASE-00275</x:v>
      </x:c>
      <x:c r="B280" s="14" t="str">
        <x:v>Warehouse</x:v>
      </x:c>
      <x:c r="C280" s="14" t="str">
        <x:v>Missing evidence</x:v>
      </x:c>
      <x:c r="D280" s="14" t="str">
        <x:v>Low</x:v>
      </x:c>
      <x:c r="E280" s="15" t="n">
        <x:v>46207.333333333336</x:v>
      </x:c>
      <x:c r="F280" s="15" t="n">
        <x:v>46221.333333333336</x:v>
      </x:c>
      <x:c r="G280" s="15" t="n">
        <x:v>46208.333333333336</x:v>
      </x:c>
      <x:c r="H280" s="14" t="n">
        <x:v>2</x:v>
      </x:c>
      <x:c r="I280" s="1" t="n">
        <x:f>IF(AND(E280&lt;Reporting!$B$4,OR(G280="",G280&gt;=Reporting!$B$4)),1,0)</x:f>
        <x:v>0</x:v>
      </x:c>
      <x:c r="J280" s="1" t="n">
        <x:f>IF(AND(I280=1,F280&lt;Reporting!$B$4),1,0)</x:f>
        <x:v>0</x:v>
      </x:c>
      <x:c r="K280" s="1" t="n">
        <x:f>IF(F280&lt;Reporting!$B$4,1,0)</x:f>
        <x:v>1</x:v>
      </x:c>
      <x:c r="L280" s="1" t="n">
        <x:f>IF(AND(K280=1,G280&lt;&gt;"",G280&lt;=F280),1,0)</x:f>
        <x:v>1</x:v>
      </x:c>
      <x:c r="M280" s="1" t="n">
        <x:f>IF(AND(G280&lt;&gt;"",G280&lt;Reporting!$B$4),1,0)</x:f>
        <x:v>1</x:v>
      </x:c>
      <x:c r="N280" s="16" t="n">
        <x:f>IF(M280=1,G280-E280,"")</x:f>
        <x:v>1</x:v>
      </x:c>
      <x:c r="O280" s="1" t="str">
        <x:f>IF(E280&gt;=Reporting!$B$4,"Outside cutoff",IF(M280=1,"Closed",IF(J280=1,"Overdue","Open - within SLA")))</x:f>
        <x:v>Closed</x:v>
      </x:c>
    </x:row>
    <x:row r="281">
      <x:c r="A281" s="14" t="str">
        <x:v>CASE-00276</x:v>
      </x:c>
      <x:c r="B281" s="14" t="str">
        <x:v>Installation</x:v>
      </x:c>
      <x:c r="C281" s="14" t="str">
        <x:v>Record mismatch</x:v>
      </x:c>
      <x:c r="D281" s="14" t="str">
        <x:v>Low</x:v>
      </x:c>
      <x:c r="E281" s="15" t="n">
        <x:v>46206.666666666664</x:v>
      </x:c>
      <x:c r="F281" s="15" t="n">
        <x:v>46220.666666666664</x:v>
      </x:c>
      <x:c r="G281" s="15" t="n">
        <x:v>46219.708333333336</x:v>
      </x:c>
      <x:c r="H281" s="14" t="n">
        <x:v>3</x:v>
      </x:c>
      <x:c r="I281" s="1" t="n">
        <x:f>IF(AND(E281&lt;Reporting!$B$4,OR(G281="",G281&gt;=Reporting!$B$4)),1,0)</x:f>
        <x:v>0</x:v>
      </x:c>
      <x:c r="J281" s="1" t="n">
        <x:f>IF(AND(I281=1,F281&lt;Reporting!$B$4),1,0)</x:f>
        <x:v>0</x:v>
      </x:c>
      <x:c r="K281" s="1" t="n">
        <x:f>IF(F281&lt;Reporting!$B$4,1,0)</x:f>
        <x:v>1</x:v>
      </x:c>
      <x:c r="L281" s="1" t="n">
        <x:f>IF(AND(K281=1,G281&lt;&gt;"",G281&lt;=F281),1,0)</x:f>
        <x:v>1</x:v>
      </x:c>
      <x:c r="M281" s="1" t="n">
        <x:f>IF(AND(G281&lt;&gt;"",G281&lt;Reporting!$B$4),1,0)</x:f>
        <x:v>1</x:v>
      </x:c>
      <x:c r="N281" s="16" t="n">
        <x:f>IF(M281=1,G281-E281,"")</x:f>
        <x:v>13.041666666671517</x:v>
      </x:c>
      <x:c r="O281" s="1" t="str">
        <x:f>IF(E281&gt;=Reporting!$B$4,"Outside cutoff",IF(M281=1,"Closed",IF(J281=1,"Overdue","Open - within SLA")))</x:f>
        <x:v>Closed</x:v>
      </x:c>
    </x:row>
    <x:row r="282">
      <x:c r="A282" s="14" t="str">
        <x:v>CASE-00277</x:v>
      </x:c>
      <x:c r="B282" s="14" t="str">
        <x:v>Installation</x:v>
      </x:c>
      <x:c r="C282" s="14" t="str">
        <x:v>Missing evidence</x:v>
      </x:c>
      <x:c r="D282" s="14" t="str">
        <x:v>High</x:v>
      </x:c>
      <x:c r="E282" s="15" t="n">
        <x:v>46250.375</x:v>
      </x:c>
      <x:c r="F282" s="15" t="n">
        <x:v>46253.375</x:v>
      </x:c>
      <x:c r="G282" s="15" t="n">
        <x:v>46257.375</x:v>
      </x:c>
      <x:c r="H282" s="14" t="n">
        <x:v>3</x:v>
      </x:c>
      <x:c r="I282" s="1" t="n">
        <x:f>IF(AND(E282&lt;Reporting!$B$4,OR(G282="",G282&gt;=Reporting!$B$4)),1,0)</x:f>
        <x:v>0</x:v>
      </x:c>
      <x:c r="J282" s="1" t="n">
        <x:f>IF(AND(I282=1,F282&lt;Reporting!$B$4),1,0)</x:f>
        <x:v>0</x:v>
      </x:c>
      <x:c r="K282" s="1" t="n">
        <x:f>IF(F282&lt;Reporting!$B$4,1,0)</x:f>
        <x:v>1</x:v>
      </x:c>
      <x:c r="L282" s="1" t="n">
        <x:f>IF(AND(K282=1,G282&lt;&gt;"",G282&lt;=F282),1,0)</x:f>
        <x:v>0</x:v>
      </x:c>
      <x:c r="M282" s="1" t="n">
        <x:f>IF(AND(G282&lt;&gt;"",G282&lt;Reporting!$B$4),1,0)</x:f>
        <x:v>1</x:v>
      </x:c>
      <x:c r="N282" s="16" t="n">
        <x:f>IF(M282=1,G282-E282,"")</x:f>
        <x:v>7</x:v>
      </x:c>
      <x:c r="O282" s="1" t="str">
        <x:f>IF(E282&gt;=Reporting!$B$4,"Outside cutoff",IF(M282=1,"Closed",IF(J282=1,"Overdue","Open - within SLA")))</x:f>
        <x:v>Closed</x:v>
      </x:c>
    </x:row>
    <x:row r="283">
      <x:c r="A283" s="14" t="str">
        <x:v>CASE-00278</x:v>
      </x:c>
      <x:c r="B283" s="14" t="str">
        <x:v>Installation</x:v>
      </x:c>
      <x:c r="C283" s="14" t="str">
        <x:v>Late review</x:v>
      </x:c>
      <x:c r="D283" s="14" t="str">
        <x:v>Medium</x:v>
      </x:c>
      <x:c r="E283" s="15" t="n">
        <x:v>46243.375</x:v>
      </x:c>
      <x:c r="F283" s="15" t="n">
        <x:v>46250.375</x:v>
      </x:c>
      <x:c r="G283" s="15" t="n">
        <x:v>46249.375</x:v>
      </x:c>
      <x:c r="H283" s="14" t="n">
        <x:v>3</x:v>
      </x:c>
      <x:c r="I283" s="1" t="n">
        <x:f>IF(AND(E283&lt;Reporting!$B$4,OR(G283="",G283&gt;=Reporting!$B$4)),1,0)</x:f>
        <x:v>0</x:v>
      </x:c>
      <x:c r="J283" s="1" t="n">
        <x:f>IF(AND(I283=1,F283&lt;Reporting!$B$4),1,0)</x:f>
        <x:v>0</x:v>
      </x:c>
      <x:c r="K283" s="1" t="n">
        <x:f>IF(F283&lt;Reporting!$B$4,1,0)</x:f>
        <x:v>1</x:v>
      </x:c>
      <x:c r="L283" s="1" t="n">
        <x:f>IF(AND(K283=1,G283&lt;&gt;"",G283&lt;=F283),1,0)</x:f>
        <x:v>1</x:v>
      </x:c>
      <x:c r="M283" s="1" t="n">
        <x:f>IF(AND(G283&lt;&gt;"",G283&lt;Reporting!$B$4),1,0)</x:f>
        <x:v>1</x:v>
      </x:c>
      <x:c r="N283" s="16" t="n">
        <x:f>IF(M283=1,G283-E283,"")</x:f>
        <x:v>6</x:v>
      </x:c>
      <x:c r="O283" s="1" t="str">
        <x:f>IF(E283&gt;=Reporting!$B$4,"Outside cutoff",IF(M283=1,"Closed",IF(J283=1,"Overdue","Open - within SLA")))</x:f>
        <x:v>Closed</x:v>
      </x:c>
    </x:row>
    <x:row r="284">
      <x:c r="A284" s="14" t="str">
        <x:v>CASE-00279</x:v>
      </x:c>
      <x:c r="B284" s="14" t="str">
        <x:v>Customer Services</x:v>
      </x:c>
      <x:c r="C284" s="14" t="str">
        <x:v>Missing evidence</x:v>
      </x:c>
      <x:c r="D284" s="14" t="str">
        <x:v>Medium</x:v>
      </x:c>
      <x:c r="E284" s="15" t="n">
        <x:v>46277.416666666664</x:v>
      </x:c>
      <x:c r="F284" s="15" t="n">
        <x:v>46284.416666666664</x:v>
      </x:c>
      <x:c r="G284" s="15"/>
      <x:c r="H284" s="14" t="n">
        <x:v>1</x:v>
      </x:c>
      <x:c r="I284" s="1" t="n">
        <x:f>IF(AND(E284&lt;Reporting!$B$4,OR(G284="",G284&gt;=Reporting!$B$4)),1,0)</x:f>
        <x:v>1</x:v>
      </x:c>
      <x:c r="J284" s="1" t="n">
        <x:f>IF(AND(I284=1,F284&lt;Reporting!$B$4),1,0)</x:f>
        <x:v>1</x:v>
      </x:c>
      <x:c r="K284" s="1" t="n">
        <x:f>IF(F284&lt;Reporting!$B$4,1,0)</x:f>
        <x:v>1</x:v>
      </x:c>
      <x:c r="L284" s="1" t="n">
        <x:f>IF(AND(K284=1,G284&lt;&gt;"",G284&lt;=F284),1,0)</x:f>
        <x:v>0</x:v>
      </x:c>
      <x:c r="M284" s="1" t="n">
        <x:f>IF(AND(G284&lt;&gt;"",G284&lt;Reporting!$B$4),1,0)</x:f>
        <x:v>0</x:v>
      </x:c>
      <x:c r="N284" s="16" t="str">
        <x:f>IF(M284=1,G284-E284,"")</x:f>
      </x:c>
      <x:c r="O284" s="1" t="str">
        <x:f>IF(E284&gt;=Reporting!$B$4,"Outside cutoff",IF(M284=1,"Closed",IF(J284=1,"Overdue","Open - within SLA")))</x:f>
        <x:v>Overdue</x:v>
      </x:c>
    </x:row>
    <x:row r="285">
      <x:c r="A285" s="14" t="str">
        <x:v>CASE-00280</x:v>
      </x:c>
      <x:c r="B285" s="14" t="str">
        <x:v>Customer Services</x:v>
      </x:c>
      <x:c r="C285" s="14" t="str">
        <x:v>Process deviation</x:v>
      </x:c>
      <x:c r="D285" s="14" t="str">
        <x:v>High</x:v>
      </x:c>
      <x:c r="E285" s="15" t="n">
        <x:v>46280.375</x:v>
      </x:c>
      <x:c r="F285" s="15" t="n">
        <x:v>46283.375</x:v>
      </x:c>
      <x:c r="G285" s="15"/>
      <x:c r="H285" s="14" t="n">
        <x:v>1</x:v>
      </x:c>
      <x:c r="I285" s="1" t="n">
        <x:f>IF(AND(E285&lt;Reporting!$B$4,OR(G285="",G285&gt;=Reporting!$B$4)),1,0)</x:f>
        <x:v>1</x:v>
      </x:c>
      <x:c r="J285" s="1" t="n">
        <x:f>IF(AND(I285=1,F285&lt;Reporting!$B$4),1,0)</x:f>
        <x:v>1</x:v>
      </x:c>
      <x:c r="K285" s="1" t="n">
        <x:f>IF(F285&lt;Reporting!$B$4,1,0)</x:f>
        <x:v>1</x:v>
      </x:c>
      <x:c r="L285" s="1" t="n">
        <x:f>IF(AND(K285=1,G285&lt;&gt;"",G285&lt;=F285),1,0)</x:f>
        <x:v>0</x:v>
      </x:c>
      <x:c r="M285" s="1" t="n">
        <x:f>IF(AND(G285&lt;&gt;"",G285&lt;Reporting!$B$4),1,0)</x:f>
        <x:v>0</x:v>
      </x:c>
      <x:c r="N285" s="16" t="str">
        <x:f>IF(M285=1,G285-E285,"")</x:f>
      </x:c>
      <x:c r="O285" s="1" t="str">
        <x:f>IF(E285&gt;=Reporting!$B$4,"Outside cutoff",IF(M285=1,"Closed",IF(J285=1,"Overdue","Open - within SLA")))</x:f>
        <x:v>Overdue</x:v>
      </x:c>
    </x:row>
    <x:row r="286">
      <x:c r="A286" s="14" t="str">
        <x:v>CASE-00281</x:v>
      </x:c>
      <x:c r="B286" s="14" t="str">
        <x:v>Customer Services</x:v>
      </x:c>
      <x:c r="C286" s="14" t="str">
        <x:v>Late review</x:v>
      </x:c>
      <x:c r="D286" s="14" t="str">
        <x:v>Low</x:v>
      </x:c>
      <x:c r="E286" s="15" t="n">
        <x:v>46207.416666666664</x:v>
      </x:c>
      <x:c r="F286" s="15" t="n">
        <x:v>46221.416666666664</x:v>
      </x:c>
      <x:c r="G286" s="15" t="n">
        <x:v>46222.416666666664</x:v>
      </x:c>
      <x:c r="H286" s="14" t="n">
        <x:v>1</x:v>
      </x:c>
      <x:c r="I286" s="1" t="n">
        <x:f>IF(AND(E286&lt;Reporting!$B$4,OR(G286="",G286&gt;=Reporting!$B$4)),1,0)</x:f>
        <x:v>0</x:v>
      </x:c>
      <x:c r="J286" s="1" t="n">
        <x:f>IF(AND(I286=1,F286&lt;Reporting!$B$4),1,0)</x:f>
        <x:v>0</x:v>
      </x:c>
      <x:c r="K286" s="1" t="n">
        <x:f>IF(F286&lt;Reporting!$B$4,1,0)</x:f>
        <x:v>1</x:v>
      </x:c>
      <x:c r="L286" s="1" t="n">
        <x:f>IF(AND(K286=1,G286&lt;&gt;"",G286&lt;=F286),1,0)</x:f>
        <x:v>0</x:v>
      </x:c>
      <x:c r="M286" s="1" t="n">
        <x:f>IF(AND(G286&lt;&gt;"",G286&lt;Reporting!$B$4),1,0)</x:f>
        <x:v>1</x:v>
      </x:c>
      <x:c r="N286" s="16" t="n">
        <x:f>IF(M286=1,G286-E286,"")</x:f>
        <x:v>15</x:v>
      </x:c>
      <x:c r="O286" s="1" t="str">
        <x:f>IF(E286&gt;=Reporting!$B$4,"Outside cutoff",IF(M286=1,"Closed",IF(J286=1,"Overdue","Open - within SLA")))</x:f>
        <x:v>Closed</x:v>
      </x:c>
    </x:row>
    <x:row r="287">
      <x:c r="A287" s="14" t="str">
        <x:v>CASE-00282</x:v>
      </x:c>
      <x:c r="B287" s="14" t="str">
        <x:v>Customer Services</x:v>
      </x:c>
      <x:c r="C287" s="14" t="str">
        <x:v>Record mismatch</x:v>
      </x:c>
      <x:c r="D287" s="14" t="str">
        <x:v>Low</x:v>
      </x:c>
      <x:c r="E287" s="15" t="n">
        <x:v>46260.416666666664</x:v>
      </x:c>
      <x:c r="F287" s="15" t="n">
        <x:v>46274.416666666664</x:v>
      </x:c>
      <x:c r="G287" s="15" t="n">
        <x:v>46263.5</x:v>
      </x:c>
      <x:c r="H287" s="14" t="n">
        <x:v>1</x:v>
      </x:c>
      <x:c r="I287" s="1" t="n">
        <x:f>IF(AND(E287&lt;Reporting!$B$4,OR(G287="",G287&gt;=Reporting!$B$4)),1,0)</x:f>
        <x:v>0</x:v>
      </x:c>
      <x:c r="J287" s="1" t="n">
        <x:f>IF(AND(I287=1,F287&lt;Reporting!$B$4),1,0)</x:f>
        <x:v>0</x:v>
      </x:c>
      <x:c r="K287" s="1" t="n">
        <x:f>IF(F287&lt;Reporting!$B$4,1,0)</x:f>
        <x:v>1</x:v>
      </x:c>
      <x:c r="L287" s="1" t="n">
        <x:f>IF(AND(K287=1,G287&lt;&gt;"",G287&lt;=F287),1,0)</x:f>
        <x:v>1</x:v>
      </x:c>
      <x:c r="M287" s="1" t="n">
        <x:f>IF(AND(G287&lt;&gt;"",G287&lt;Reporting!$B$4),1,0)</x:f>
        <x:v>1</x:v>
      </x:c>
      <x:c r="N287" s="16" t="n">
        <x:f>IF(M287=1,G287-E287,"")</x:f>
        <x:v>3.0833333333357587</x:v>
      </x:c>
      <x:c r="O287" s="1" t="str">
        <x:f>IF(E287&gt;=Reporting!$B$4,"Outside cutoff",IF(M287=1,"Closed",IF(J287=1,"Overdue","Open - within SLA")))</x:f>
        <x:v>Closed</x:v>
      </x:c>
    </x:row>
    <x:row r="288">
      <x:c r="A288" s="14" t="str">
        <x:v>CASE-00283</x:v>
      </x:c>
      <x:c r="B288" s="14" t="str">
        <x:v>Installation</x:v>
      </x:c>
      <x:c r="C288" s="14" t="str">
        <x:v>Process deviation</x:v>
      </x:c>
      <x:c r="D288" s="14" t="str">
        <x:v>High</x:v>
      </x:c>
      <x:c r="E288" s="15" t="n">
        <x:v>46281.333333333336</x:v>
      </x:c>
      <x:c r="F288" s="15" t="n">
        <x:v>46284.333333333336</x:v>
      </x:c>
      <x:c r="G288" s="15"/>
      <x:c r="H288" s="14" t="n">
        <x:v>3</x:v>
      </x:c>
      <x:c r="I288" s="1" t="n">
        <x:f>IF(AND(E288&lt;Reporting!$B$4,OR(G288="",G288&gt;=Reporting!$B$4)),1,0)</x:f>
        <x:v>1</x:v>
      </x:c>
      <x:c r="J288" s="1" t="n">
        <x:f>IF(AND(I288=1,F288&lt;Reporting!$B$4),1,0)</x:f>
        <x:v>1</x:v>
      </x:c>
      <x:c r="K288" s="1" t="n">
        <x:f>IF(F288&lt;Reporting!$B$4,1,0)</x:f>
        <x:v>1</x:v>
      </x:c>
      <x:c r="L288" s="1" t="n">
        <x:f>IF(AND(K288=1,G288&lt;&gt;"",G288&lt;=F288),1,0)</x:f>
        <x:v>0</x:v>
      </x:c>
      <x:c r="M288" s="1" t="n">
        <x:f>IF(AND(G288&lt;&gt;"",G288&lt;Reporting!$B$4),1,0)</x:f>
        <x:v>0</x:v>
      </x:c>
      <x:c r="N288" s="16" t="str">
        <x:f>IF(M288=1,G288-E288,"")</x:f>
      </x:c>
      <x:c r="O288" s="1" t="str">
        <x:f>IF(E288&gt;=Reporting!$B$4,"Outside cutoff",IF(M288=1,"Closed",IF(J288=1,"Overdue","Open - within SLA")))</x:f>
        <x:v>Overdue</x:v>
      </x:c>
    </x:row>
    <x:row r="289">
      <x:c r="A289" s="14" t="str">
        <x:v>CASE-00284</x:v>
      </x:c>
      <x:c r="B289" s="14" t="str">
        <x:v>Customer Services</x:v>
      </x:c>
      <x:c r="C289" s="14" t="str">
        <x:v>Missing evidence</x:v>
      </x:c>
      <x:c r="D289" s="14" t="str">
        <x:v>Medium</x:v>
      </x:c>
      <x:c r="E289" s="15" t="n">
        <x:v>46229.458333333336</x:v>
      </x:c>
      <x:c r="F289" s="15" t="n">
        <x:v>46236.458333333336</x:v>
      </x:c>
      <x:c r="G289" s="15" t="n">
        <x:v>46243.458333333336</x:v>
      </x:c>
      <x:c r="H289" s="14" t="n">
        <x:v>1</x:v>
      </x:c>
      <x:c r="I289" s="1" t="n">
        <x:f>IF(AND(E289&lt;Reporting!$B$4,OR(G289="",G289&gt;=Reporting!$B$4)),1,0)</x:f>
        <x:v>0</x:v>
      </x:c>
      <x:c r="J289" s="1" t="n">
        <x:f>IF(AND(I289=1,F289&lt;Reporting!$B$4),1,0)</x:f>
        <x:v>0</x:v>
      </x:c>
      <x:c r="K289" s="1" t="n">
        <x:f>IF(F289&lt;Reporting!$B$4,1,0)</x:f>
        <x:v>1</x:v>
      </x:c>
      <x:c r="L289" s="1" t="n">
        <x:f>IF(AND(K289=1,G289&lt;&gt;"",G289&lt;=F289),1,0)</x:f>
        <x:v>0</x:v>
      </x:c>
      <x:c r="M289" s="1" t="n">
        <x:f>IF(AND(G289&lt;&gt;"",G289&lt;Reporting!$B$4),1,0)</x:f>
        <x:v>1</x:v>
      </x:c>
      <x:c r="N289" s="16" t="n">
        <x:f>IF(M289=1,G289-E289,"")</x:f>
        <x:v>14</x:v>
      </x:c>
      <x:c r="O289" s="1" t="str">
        <x:f>IF(E289&gt;=Reporting!$B$4,"Outside cutoff",IF(M289=1,"Closed",IF(J289=1,"Overdue","Open - within SLA")))</x:f>
        <x:v>Closed</x:v>
      </x:c>
    </x:row>
    <x:row r="290">
      <x:c r="A290" s="14" t="str">
        <x:v>CASE-00285</x:v>
      </x:c>
      <x:c r="B290" s="14" t="str">
        <x:v>Installation</x:v>
      </x:c>
      <x:c r="C290" s="14" t="str">
        <x:v>Late review</x:v>
      </x:c>
      <x:c r="D290" s="14" t="str">
        <x:v>Medium</x:v>
      </x:c>
      <x:c r="E290" s="15" t="n">
        <x:v>46276.666666666664</x:v>
      </x:c>
      <x:c r="F290" s="15" t="n">
        <x:v>46283.666666666664</x:v>
      </x:c>
      <x:c r="G290" s="15"/>
      <x:c r="H290" s="14" t="n">
        <x:v>3</x:v>
      </x:c>
      <x:c r="I290" s="1" t="n">
        <x:f>IF(AND(E290&lt;Reporting!$B$4,OR(G290="",G290&gt;=Reporting!$B$4)),1,0)</x:f>
        <x:v>1</x:v>
      </x:c>
      <x:c r="J290" s="1" t="n">
        <x:f>IF(AND(I290=1,F290&lt;Reporting!$B$4),1,0)</x:f>
        <x:v>1</x:v>
      </x:c>
      <x:c r="K290" s="1" t="n">
        <x:f>IF(F290&lt;Reporting!$B$4,1,0)</x:f>
        <x:v>1</x:v>
      </x:c>
      <x:c r="L290" s="1" t="n">
        <x:f>IF(AND(K290=1,G290&lt;&gt;"",G290&lt;=F290),1,0)</x:f>
        <x:v>0</x:v>
      </x:c>
      <x:c r="M290" s="1" t="n">
        <x:f>IF(AND(G290&lt;&gt;"",G290&lt;Reporting!$B$4),1,0)</x:f>
        <x:v>0</x:v>
      </x:c>
      <x:c r="N290" s="16" t="str">
        <x:f>IF(M290=1,G290-E290,"")</x:f>
      </x:c>
      <x:c r="O290" s="1" t="str">
        <x:f>IF(E290&gt;=Reporting!$B$4,"Outside cutoff",IF(M290=1,"Closed",IF(J290=1,"Overdue","Open - within SLA")))</x:f>
        <x:v>Overdue</x:v>
      </x:c>
    </x:row>
    <x:row r="291">
      <x:c r="A291" s="14" t="str">
        <x:v>CASE-00286</x:v>
      </x:c>
      <x:c r="B291" s="14" t="str">
        <x:v>Installation</x:v>
      </x:c>
      <x:c r="C291" s="14" t="str">
        <x:v>Process deviation</x:v>
      </x:c>
      <x:c r="D291" s="14" t="str">
        <x:v>Medium</x:v>
      </x:c>
      <x:c r="E291" s="15" t="n">
        <x:v>46230.458333333336</x:v>
      </x:c>
      <x:c r="F291" s="15" t="n">
        <x:v>46237.458333333336</x:v>
      </x:c>
      <x:c r="G291" s="15" t="n">
        <x:v>46239.458333333336</x:v>
      </x:c>
      <x:c r="H291" s="14" t="n">
        <x:v>3</x:v>
      </x:c>
      <x:c r="I291" s="1" t="n">
        <x:f>IF(AND(E291&lt;Reporting!$B$4,OR(G291="",G291&gt;=Reporting!$B$4)),1,0)</x:f>
        <x:v>0</x:v>
      </x:c>
      <x:c r="J291" s="1" t="n">
        <x:f>IF(AND(I291=1,F291&lt;Reporting!$B$4),1,0)</x:f>
        <x:v>0</x:v>
      </x:c>
      <x:c r="K291" s="1" t="n">
        <x:f>IF(F291&lt;Reporting!$B$4,1,0)</x:f>
        <x:v>1</x:v>
      </x:c>
      <x:c r="L291" s="1" t="n">
        <x:f>IF(AND(K291=1,G291&lt;&gt;"",G291&lt;=F291),1,0)</x:f>
        <x:v>0</x:v>
      </x:c>
      <x:c r="M291" s="1" t="n">
        <x:f>IF(AND(G291&lt;&gt;"",G291&lt;Reporting!$B$4),1,0)</x:f>
        <x:v>1</x:v>
      </x:c>
      <x:c r="N291" s="16" t="n">
        <x:f>IF(M291=1,G291-E291,"")</x:f>
        <x:v>9</x:v>
      </x:c>
      <x:c r="O291" s="1" t="str">
        <x:f>IF(E291&gt;=Reporting!$B$4,"Outside cutoff",IF(M291=1,"Closed",IF(J291=1,"Overdue","Open - within SLA")))</x:f>
        <x:v>Closed</x:v>
      </x:c>
    </x:row>
    <x:row r="292">
      <x:c r="A292" s="14" t="str">
        <x:v>CASE-00287</x:v>
      </x:c>
      <x:c r="B292" s="14" t="str">
        <x:v>Warehouse</x:v>
      </x:c>
      <x:c r="C292" s="14" t="str">
        <x:v>Missing evidence</x:v>
      </x:c>
      <x:c r="D292" s="14" t="str">
        <x:v>Medium</x:v>
      </x:c>
      <x:c r="E292" s="15" t="n">
        <x:v>46254.541666666664</x:v>
      </x:c>
      <x:c r="F292" s="15" t="n">
        <x:v>46261.541666666664</x:v>
      </x:c>
      <x:c r="G292" s="15" t="n">
        <x:v>46272.625</x:v>
      </x:c>
      <x:c r="H292" s="14" t="n">
        <x:v>2</x:v>
      </x:c>
      <x:c r="I292" s="1" t="n">
        <x:f>IF(AND(E292&lt;Reporting!$B$4,OR(G292="",G292&gt;=Reporting!$B$4)),1,0)</x:f>
        <x:v>0</x:v>
      </x:c>
      <x:c r="J292" s="1" t="n">
        <x:f>IF(AND(I292=1,F292&lt;Reporting!$B$4),1,0)</x:f>
        <x:v>0</x:v>
      </x:c>
      <x:c r="K292" s="1" t="n">
        <x:f>IF(F292&lt;Reporting!$B$4,1,0)</x:f>
        <x:v>1</x:v>
      </x:c>
      <x:c r="L292" s="1" t="n">
        <x:f>IF(AND(K292=1,G292&lt;&gt;"",G292&lt;=F292),1,0)</x:f>
        <x:v>0</x:v>
      </x:c>
      <x:c r="M292" s="1" t="n">
        <x:f>IF(AND(G292&lt;&gt;"",G292&lt;Reporting!$B$4),1,0)</x:f>
        <x:v>1</x:v>
      </x:c>
      <x:c r="N292" s="16" t="n">
        <x:f>IF(M292=1,G292-E292,"")</x:f>
        <x:v>18.08333333333576</x:v>
      </x:c>
      <x:c r="O292" s="1" t="str">
        <x:f>IF(E292&gt;=Reporting!$B$4,"Outside cutoff",IF(M292=1,"Closed",IF(J292=1,"Overdue","Open - within SLA")))</x:f>
        <x:v>Closed</x:v>
      </x:c>
    </x:row>
    <x:row r="293">
      <x:c r="A293" s="14" t="str">
        <x:v>CASE-00288</x:v>
      </x:c>
      <x:c r="B293" s="14" t="str">
        <x:v>Warehouse</x:v>
      </x:c>
      <x:c r="C293" s="14" t="str">
        <x:v>Late review</x:v>
      </x:c>
      <x:c r="D293" s="14" t="str">
        <x:v>Low</x:v>
      </x:c>
      <x:c r="E293" s="15" t="n">
        <x:v>46266.583333333336</x:v>
      </x:c>
      <x:c r="F293" s="15" t="n">
        <x:v>46280.583333333336</x:v>
      </x:c>
      <x:c r="G293" s="15" t="n">
        <x:v>46282.666666666664</x:v>
      </x:c>
      <x:c r="H293" s="14" t="n">
        <x:v>2</x:v>
      </x:c>
      <x:c r="I293" s="1" t="n">
        <x:f>IF(AND(E293&lt;Reporting!$B$4,OR(G293="",G293&gt;=Reporting!$B$4)),1,0)</x:f>
        <x:v>0</x:v>
      </x:c>
      <x:c r="J293" s="1" t="n">
        <x:f>IF(AND(I293=1,F293&lt;Reporting!$B$4),1,0)</x:f>
        <x:v>0</x:v>
      </x:c>
      <x:c r="K293" s="1" t="n">
        <x:f>IF(F293&lt;Reporting!$B$4,1,0)</x:f>
        <x:v>1</x:v>
      </x:c>
      <x:c r="L293" s="1" t="n">
        <x:f>IF(AND(K293=1,G293&lt;&gt;"",G293&lt;=F293),1,0)</x:f>
        <x:v>0</x:v>
      </x:c>
      <x:c r="M293" s="1" t="n">
        <x:f>IF(AND(G293&lt;&gt;"",G293&lt;Reporting!$B$4),1,0)</x:f>
        <x:v>1</x:v>
      </x:c>
      <x:c r="N293" s="16" t="n">
        <x:f>IF(M293=1,G293-E293,"")</x:f>
        <x:v>16.083333333328483</x:v>
      </x:c>
      <x:c r="O293" s="1" t="str">
        <x:f>IF(E293&gt;=Reporting!$B$4,"Outside cutoff",IF(M293=1,"Closed",IF(J293=1,"Overdue","Open - within SLA")))</x:f>
        <x:v>Closed</x:v>
      </x:c>
    </x:row>
    <x:row r="294">
      <x:c r="A294" s="14" t="str">
        <x:v>CASE-00289</x:v>
      </x:c>
      <x:c r="B294" s="14" t="str">
        <x:v>Customer Services</x:v>
      </x:c>
      <x:c r="C294" s="14" t="str">
        <x:v>Process deviation</x:v>
      </x:c>
      <x:c r="D294" s="14" t="str">
        <x:v>Medium</x:v>
      </x:c>
      <x:c r="E294" s="15" t="n">
        <x:v>46239.541666666664</x:v>
      </x:c>
      <x:c r="F294" s="15" t="n">
        <x:v>46246.541666666664</x:v>
      </x:c>
      <x:c r="G294" s="15" t="n">
        <x:v>46246.625</x:v>
      </x:c>
      <x:c r="H294" s="14" t="n">
        <x:v>1</x:v>
      </x:c>
      <x:c r="I294" s="1" t="n">
        <x:f>IF(AND(E294&lt;Reporting!$B$4,OR(G294="",G294&gt;=Reporting!$B$4)),1,0)</x:f>
        <x:v>0</x:v>
      </x:c>
      <x:c r="J294" s="1" t="n">
        <x:f>IF(AND(I294=1,F294&lt;Reporting!$B$4),1,0)</x:f>
        <x:v>0</x:v>
      </x:c>
      <x:c r="K294" s="1" t="n">
        <x:f>IF(F294&lt;Reporting!$B$4,1,0)</x:f>
        <x:v>1</x:v>
      </x:c>
      <x:c r="L294" s="1" t="n">
        <x:f>IF(AND(K294=1,G294&lt;&gt;"",G294&lt;=F294),1,0)</x:f>
        <x:v>0</x:v>
      </x:c>
      <x:c r="M294" s="1" t="n">
        <x:f>IF(AND(G294&lt;&gt;"",G294&lt;Reporting!$B$4),1,0)</x:f>
        <x:v>1</x:v>
      </x:c>
      <x:c r="N294" s="16" t="n">
        <x:f>IF(M294=1,G294-E294,"")</x:f>
        <x:v>7.083333333335759</x:v>
      </x:c>
      <x:c r="O294" s="1" t="str">
        <x:f>IF(E294&gt;=Reporting!$B$4,"Outside cutoff",IF(M294=1,"Closed",IF(J294=1,"Overdue","Open - within SLA")))</x:f>
        <x:v>Closed</x:v>
      </x:c>
    </x:row>
    <x:row r="295">
      <x:c r="A295" s="14" t="str">
        <x:v>CASE-00290</x:v>
      </x:c>
      <x:c r="B295" s="14" t="str">
        <x:v>Warehouse</x:v>
      </x:c>
      <x:c r="C295" s="14" t="str">
        <x:v>Late review</x:v>
      </x:c>
      <x:c r="D295" s="14" t="str">
        <x:v>Medium</x:v>
      </x:c>
      <x:c r="E295" s="15" t="n">
        <x:v>46245.375</x:v>
      </x:c>
      <x:c r="F295" s="15" t="n">
        <x:v>46252.375</x:v>
      </x:c>
      <x:c r="G295" s="15" t="n">
        <x:v>46264.375</x:v>
      </x:c>
      <x:c r="H295" s="14" t="n">
        <x:v>2</x:v>
      </x:c>
      <x:c r="I295" s="1" t="n">
        <x:f>IF(AND(E295&lt;Reporting!$B$4,OR(G295="",G295&gt;=Reporting!$B$4)),1,0)</x:f>
        <x:v>0</x:v>
      </x:c>
      <x:c r="J295" s="1" t="n">
        <x:f>IF(AND(I295=1,F295&lt;Reporting!$B$4),1,0)</x:f>
        <x:v>0</x:v>
      </x:c>
      <x:c r="K295" s="1" t="n">
        <x:f>IF(F295&lt;Reporting!$B$4,1,0)</x:f>
        <x:v>1</x:v>
      </x:c>
      <x:c r="L295" s="1" t="n">
        <x:f>IF(AND(K295=1,G295&lt;&gt;"",G295&lt;=F295),1,0)</x:f>
        <x:v>0</x:v>
      </x:c>
      <x:c r="M295" s="1" t="n">
        <x:f>IF(AND(G295&lt;&gt;"",G295&lt;Reporting!$B$4),1,0)</x:f>
        <x:v>1</x:v>
      </x:c>
      <x:c r="N295" s="16" t="n">
        <x:f>IF(M295=1,G295-E295,"")</x:f>
        <x:v>19</x:v>
      </x:c>
      <x:c r="O295" s="1" t="str">
        <x:f>IF(E295&gt;=Reporting!$B$4,"Outside cutoff",IF(M295=1,"Closed",IF(J295=1,"Overdue","Open - within SLA")))</x:f>
        <x:v>Closed</x:v>
      </x:c>
    </x:row>
    <x:row r="296">
      <x:c r="A296" s="14" t="str">
        <x:v>CASE-00291</x:v>
      </x:c>
      <x:c r="B296" s="14" t="str">
        <x:v>Warehouse</x:v>
      </x:c>
      <x:c r="C296" s="14" t="str">
        <x:v>Late review</x:v>
      </x:c>
      <x:c r="D296" s="14" t="str">
        <x:v>High</x:v>
      </x:c>
      <x:c r="E296" s="15" t="n">
        <x:v>46227.666666666664</x:v>
      </x:c>
      <x:c r="F296" s="15" t="n">
        <x:v>46230.666666666664</x:v>
      </x:c>
      <x:c r="G296" s="15" t="n">
        <x:v>46231.666666666664</x:v>
      </x:c>
      <x:c r="H296" s="14" t="n">
        <x:v>2</x:v>
      </x:c>
      <x:c r="I296" s="1" t="n">
        <x:f>IF(AND(E296&lt;Reporting!$B$4,OR(G296="",G296&gt;=Reporting!$B$4)),1,0)</x:f>
        <x:v>0</x:v>
      </x:c>
      <x:c r="J296" s="1" t="n">
        <x:f>IF(AND(I296=1,F296&lt;Reporting!$B$4),1,0)</x:f>
        <x:v>0</x:v>
      </x:c>
      <x:c r="K296" s="1" t="n">
        <x:f>IF(F296&lt;Reporting!$B$4,1,0)</x:f>
        <x:v>1</x:v>
      </x:c>
      <x:c r="L296" s="1" t="n">
        <x:f>IF(AND(K296=1,G296&lt;&gt;"",G296&lt;=F296),1,0)</x:f>
        <x:v>0</x:v>
      </x:c>
      <x:c r="M296" s="1" t="n">
        <x:f>IF(AND(G296&lt;&gt;"",G296&lt;Reporting!$B$4),1,0)</x:f>
        <x:v>1</x:v>
      </x:c>
      <x:c r="N296" s="16" t="n">
        <x:f>IF(M296=1,G296-E296,"")</x:f>
        <x:v>4</x:v>
      </x:c>
      <x:c r="O296" s="1" t="str">
        <x:f>IF(E296&gt;=Reporting!$B$4,"Outside cutoff",IF(M296=1,"Closed",IF(J296=1,"Overdue","Open - within SLA")))</x:f>
        <x:v>Closed</x:v>
      </x:c>
    </x:row>
    <x:row r="297">
      <x:c r="A297" s="14" t="str">
        <x:v>CASE-00292</x:v>
      </x:c>
      <x:c r="B297" s="14" t="str">
        <x:v>Customer Services</x:v>
      </x:c>
      <x:c r="C297" s="14" t="str">
        <x:v>Record mismatch</x:v>
      </x:c>
      <x:c r="D297" s="14" t="str">
        <x:v>Medium</x:v>
      </x:c>
      <x:c r="E297" s="15" t="n">
        <x:v>46230.5</x:v>
      </x:c>
      <x:c r="F297" s="15" t="n">
        <x:v>46237.5</x:v>
      </x:c>
      <x:c r="G297" s="15" t="n">
        <x:v>46244.541666666664</x:v>
      </x:c>
      <x:c r="H297" s="14" t="n">
        <x:v>1</x:v>
      </x:c>
      <x:c r="I297" s="1" t="n">
        <x:f>IF(AND(E297&lt;Reporting!$B$4,OR(G297="",G297&gt;=Reporting!$B$4)),1,0)</x:f>
        <x:v>0</x:v>
      </x:c>
      <x:c r="J297" s="1" t="n">
        <x:f>IF(AND(I297=1,F297&lt;Reporting!$B$4),1,0)</x:f>
        <x:v>0</x:v>
      </x:c>
      <x:c r="K297" s="1" t="n">
        <x:f>IF(F297&lt;Reporting!$B$4,1,0)</x:f>
        <x:v>1</x:v>
      </x:c>
      <x:c r="L297" s="1" t="n">
        <x:f>IF(AND(K297=1,G297&lt;&gt;"",G297&lt;=F297),1,0)</x:f>
        <x:v>0</x:v>
      </x:c>
      <x:c r="M297" s="1" t="n">
        <x:f>IF(AND(G297&lt;&gt;"",G297&lt;Reporting!$B$4),1,0)</x:f>
        <x:v>1</x:v>
      </x:c>
      <x:c r="N297" s="16" t="n">
        <x:f>IF(M297=1,G297-E297,"")</x:f>
        <x:v>14.041666666664241</x:v>
      </x:c>
      <x:c r="O297" s="1" t="str">
        <x:f>IF(E297&gt;=Reporting!$B$4,"Outside cutoff",IF(M297=1,"Closed",IF(J297=1,"Overdue","Open - within SLA")))</x:f>
        <x:v>Closed</x:v>
      </x:c>
    </x:row>
    <x:row r="298">
      <x:c r="A298" s="14" t="str">
        <x:v>CASE-00293</x:v>
      </x:c>
      <x:c r="B298" s="14" t="str">
        <x:v>Customer Services</x:v>
      </x:c>
      <x:c r="C298" s="14" t="str">
        <x:v>Record mismatch</x:v>
      </x:c>
      <x:c r="D298" s="14" t="str">
        <x:v>Low</x:v>
      </x:c>
      <x:c r="E298" s="15" t="n">
        <x:v>46276.333333333336</x:v>
      </x:c>
      <x:c r="F298" s="15" t="n">
        <x:v>46290.333333333336</x:v>
      </x:c>
      <x:c r="G298" s="15" t="n">
        <x:v>46279.333333333336</x:v>
      </x:c>
      <x:c r="H298" s="14" t="n">
        <x:v>1</x:v>
      </x:c>
      <x:c r="I298" s="1" t="n">
        <x:f>IF(AND(E298&lt;Reporting!$B$4,OR(G298="",G298&gt;=Reporting!$B$4)),1,0)</x:f>
        <x:v>0</x:v>
      </x:c>
      <x:c r="J298" s="1" t="n">
        <x:f>IF(AND(I298=1,F298&lt;Reporting!$B$4),1,0)</x:f>
        <x:v>0</x:v>
      </x:c>
      <x:c r="K298" s="1" t="n">
        <x:f>IF(F298&lt;Reporting!$B$4,1,0)</x:f>
        <x:v>0</x:v>
      </x:c>
      <x:c r="L298" s="1" t="n">
        <x:f>IF(AND(K298=1,G298&lt;&gt;"",G298&lt;=F298),1,0)</x:f>
        <x:v>0</x:v>
      </x:c>
      <x:c r="M298" s="1" t="n">
        <x:f>IF(AND(G298&lt;&gt;"",G298&lt;Reporting!$B$4),1,0)</x:f>
        <x:v>1</x:v>
      </x:c>
      <x:c r="N298" s="16" t="n">
        <x:f>IF(M298=1,G298-E298,"")</x:f>
        <x:v>3</x:v>
      </x:c>
      <x:c r="O298" s="1" t="str">
        <x:f>IF(E298&gt;=Reporting!$B$4,"Outside cutoff",IF(M298=1,"Closed",IF(J298=1,"Overdue","Open - within SLA")))</x:f>
        <x:v>Closed</x:v>
      </x:c>
    </x:row>
    <x:row r="299">
      <x:c r="A299" s="14" t="str">
        <x:v>CASE-00294</x:v>
      </x:c>
      <x:c r="B299" s="14" t="str">
        <x:v>Installation</x:v>
      </x:c>
      <x:c r="C299" s="14" t="str">
        <x:v>Late review</x:v>
      </x:c>
      <x:c r="D299" s="14" t="str">
        <x:v>Low</x:v>
      </x:c>
      <x:c r="E299" s="15" t="n">
        <x:v>46244.541666666664</x:v>
      </x:c>
      <x:c r="F299" s="15" t="n">
        <x:v>46258.541666666664</x:v>
      </x:c>
      <x:c r="G299" s="15" t="n">
        <x:v>46255.583333333336</x:v>
      </x:c>
      <x:c r="H299" s="14" t="n">
        <x:v>3</x:v>
      </x:c>
      <x:c r="I299" s="1" t="n">
        <x:f>IF(AND(E299&lt;Reporting!$B$4,OR(G299="",G299&gt;=Reporting!$B$4)),1,0)</x:f>
        <x:v>0</x:v>
      </x:c>
      <x:c r="J299" s="1" t="n">
        <x:f>IF(AND(I299=1,F299&lt;Reporting!$B$4),1,0)</x:f>
        <x:v>0</x:v>
      </x:c>
      <x:c r="K299" s="1" t="n">
        <x:f>IF(F299&lt;Reporting!$B$4,1,0)</x:f>
        <x:v>1</x:v>
      </x:c>
      <x:c r="L299" s="1" t="n">
        <x:f>IF(AND(K299=1,G299&lt;&gt;"",G299&lt;=F299),1,0)</x:f>
        <x:v>1</x:v>
      </x:c>
      <x:c r="M299" s="1" t="n">
        <x:f>IF(AND(G299&lt;&gt;"",G299&lt;Reporting!$B$4),1,0)</x:f>
        <x:v>1</x:v>
      </x:c>
      <x:c r="N299" s="16" t="n">
        <x:f>IF(M299=1,G299-E299,"")</x:f>
        <x:v>11.041666666671517</x:v>
      </x:c>
      <x:c r="O299" s="1" t="str">
        <x:f>IF(E299&gt;=Reporting!$B$4,"Outside cutoff",IF(M299=1,"Closed",IF(J299=1,"Overdue","Open - within SLA")))</x:f>
        <x:v>Closed</x:v>
      </x:c>
    </x:row>
    <x:row r="300">
      <x:c r="A300" s="14" t="str">
        <x:v>CASE-00295</x:v>
      </x:c>
      <x:c r="B300" s="14" t="str">
        <x:v>Customer Services</x:v>
      </x:c>
      <x:c r="C300" s="14" t="str">
        <x:v>Process deviation</x:v>
      </x:c>
      <x:c r="D300" s="14" t="str">
        <x:v>Medium</x:v>
      </x:c>
      <x:c r="E300" s="15" t="n">
        <x:v>46263.5</x:v>
      </x:c>
      <x:c r="F300" s="15" t="n">
        <x:v>46270.5</x:v>
      </x:c>
      <x:c r="G300" s="15" t="n">
        <x:v>46266.583333333336</x:v>
      </x:c>
      <x:c r="H300" s="14" t="n">
        <x:v>1</x:v>
      </x:c>
      <x:c r="I300" s="1" t="n">
        <x:f>IF(AND(E300&lt;Reporting!$B$4,OR(G300="",G300&gt;=Reporting!$B$4)),1,0)</x:f>
        <x:v>0</x:v>
      </x:c>
      <x:c r="J300" s="1" t="n">
        <x:f>IF(AND(I300=1,F300&lt;Reporting!$B$4),1,0)</x:f>
        <x:v>0</x:v>
      </x:c>
      <x:c r="K300" s="1" t="n">
        <x:f>IF(F300&lt;Reporting!$B$4,1,0)</x:f>
        <x:v>1</x:v>
      </x:c>
      <x:c r="L300" s="1" t="n">
        <x:f>IF(AND(K300=1,G300&lt;&gt;"",G300&lt;=F300),1,0)</x:f>
        <x:v>1</x:v>
      </x:c>
      <x:c r="M300" s="1" t="n">
        <x:f>IF(AND(G300&lt;&gt;"",G300&lt;Reporting!$B$4),1,0)</x:f>
        <x:v>1</x:v>
      </x:c>
      <x:c r="N300" s="16" t="n">
        <x:f>IF(M300=1,G300-E300,"")</x:f>
        <x:v>3.0833333333357587</x:v>
      </x:c>
      <x:c r="O300" s="1" t="str">
        <x:f>IF(E300&gt;=Reporting!$B$4,"Outside cutoff",IF(M300=1,"Closed",IF(J300=1,"Overdue","Open - within SLA")))</x:f>
        <x:v>Closed</x:v>
      </x:c>
    </x:row>
    <x:row r="301">
      <x:c r="A301" s="14" t="str">
        <x:v>CASE-00296</x:v>
      </x:c>
      <x:c r="B301" s="14" t="str">
        <x:v>Customer Services</x:v>
      </x:c>
      <x:c r="C301" s="14" t="str">
        <x:v>Process deviation</x:v>
      </x:c>
      <x:c r="D301" s="14" t="str">
        <x:v>Medium</x:v>
      </x:c>
      <x:c r="E301" s="15" t="n">
        <x:v>46247.458333333336</x:v>
      </x:c>
      <x:c r="F301" s="15" t="n">
        <x:v>46254.458333333336</x:v>
      </x:c>
      <x:c r="G301" s="15" t="n">
        <x:v>46260.541666666664</x:v>
      </x:c>
      <x:c r="H301" s="14" t="n">
        <x:v>1</x:v>
      </x:c>
      <x:c r="I301" s="1" t="n">
        <x:f>IF(AND(E301&lt;Reporting!$B$4,OR(G301="",G301&gt;=Reporting!$B$4)),1,0)</x:f>
        <x:v>0</x:v>
      </x:c>
      <x:c r="J301" s="1" t="n">
        <x:f>IF(AND(I301=1,F301&lt;Reporting!$B$4),1,0)</x:f>
        <x:v>0</x:v>
      </x:c>
      <x:c r="K301" s="1" t="n">
        <x:f>IF(F301&lt;Reporting!$B$4,1,0)</x:f>
        <x:v>1</x:v>
      </x:c>
      <x:c r="L301" s="1" t="n">
        <x:f>IF(AND(K301=1,G301&lt;&gt;"",G301&lt;=F301),1,0)</x:f>
        <x:v>0</x:v>
      </x:c>
      <x:c r="M301" s="1" t="n">
        <x:f>IF(AND(G301&lt;&gt;"",G301&lt;Reporting!$B$4),1,0)</x:f>
        <x:v>1</x:v>
      </x:c>
      <x:c r="N301" s="16" t="n">
        <x:f>IF(M301=1,G301-E301,"")</x:f>
        <x:v>13.083333333328483</x:v>
      </x:c>
      <x:c r="O301" s="1" t="str">
        <x:f>IF(E301&gt;=Reporting!$B$4,"Outside cutoff",IF(M301=1,"Closed",IF(J301=1,"Overdue","Open - within SLA")))</x:f>
        <x:v>Closed</x:v>
      </x:c>
    </x:row>
    <x:row r="302">
      <x:c r="A302" s="14" t="str">
        <x:v>CASE-00297</x:v>
      </x:c>
      <x:c r="B302" s="14" t="str">
        <x:v>Customer Services</x:v>
      </x:c>
      <x:c r="C302" s="14" t="str">
        <x:v>Late review</x:v>
      </x:c>
      <x:c r="D302" s="14" t="str">
        <x:v>High</x:v>
      </x:c>
      <x:c r="E302" s="15" t="n">
        <x:v>46233.583333333336</x:v>
      </x:c>
      <x:c r="F302" s="15" t="n">
        <x:v>46236.583333333336</x:v>
      </x:c>
      <x:c r="G302" s="15"/>
      <x:c r="H302" s="14" t="n">
        <x:v>1</x:v>
      </x:c>
      <x:c r="I302" s="1" t="n">
        <x:f>IF(AND(E302&lt;Reporting!$B$4,OR(G302="",G302&gt;=Reporting!$B$4)),1,0)</x:f>
        <x:v>1</x:v>
      </x:c>
      <x:c r="J302" s="1" t="n">
        <x:f>IF(AND(I302=1,F302&lt;Reporting!$B$4),1,0)</x:f>
        <x:v>1</x:v>
      </x:c>
      <x:c r="K302" s="1" t="n">
        <x:f>IF(F302&lt;Reporting!$B$4,1,0)</x:f>
        <x:v>1</x:v>
      </x:c>
      <x:c r="L302" s="1" t="n">
        <x:f>IF(AND(K302=1,G302&lt;&gt;"",G302&lt;=F302),1,0)</x:f>
        <x:v>0</x:v>
      </x:c>
      <x:c r="M302" s="1" t="n">
        <x:f>IF(AND(G302&lt;&gt;"",G302&lt;Reporting!$B$4),1,0)</x:f>
        <x:v>0</x:v>
      </x:c>
      <x:c r="N302" s="16" t="str">
        <x:f>IF(M302=1,G302-E302,"")</x:f>
      </x:c>
      <x:c r="O302" s="1" t="str">
        <x:f>IF(E302&gt;=Reporting!$B$4,"Outside cutoff",IF(M302=1,"Closed",IF(J302=1,"Overdue","Open - within SLA")))</x:f>
        <x:v>Overdue</x:v>
      </x:c>
    </x:row>
    <x:row r="303">
      <x:c r="A303" s="14" t="str">
        <x:v>CASE-00298</x:v>
      </x:c>
      <x:c r="B303" s="14" t="str">
        <x:v>Customer Services</x:v>
      </x:c>
      <x:c r="C303" s="14" t="str">
        <x:v>Record mismatch</x:v>
      </x:c>
      <x:c r="D303" s="14" t="str">
        <x:v>Medium</x:v>
      </x:c>
      <x:c r="E303" s="15" t="n">
        <x:v>46226.666666666664</x:v>
      </x:c>
      <x:c r="F303" s="15" t="n">
        <x:v>46233.666666666664</x:v>
      </x:c>
      <x:c r="G303" s="15" t="n">
        <x:v>46236.666666666664</x:v>
      </x:c>
      <x:c r="H303" s="14" t="n">
        <x:v>1</x:v>
      </x:c>
      <x:c r="I303" s="1" t="n">
        <x:f>IF(AND(E303&lt;Reporting!$B$4,OR(G303="",G303&gt;=Reporting!$B$4)),1,0)</x:f>
        <x:v>0</x:v>
      </x:c>
      <x:c r="J303" s="1" t="n">
        <x:f>IF(AND(I303=1,F303&lt;Reporting!$B$4),1,0)</x:f>
        <x:v>0</x:v>
      </x:c>
      <x:c r="K303" s="1" t="n">
        <x:f>IF(F303&lt;Reporting!$B$4,1,0)</x:f>
        <x:v>1</x:v>
      </x:c>
      <x:c r="L303" s="1" t="n">
        <x:f>IF(AND(K303=1,G303&lt;&gt;"",G303&lt;=F303),1,0)</x:f>
        <x:v>0</x:v>
      </x:c>
      <x:c r="M303" s="1" t="n">
        <x:f>IF(AND(G303&lt;&gt;"",G303&lt;Reporting!$B$4),1,0)</x:f>
        <x:v>1</x:v>
      </x:c>
      <x:c r="N303" s="16" t="n">
        <x:f>IF(M303=1,G303-E303,"")</x:f>
        <x:v>10</x:v>
      </x:c>
      <x:c r="O303" s="1" t="str">
        <x:f>IF(E303&gt;=Reporting!$B$4,"Outside cutoff",IF(M303=1,"Closed",IF(J303=1,"Overdue","Open - within SLA")))</x:f>
        <x:v>Closed</x:v>
      </x:c>
    </x:row>
    <x:row r="304">
      <x:c r="A304" s="14" t="str">
        <x:v>CASE-00299</x:v>
      </x:c>
      <x:c r="B304" s="14" t="str">
        <x:v>Warehouse</x:v>
      </x:c>
      <x:c r="C304" s="14" t="str">
        <x:v>Missing evidence</x:v>
      </x:c>
      <x:c r="D304" s="14" t="str">
        <x:v>High</x:v>
      </x:c>
      <x:c r="E304" s="15" t="n">
        <x:v>46202.541666666664</x:v>
      </x:c>
      <x:c r="F304" s="15" t="n">
        <x:v>46205.541666666664</x:v>
      </x:c>
      <x:c r="G304" s="15" t="n">
        <x:v>46205.541666666664</x:v>
      </x:c>
      <x:c r="H304" s="14" t="n">
        <x:v>2</x:v>
      </x:c>
      <x:c r="I304" s="1" t="n">
        <x:f>IF(AND(E304&lt;Reporting!$B$4,OR(G304="",G304&gt;=Reporting!$B$4)),1,0)</x:f>
        <x:v>0</x:v>
      </x:c>
      <x:c r="J304" s="1" t="n">
        <x:f>IF(AND(I304=1,F304&lt;Reporting!$B$4),1,0)</x:f>
        <x:v>0</x:v>
      </x:c>
      <x:c r="K304" s="1" t="n">
        <x:f>IF(F304&lt;Reporting!$B$4,1,0)</x:f>
        <x:v>1</x:v>
      </x:c>
      <x:c r="L304" s="1" t="n">
        <x:f>IF(AND(K304=1,G304&lt;&gt;"",G304&lt;=F304),1,0)</x:f>
        <x:v>1</x:v>
      </x:c>
      <x:c r="M304" s="1" t="n">
        <x:f>IF(AND(G304&lt;&gt;"",G304&lt;Reporting!$B$4),1,0)</x:f>
        <x:v>1</x:v>
      </x:c>
      <x:c r="N304" s="16" t="n">
        <x:f>IF(M304=1,G304-E304,"")</x:f>
        <x:v>3</x:v>
      </x:c>
      <x:c r="O304" s="1" t="str">
        <x:f>IF(E304&gt;=Reporting!$B$4,"Outside cutoff",IF(M304=1,"Closed",IF(J304=1,"Overdue","Open - within SLA")))</x:f>
        <x:v>Closed</x:v>
      </x:c>
    </x:row>
    <x:row r="305">
      <x:c r="A305" s="14" t="str">
        <x:v>CASE-00300</x:v>
      </x:c>
      <x:c r="B305" s="14" t="str">
        <x:v>Installation</x:v>
      </x:c>
      <x:c r="C305" s="14" t="str">
        <x:v>Late review</x:v>
      </x:c>
      <x:c r="D305" s="14" t="str">
        <x:v>High</x:v>
      </x:c>
      <x:c r="E305" s="15" t="n">
        <x:v>46236.333333333336</x:v>
      </x:c>
      <x:c r="F305" s="15" t="n">
        <x:v>46239.333333333336</x:v>
      </x:c>
      <x:c r="G305" s="15"/>
      <x:c r="H305" s="14" t="n">
        <x:v>3</x:v>
      </x:c>
      <x:c r="I305" s="1" t="n">
        <x:f>IF(AND(E305&lt;Reporting!$B$4,OR(G305="",G305&gt;=Reporting!$B$4)),1,0)</x:f>
        <x:v>1</x:v>
      </x:c>
      <x:c r="J305" s="1" t="n">
        <x:f>IF(AND(I305=1,F305&lt;Reporting!$B$4),1,0)</x:f>
        <x:v>1</x:v>
      </x:c>
      <x:c r="K305" s="1" t="n">
        <x:f>IF(F305&lt;Reporting!$B$4,1,0)</x:f>
        <x:v>1</x:v>
      </x:c>
      <x:c r="L305" s="1" t="n">
        <x:f>IF(AND(K305=1,G305&lt;&gt;"",G305&lt;=F305),1,0)</x:f>
        <x:v>0</x:v>
      </x:c>
      <x:c r="M305" s="1" t="n">
        <x:f>IF(AND(G305&lt;&gt;"",G305&lt;Reporting!$B$4),1,0)</x:f>
        <x:v>0</x:v>
      </x:c>
      <x:c r="N305" s="16" t="str">
        <x:f>IF(M305=1,G305-E305,"")</x:f>
      </x:c>
      <x:c r="O305" s="1" t="str">
        <x:f>IF(E305&gt;=Reporting!$B$4,"Outside cutoff",IF(M305=1,"Closed",IF(J305=1,"Overdue","Open - within SLA")))</x:f>
        <x:v>Overdue</x:v>
      </x:c>
    </x:row>
    <x:row r="306">
      <x:c r="A306" s="14" t="str">
        <x:v>CASE-00301</x:v>
      </x:c>
      <x:c r="B306" s="14" t="str">
        <x:v>Customer Services</x:v>
      </x:c>
      <x:c r="C306" s="14" t="str">
        <x:v>Missing evidence</x:v>
      </x:c>
      <x:c r="D306" s="14" t="str">
        <x:v>Low</x:v>
      </x:c>
      <x:c r="E306" s="15" t="n">
        <x:v>46254.333333333336</x:v>
      </x:c>
      <x:c r="F306" s="15" t="n">
        <x:v>46268.333333333336</x:v>
      </x:c>
      <x:c r="G306" s="15" t="n">
        <x:v>46272.416666666664</x:v>
      </x:c>
      <x:c r="H306" s="14" t="n">
        <x:v>1</x:v>
      </x:c>
      <x:c r="I306" s="1" t="n">
        <x:f>IF(AND(E306&lt;Reporting!$B$4,OR(G306="",G306&gt;=Reporting!$B$4)),1,0)</x:f>
        <x:v>0</x:v>
      </x:c>
      <x:c r="J306" s="1" t="n">
        <x:f>IF(AND(I306=1,F306&lt;Reporting!$B$4),1,0)</x:f>
        <x:v>0</x:v>
      </x:c>
      <x:c r="K306" s="1" t="n">
        <x:f>IF(F306&lt;Reporting!$B$4,1,0)</x:f>
        <x:v>1</x:v>
      </x:c>
      <x:c r="L306" s="1" t="n">
        <x:f>IF(AND(K306=1,G306&lt;&gt;"",G306&lt;=F306),1,0)</x:f>
        <x:v>0</x:v>
      </x:c>
      <x:c r="M306" s="1" t="n">
        <x:f>IF(AND(G306&lt;&gt;"",G306&lt;Reporting!$B$4),1,0)</x:f>
        <x:v>1</x:v>
      </x:c>
      <x:c r="N306" s="16" t="n">
        <x:f>IF(M306=1,G306-E306,"")</x:f>
        <x:v>18.083333333328483</x:v>
      </x:c>
      <x:c r="O306" s="1" t="str">
        <x:f>IF(E306&gt;=Reporting!$B$4,"Outside cutoff",IF(M306=1,"Closed",IF(J306=1,"Overdue","Open - within SLA")))</x:f>
        <x:v>Closed</x:v>
      </x:c>
    </x:row>
    <x:row r="307">
      <x:c r="A307" s="14" t="str">
        <x:v>CASE-00302</x:v>
      </x:c>
      <x:c r="B307" s="14" t="str">
        <x:v>Customer Services</x:v>
      </x:c>
      <x:c r="C307" s="14" t="str">
        <x:v>Record mismatch</x:v>
      </x:c>
      <x:c r="D307" s="14" t="str">
        <x:v>High</x:v>
      </x:c>
      <x:c r="E307" s="15" t="n">
        <x:v>46261.5</x:v>
      </x:c>
      <x:c r="F307" s="15" t="n">
        <x:v>46264.5</x:v>
      </x:c>
      <x:c r="G307" s="15" t="n">
        <x:v>46264.5</x:v>
      </x:c>
      <x:c r="H307" s="14" t="n">
        <x:v>1</x:v>
      </x:c>
      <x:c r="I307" s="1" t="n">
        <x:f>IF(AND(E307&lt;Reporting!$B$4,OR(G307="",G307&gt;=Reporting!$B$4)),1,0)</x:f>
        <x:v>0</x:v>
      </x:c>
      <x:c r="J307" s="1" t="n">
        <x:f>IF(AND(I307=1,F307&lt;Reporting!$B$4),1,0)</x:f>
        <x:v>0</x:v>
      </x:c>
      <x:c r="K307" s="1" t="n">
        <x:f>IF(F307&lt;Reporting!$B$4,1,0)</x:f>
        <x:v>1</x:v>
      </x:c>
      <x:c r="L307" s="1" t="n">
        <x:f>IF(AND(K307=1,G307&lt;&gt;"",G307&lt;=F307),1,0)</x:f>
        <x:v>1</x:v>
      </x:c>
      <x:c r="M307" s="1" t="n">
        <x:f>IF(AND(G307&lt;&gt;"",G307&lt;Reporting!$B$4),1,0)</x:f>
        <x:v>1</x:v>
      </x:c>
      <x:c r="N307" s="16" t="n">
        <x:f>IF(M307=1,G307-E307,"")</x:f>
        <x:v>3</x:v>
      </x:c>
      <x:c r="O307" s="1" t="str">
        <x:f>IF(E307&gt;=Reporting!$B$4,"Outside cutoff",IF(M307=1,"Closed",IF(J307=1,"Overdue","Open - within SLA")))</x:f>
        <x:v>Closed</x:v>
      </x:c>
    </x:row>
    <x:row r="308">
      <x:c r="A308" s="14" t="str">
        <x:v>CASE-00303</x:v>
      </x:c>
      <x:c r="B308" s="14" t="str">
        <x:v>Warehouse</x:v>
      </x:c>
      <x:c r="C308" s="14" t="str">
        <x:v>Late review</x:v>
      </x:c>
      <x:c r="D308" s="14" t="str">
        <x:v>Low</x:v>
      </x:c>
      <x:c r="E308" s="15" t="n">
        <x:v>46225.5</x:v>
      </x:c>
      <x:c r="F308" s="15" t="n">
        <x:v>46239.5</x:v>
      </x:c>
      <x:c r="G308" s="15" t="n">
        <x:v>46231.541666666664</x:v>
      </x:c>
      <x:c r="H308" s="14" t="n">
        <x:v>2</x:v>
      </x:c>
      <x:c r="I308" s="1" t="n">
        <x:f>IF(AND(E308&lt;Reporting!$B$4,OR(G308="",G308&gt;=Reporting!$B$4)),1,0)</x:f>
        <x:v>0</x:v>
      </x:c>
      <x:c r="J308" s="1" t="n">
        <x:f>IF(AND(I308=1,F308&lt;Reporting!$B$4),1,0)</x:f>
        <x:v>0</x:v>
      </x:c>
      <x:c r="K308" s="1" t="n">
        <x:f>IF(F308&lt;Reporting!$B$4,1,0)</x:f>
        <x:v>1</x:v>
      </x:c>
      <x:c r="L308" s="1" t="n">
        <x:f>IF(AND(K308=1,G308&lt;&gt;"",G308&lt;=F308),1,0)</x:f>
        <x:v>1</x:v>
      </x:c>
      <x:c r="M308" s="1" t="n">
        <x:f>IF(AND(G308&lt;&gt;"",G308&lt;Reporting!$B$4),1,0)</x:f>
        <x:v>1</x:v>
      </x:c>
      <x:c r="N308" s="16" t="n">
        <x:f>IF(M308=1,G308-E308,"")</x:f>
        <x:v>6.041666666664241</x:v>
      </x:c>
      <x:c r="O308" s="1" t="str">
        <x:f>IF(E308&gt;=Reporting!$B$4,"Outside cutoff",IF(M308=1,"Closed",IF(J308=1,"Overdue","Open - within SLA")))</x:f>
        <x:v>Closed</x:v>
      </x:c>
    </x:row>
    <x:row r="309">
      <x:c r="A309" s="14" t="str">
        <x:v>CASE-00304</x:v>
      </x:c>
      <x:c r="B309" s="14" t="str">
        <x:v>Installation</x:v>
      </x:c>
      <x:c r="C309" s="14" t="str">
        <x:v>Process deviation</x:v>
      </x:c>
      <x:c r="D309" s="14" t="str">
        <x:v>Medium</x:v>
      </x:c>
      <x:c r="E309" s="15" t="n">
        <x:v>46263.541666666664</x:v>
      </x:c>
      <x:c r="F309" s="15" t="n">
        <x:v>46270.541666666664</x:v>
      </x:c>
      <x:c r="G309" s="15" t="n">
        <x:v>46267.541666666664</x:v>
      </x:c>
      <x:c r="H309" s="14" t="n">
        <x:v>3</x:v>
      </x:c>
      <x:c r="I309" s="1" t="n">
        <x:f>IF(AND(E309&lt;Reporting!$B$4,OR(G309="",G309&gt;=Reporting!$B$4)),1,0)</x:f>
        <x:v>0</x:v>
      </x:c>
      <x:c r="J309" s="1" t="n">
        <x:f>IF(AND(I309=1,F309&lt;Reporting!$B$4),1,0)</x:f>
        <x:v>0</x:v>
      </x:c>
      <x:c r="K309" s="1" t="n">
        <x:f>IF(F309&lt;Reporting!$B$4,1,0)</x:f>
        <x:v>1</x:v>
      </x:c>
      <x:c r="L309" s="1" t="n">
        <x:f>IF(AND(K309=1,G309&lt;&gt;"",G309&lt;=F309),1,0)</x:f>
        <x:v>1</x:v>
      </x:c>
      <x:c r="M309" s="1" t="n">
        <x:f>IF(AND(G309&lt;&gt;"",G309&lt;Reporting!$B$4),1,0)</x:f>
        <x:v>1</x:v>
      </x:c>
      <x:c r="N309" s="16" t="n">
        <x:f>IF(M309=1,G309-E309,"")</x:f>
        <x:v>4</x:v>
      </x:c>
      <x:c r="O309" s="1" t="str">
        <x:f>IF(E309&gt;=Reporting!$B$4,"Outside cutoff",IF(M309=1,"Closed",IF(J309=1,"Overdue","Open - within SLA")))</x:f>
        <x:v>Closed</x:v>
      </x:c>
    </x:row>
    <x:row r="310">
      <x:c r="A310" s="14" t="str">
        <x:v>CASE-00305</x:v>
      </x:c>
      <x:c r="B310" s="14" t="str">
        <x:v>Installation</x:v>
      </x:c>
      <x:c r="C310" s="14" t="str">
        <x:v>Late review</x:v>
      </x:c>
      <x:c r="D310" s="14" t="str">
        <x:v>Medium</x:v>
      </x:c>
      <x:c r="E310" s="15" t="n">
        <x:v>46233.458333333336</x:v>
      </x:c>
      <x:c r="F310" s="15" t="n">
        <x:v>46240.458333333336</x:v>
      </x:c>
      <x:c r="G310" s="15" t="n">
        <x:v>46244.5</x:v>
      </x:c>
      <x:c r="H310" s="14" t="n">
        <x:v>3</x:v>
      </x:c>
      <x:c r="I310" s="1" t="n">
        <x:f>IF(AND(E310&lt;Reporting!$B$4,OR(G310="",G310&gt;=Reporting!$B$4)),1,0)</x:f>
        <x:v>0</x:v>
      </x:c>
      <x:c r="J310" s="1" t="n">
        <x:f>IF(AND(I310=1,F310&lt;Reporting!$B$4),1,0)</x:f>
        <x:v>0</x:v>
      </x:c>
      <x:c r="K310" s="1" t="n">
        <x:f>IF(F310&lt;Reporting!$B$4,1,0)</x:f>
        <x:v>1</x:v>
      </x:c>
      <x:c r="L310" s="1" t="n">
        <x:f>IF(AND(K310=1,G310&lt;&gt;"",G310&lt;=F310),1,0)</x:f>
        <x:v>0</x:v>
      </x:c>
      <x:c r="M310" s="1" t="n">
        <x:f>IF(AND(G310&lt;&gt;"",G310&lt;Reporting!$B$4),1,0)</x:f>
        <x:v>1</x:v>
      </x:c>
      <x:c r="N310" s="16" t="n">
        <x:f>IF(M310=1,G310-E310,"")</x:f>
        <x:v>11.041666666664241</x:v>
      </x:c>
      <x:c r="O310" s="1" t="str">
        <x:f>IF(E310&gt;=Reporting!$B$4,"Outside cutoff",IF(M310=1,"Closed",IF(J310=1,"Overdue","Open - within SLA")))</x:f>
        <x:v>Closed</x:v>
      </x:c>
    </x:row>
    <x:row r="311">
      <x:c r="A311" s="14" t="str">
        <x:v>CASE-00306</x:v>
      </x:c>
      <x:c r="B311" s="14" t="str">
        <x:v>Customer Services</x:v>
      </x:c>
      <x:c r="C311" s="14" t="str">
        <x:v>Record mismatch</x:v>
      </x:c>
      <x:c r="D311" s="14" t="str">
        <x:v>Low</x:v>
      </x:c>
      <x:c r="E311" s="15" t="n">
        <x:v>46220.583333333336</x:v>
      </x:c>
      <x:c r="F311" s="15" t="n">
        <x:v>46234.583333333336</x:v>
      </x:c>
      <x:c r="G311" s="15" t="n">
        <x:v>46237.625</x:v>
      </x:c>
      <x:c r="H311" s="14" t="n">
        <x:v>1</x:v>
      </x:c>
      <x:c r="I311" s="1" t="n">
        <x:f>IF(AND(E311&lt;Reporting!$B$4,OR(G311="",G311&gt;=Reporting!$B$4)),1,0)</x:f>
        <x:v>0</x:v>
      </x:c>
      <x:c r="J311" s="1" t="n">
        <x:f>IF(AND(I311=1,F311&lt;Reporting!$B$4),1,0)</x:f>
        <x:v>0</x:v>
      </x:c>
      <x:c r="K311" s="1" t="n">
        <x:f>IF(F311&lt;Reporting!$B$4,1,0)</x:f>
        <x:v>1</x:v>
      </x:c>
      <x:c r="L311" s="1" t="n">
        <x:f>IF(AND(K311=1,G311&lt;&gt;"",G311&lt;=F311),1,0)</x:f>
        <x:v>0</x:v>
      </x:c>
      <x:c r="M311" s="1" t="n">
        <x:f>IF(AND(G311&lt;&gt;"",G311&lt;Reporting!$B$4),1,0)</x:f>
        <x:v>1</x:v>
      </x:c>
      <x:c r="N311" s="16" t="n">
        <x:f>IF(M311=1,G311-E311,"")</x:f>
        <x:v>17.04166666666424</x:v>
      </x:c>
      <x:c r="O311" s="1" t="str">
        <x:f>IF(E311&gt;=Reporting!$B$4,"Outside cutoff",IF(M311=1,"Closed",IF(J311=1,"Overdue","Open - within SLA")))</x:f>
        <x:v>Closed</x:v>
      </x:c>
    </x:row>
    <x:row r="312">
      <x:c r="A312" s="14" t="str">
        <x:v>CASE-00307</x:v>
      </x:c>
      <x:c r="B312" s="14" t="str">
        <x:v>Warehouse</x:v>
      </x:c>
      <x:c r="C312" s="14" t="str">
        <x:v>Record mismatch</x:v>
      </x:c>
      <x:c r="D312" s="14" t="str">
        <x:v>Medium</x:v>
      </x:c>
      <x:c r="E312" s="15" t="n">
        <x:v>46245.333333333336</x:v>
      </x:c>
      <x:c r="F312" s="15" t="n">
        <x:v>46252.333333333336</x:v>
      </x:c>
      <x:c r="G312" s="15" t="n">
        <x:v>46259.375</x:v>
      </x:c>
      <x:c r="H312" s="14" t="n">
        <x:v>2</x:v>
      </x:c>
      <x:c r="I312" s="1" t="n">
        <x:f>IF(AND(E312&lt;Reporting!$B$4,OR(G312="",G312&gt;=Reporting!$B$4)),1,0)</x:f>
        <x:v>0</x:v>
      </x:c>
      <x:c r="J312" s="1" t="n">
        <x:f>IF(AND(I312=1,F312&lt;Reporting!$B$4),1,0)</x:f>
        <x:v>0</x:v>
      </x:c>
      <x:c r="K312" s="1" t="n">
        <x:f>IF(F312&lt;Reporting!$B$4,1,0)</x:f>
        <x:v>1</x:v>
      </x:c>
      <x:c r="L312" s="1" t="n">
        <x:f>IF(AND(K312=1,G312&lt;&gt;"",G312&lt;=F312),1,0)</x:f>
        <x:v>0</x:v>
      </x:c>
      <x:c r="M312" s="1" t="n">
        <x:f>IF(AND(G312&lt;&gt;"",G312&lt;Reporting!$B$4),1,0)</x:f>
        <x:v>1</x:v>
      </x:c>
      <x:c r="N312" s="16" t="n">
        <x:f>IF(M312=1,G312-E312,"")</x:f>
        <x:v>14.041666666664241</x:v>
      </x:c>
      <x:c r="O312" s="1" t="str">
        <x:f>IF(E312&gt;=Reporting!$B$4,"Outside cutoff",IF(M312=1,"Closed",IF(J312=1,"Overdue","Open - within SLA")))</x:f>
        <x:v>Closed</x:v>
      </x:c>
    </x:row>
    <x:row r="313">
      <x:c r="A313" s="14" t="str">
        <x:v>CASE-00308</x:v>
      </x:c>
      <x:c r="B313" s="14" t="str">
        <x:v>Warehouse</x:v>
      </x:c>
      <x:c r="C313" s="14" t="str">
        <x:v>Missing evidence</x:v>
      </x:c>
      <x:c r="D313" s="14" t="str">
        <x:v>Low</x:v>
      </x:c>
      <x:c r="E313" s="15" t="n">
        <x:v>46242.458333333336</x:v>
      </x:c>
      <x:c r="F313" s="15" t="n">
        <x:v>46256.458333333336</x:v>
      </x:c>
      <x:c r="G313" s="15" t="n">
        <x:v>46245.458333333336</x:v>
      </x:c>
      <x:c r="H313" s="14" t="n">
        <x:v>2</x:v>
      </x:c>
      <x:c r="I313" s="1" t="n">
        <x:f>IF(AND(E313&lt;Reporting!$B$4,OR(G313="",G313&gt;=Reporting!$B$4)),1,0)</x:f>
        <x:v>0</x:v>
      </x:c>
      <x:c r="J313" s="1" t="n">
        <x:f>IF(AND(I313=1,F313&lt;Reporting!$B$4),1,0)</x:f>
        <x:v>0</x:v>
      </x:c>
      <x:c r="K313" s="1" t="n">
        <x:f>IF(F313&lt;Reporting!$B$4,1,0)</x:f>
        <x:v>1</x:v>
      </x:c>
      <x:c r="L313" s="1" t="n">
        <x:f>IF(AND(K313=1,G313&lt;&gt;"",G313&lt;=F313),1,0)</x:f>
        <x:v>1</x:v>
      </x:c>
      <x:c r="M313" s="1" t="n">
        <x:f>IF(AND(G313&lt;&gt;"",G313&lt;Reporting!$B$4),1,0)</x:f>
        <x:v>1</x:v>
      </x:c>
      <x:c r="N313" s="16" t="n">
        <x:f>IF(M313=1,G313-E313,"")</x:f>
        <x:v>3</x:v>
      </x:c>
      <x:c r="O313" s="1" t="str">
        <x:f>IF(E313&gt;=Reporting!$B$4,"Outside cutoff",IF(M313=1,"Closed",IF(J313=1,"Overdue","Open - within SLA")))</x:f>
        <x:v>Closed</x:v>
      </x:c>
    </x:row>
    <x:row r="314">
      <x:c r="A314" s="14" t="str">
        <x:v>CASE-00309</x:v>
      </x:c>
      <x:c r="B314" s="14" t="str">
        <x:v>Customer Services</x:v>
      </x:c>
      <x:c r="C314" s="14" t="str">
        <x:v>Process deviation</x:v>
      </x:c>
      <x:c r="D314" s="14" t="str">
        <x:v>Medium</x:v>
      </x:c>
      <x:c r="E314" s="15" t="n">
        <x:v>46248.416666666664</x:v>
      </x:c>
      <x:c r="F314" s="15" t="n">
        <x:v>46255.416666666664</x:v>
      </x:c>
      <x:c r="G314" s="15" t="n">
        <x:v>46258.416666666664</x:v>
      </x:c>
      <x:c r="H314" s="14" t="n">
        <x:v>1</x:v>
      </x:c>
      <x:c r="I314" s="1" t="n">
        <x:f>IF(AND(E314&lt;Reporting!$B$4,OR(G314="",G314&gt;=Reporting!$B$4)),1,0)</x:f>
        <x:v>0</x:v>
      </x:c>
      <x:c r="J314" s="1" t="n">
        <x:f>IF(AND(I314=1,F314&lt;Reporting!$B$4),1,0)</x:f>
        <x:v>0</x:v>
      </x:c>
      <x:c r="K314" s="1" t="n">
        <x:f>IF(F314&lt;Reporting!$B$4,1,0)</x:f>
        <x:v>1</x:v>
      </x:c>
      <x:c r="L314" s="1" t="n">
        <x:f>IF(AND(K314=1,G314&lt;&gt;"",G314&lt;=F314),1,0)</x:f>
        <x:v>0</x:v>
      </x:c>
      <x:c r="M314" s="1" t="n">
        <x:f>IF(AND(G314&lt;&gt;"",G314&lt;Reporting!$B$4),1,0)</x:f>
        <x:v>1</x:v>
      </x:c>
      <x:c r="N314" s="16" t="n">
        <x:f>IF(M314=1,G314-E314,"")</x:f>
        <x:v>10</x:v>
      </x:c>
      <x:c r="O314" s="1" t="str">
        <x:f>IF(E314&gt;=Reporting!$B$4,"Outside cutoff",IF(M314=1,"Closed",IF(J314=1,"Overdue","Open - within SLA")))</x:f>
        <x:v>Closed</x:v>
      </x:c>
    </x:row>
    <x:row r="315">
      <x:c r="A315" s="14" t="str">
        <x:v>CASE-00310</x:v>
      </x:c>
      <x:c r="B315" s="14" t="str">
        <x:v>Customer Services</x:v>
      </x:c>
      <x:c r="C315" s="14" t="str">
        <x:v>Process deviation</x:v>
      </x:c>
      <x:c r="D315" s="14" t="str">
        <x:v>Medium</x:v>
      </x:c>
      <x:c r="E315" s="15" t="n">
        <x:v>46254.416666666664</x:v>
      </x:c>
      <x:c r="F315" s="15" t="n">
        <x:v>46261.416666666664</x:v>
      </x:c>
      <x:c r="G315" s="15" t="n">
        <x:v>46265.416666666664</x:v>
      </x:c>
      <x:c r="H315" s="14" t="n">
        <x:v>1</x:v>
      </x:c>
      <x:c r="I315" s="1" t="n">
        <x:f>IF(AND(E315&lt;Reporting!$B$4,OR(G315="",G315&gt;=Reporting!$B$4)),1,0)</x:f>
        <x:v>0</x:v>
      </x:c>
      <x:c r="J315" s="1" t="n">
        <x:f>IF(AND(I315=1,F315&lt;Reporting!$B$4),1,0)</x:f>
        <x:v>0</x:v>
      </x:c>
      <x:c r="K315" s="1" t="n">
        <x:f>IF(F315&lt;Reporting!$B$4,1,0)</x:f>
        <x:v>1</x:v>
      </x:c>
      <x:c r="L315" s="1" t="n">
        <x:f>IF(AND(K315=1,G315&lt;&gt;"",G315&lt;=F315),1,0)</x:f>
        <x:v>0</x:v>
      </x:c>
      <x:c r="M315" s="1" t="n">
        <x:f>IF(AND(G315&lt;&gt;"",G315&lt;Reporting!$B$4),1,0)</x:f>
        <x:v>1</x:v>
      </x:c>
      <x:c r="N315" s="16" t="n">
        <x:f>IF(M315=1,G315-E315,"")</x:f>
        <x:v>11</x:v>
      </x:c>
      <x:c r="O315" s="1" t="str">
        <x:f>IF(E315&gt;=Reporting!$B$4,"Outside cutoff",IF(M315=1,"Closed",IF(J315=1,"Overdue","Open - within SLA")))</x:f>
        <x:v>Closed</x:v>
      </x:c>
    </x:row>
    <x:row r="316">
      <x:c r="A316" s="14" t="str">
        <x:v>CASE-00311</x:v>
      </x:c>
      <x:c r="B316" s="14" t="str">
        <x:v>Customer Services</x:v>
      </x:c>
      <x:c r="C316" s="14" t="str">
        <x:v>Process deviation</x:v>
      </x:c>
      <x:c r="D316" s="14" t="str">
        <x:v>Low</x:v>
      </x:c>
      <x:c r="E316" s="15" t="n">
        <x:v>46223.333333333336</x:v>
      </x:c>
      <x:c r="F316" s="15" t="n">
        <x:v>46237.333333333336</x:v>
      </x:c>
      <x:c r="G316" s="15" t="n">
        <x:v>46241.333333333336</x:v>
      </x:c>
      <x:c r="H316" s="14" t="n">
        <x:v>1</x:v>
      </x:c>
      <x:c r="I316" s="1" t="n">
        <x:f>IF(AND(E316&lt;Reporting!$B$4,OR(G316="",G316&gt;=Reporting!$B$4)),1,0)</x:f>
        <x:v>0</x:v>
      </x:c>
      <x:c r="J316" s="1" t="n">
        <x:f>IF(AND(I316=1,F316&lt;Reporting!$B$4),1,0)</x:f>
        <x:v>0</x:v>
      </x:c>
      <x:c r="K316" s="1" t="n">
        <x:f>IF(F316&lt;Reporting!$B$4,1,0)</x:f>
        <x:v>1</x:v>
      </x:c>
      <x:c r="L316" s="1" t="n">
        <x:f>IF(AND(K316=1,G316&lt;&gt;"",G316&lt;=F316),1,0)</x:f>
        <x:v>0</x:v>
      </x:c>
      <x:c r="M316" s="1" t="n">
        <x:f>IF(AND(G316&lt;&gt;"",G316&lt;Reporting!$B$4),1,0)</x:f>
        <x:v>1</x:v>
      </x:c>
      <x:c r="N316" s="16" t="n">
        <x:f>IF(M316=1,G316-E316,"")</x:f>
        <x:v>18</x:v>
      </x:c>
      <x:c r="O316" s="1" t="str">
        <x:f>IF(E316&gt;=Reporting!$B$4,"Outside cutoff",IF(M316=1,"Closed",IF(J316=1,"Overdue","Open - within SLA")))</x:f>
        <x:v>Closed</x:v>
      </x:c>
    </x:row>
    <x:row r="317">
      <x:c r="A317" s="14" t="str">
        <x:v>CASE-00312</x:v>
      </x:c>
      <x:c r="B317" s="14" t="str">
        <x:v>Installation</x:v>
      </x:c>
      <x:c r="C317" s="14" t="str">
        <x:v>Record mismatch</x:v>
      </x:c>
      <x:c r="D317" s="14" t="str">
        <x:v>Low</x:v>
      </x:c>
      <x:c r="E317" s="15" t="n">
        <x:v>46247.583333333336</x:v>
      </x:c>
      <x:c r="F317" s="15" t="n">
        <x:v>46261.583333333336</x:v>
      </x:c>
      <x:c r="G317" s="15" t="n">
        <x:v>46261.666666666664</x:v>
      </x:c>
      <x:c r="H317" s="14" t="n">
        <x:v>3</x:v>
      </x:c>
      <x:c r="I317" s="1" t="n">
        <x:f>IF(AND(E317&lt;Reporting!$B$4,OR(G317="",G317&gt;=Reporting!$B$4)),1,0)</x:f>
        <x:v>0</x:v>
      </x:c>
      <x:c r="J317" s="1" t="n">
        <x:f>IF(AND(I317=1,F317&lt;Reporting!$B$4),1,0)</x:f>
        <x:v>0</x:v>
      </x:c>
      <x:c r="K317" s="1" t="n">
        <x:f>IF(F317&lt;Reporting!$B$4,1,0)</x:f>
        <x:v>1</x:v>
      </x:c>
      <x:c r="L317" s="1" t="n">
        <x:f>IF(AND(K317=1,G317&lt;&gt;"",G317&lt;=F317),1,0)</x:f>
        <x:v>0</x:v>
      </x:c>
      <x:c r="M317" s="1" t="n">
        <x:f>IF(AND(G317&lt;&gt;"",G317&lt;Reporting!$B$4),1,0)</x:f>
        <x:v>1</x:v>
      </x:c>
      <x:c r="N317" s="16" t="n">
        <x:f>IF(M317=1,G317-E317,"")</x:f>
        <x:v>14.083333333328483</x:v>
      </x:c>
      <x:c r="O317" s="1" t="str">
        <x:f>IF(E317&gt;=Reporting!$B$4,"Outside cutoff",IF(M317=1,"Closed",IF(J317=1,"Overdue","Open - within SLA")))</x:f>
        <x:v>Closed</x:v>
      </x:c>
    </x:row>
    <x:row r="318">
      <x:c r="A318" s="14" t="str">
        <x:v>CASE-00313</x:v>
      </x:c>
      <x:c r="B318" s="14" t="str">
        <x:v>Customer Services</x:v>
      </x:c>
      <x:c r="C318" s="14" t="str">
        <x:v>Late review</x:v>
      </x:c>
      <x:c r="D318" s="14" t="str">
        <x:v>High</x:v>
      </x:c>
      <x:c r="E318" s="15" t="n">
        <x:v>46255.416666666664</x:v>
      </x:c>
      <x:c r="F318" s="15" t="n">
        <x:v>46258.416666666664</x:v>
      </x:c>
      <x:c r="G318" s="15" t="n">
        <x:v>46264.458333333336</x:v>
      </x:c>
      <x:c r="H318" s="14" t="n">
        <x:v>1</x:v>
      </x:c>
      <x:c r="I318" s="1" t="n">
        <x:f>IF(AND(E318&lt;Reporting!$B$4,OR(G318="",G318&gt;=Reporting!$B$4)),1,0)</x:f>
        <x:v>0</x:v>
      </x:c>
      <x:c r="J318" s="1" t="n">
        <x:f>IF(AND(I318=1,F318&lt;Reporting!$B$4),1,0)</x:f>
        <x:v>0</x:v>
      </x:c>
      <x:c r="K318" s="1" t="n">
        <x:f>IF(F318&lt;Reporting!$B$4,1,0)</x:f>
        <x:v>1</x:v>
      </x:c>
      <x:c r="L318" s="1" t="n">
        <x:f>IF(AND(K318=1,G318&lt;&gt;"",G318&lt;=F318),1,0)</x:f>
        <x:v>0</x:v>
      </x:c>
      <x:c r="M318" s="1" t="n">
        <x:f>IF(AND(G318&lt;&gt;"",G318&lt;Reporting!$B$4),1,0)</x:f>
        <x:v>1</x:v>
      </x:c>
      <x:c r="N318" s="16" t="n">
        <x:f>IF(M318=1,G318-E318,"")</x:f>
        <x:v>9.041666666671517</x:v>
      </x:c>
      <x:c r="O318" s="1" t="str">
        <x:f>IF(E318&gt;=Reporting!$B$4,"Outside cutoff",IF(M318=1,"Closed",IF(J318=1,"Overdue","Open - within SLA")))</x:f>
        <x:v>Closed</x:v>
      </x:c>
    </x:row>
    <x:row r="319">
      <x:c r="A319" s="14" t="str">
        <x:v>CASE-00314</x:v>
      </x:c>
      <x:c r="B319" s="14" t="str">
        <x:v>Customer Services</x:v>
      </x:c>
      <x:c r="C319" s="14" t="str">
        <x:v>Missing evidence</x:v>
      </x:c>
      <x:c r="D319" s="14" t="str">
        <x:v>Low</x:v>
      </x:c>
      <x:c r="E319" s="15" t="n">
        <x:v>46245.375</x:v>
      </x:c>
      <x:c r="F319" s="15" t="n">
        <x:v>46259.375</x:v>
      </x:c>
      <x:c r="G319" s="15" t="n">
        <x:v>46259.458333333336</x:v>
      </x:c>
      <x:c r="H319" s="14" t="n">
        <x:v>1</x:v>
      </x:c>
      <x:c r="I319" s="1" t="n">
        <x:f>IF(AND(E319&lt;Reporting!$B$4,OR(G319="",G319&gt;=Reporting!$B$4)),1,0)</x:f>
        <x:v>0</x:v>
      </x:c>
      <x:c r="J319" s="1" t="n">
        <x:f>IF(AND(I319=1,F319&lt;Reporting!$B$4),1,0)</x:f>
        <x:v>0</x:v>
      </x:c>
      <x:c r="K319" s="1" t="n">
        <x:f>IF(F319&lt;Reporting!$B$4,1,0)</x:f>
        <x:v>1</x:v>
      </x:c>
      <x:c r="L319" s="1" t="n">
        <x:f>IF(AND(K319=1,G319&lt;&gt;"",G319&lt;=F319),1,0)</x:f>
        <x:v>0</x:v>
      </x:c>
      <x:c r="M319" s="1" t="n">
        <x:f>IF(AND(G319&lt;&gt;"",G319&lt;Reporting!$B$4),1,0)</x:f>
        <x:v>1</x:v>
      </x:c>
      <x:c r="N319" s="16" t="n">
        <x:f>IF(M319=1,G319-E319,"")</x:f>
        <x:v>14.083333333335759</x:v>
      </x:c>
      <x:c r="O319" s="1" t="str">
        <x:f>IF(E319&gt;=Reporting!$B$4,"Outside cutoff",IF(M319=1,"Closed",IF(J319=1,"Overdue","Open - within SLA")))</x:f>
        <x:v>Closed</x:v>
      </x:c>
    </x:row>
    <x:row r="320">
      <x:c r="A320" s="14" t="str">
        <x:v>CASE-00315</x:v>
      </x:c>
      <x:c r="B320" s="14" t="str">
        <x:v>Warehouse</x:v>
      </x:c>
      <x:c r="C320" s="14" t="str">
        <x:v>Process deviation</x:v>
      </x:c>
      <x:c r="D320" s="14" t="str">
        <x:v>High</x:v>
      </x:c>
      <x:c r="E320" s="15" t="n">
        <x:v>46250.625</x:v>
      </x:c>
      <x:c r="F320" s="15" t="n">
        <x:v>46253.625</x:v>
      </x:c>
      <x:c r="G320" s="15" t="n">
        <x:v>46273.708333333336</x:v>
      </x:c>
      <x:c r="H320" s="14" t="n">
        <x:v>2</x:v>
      </x:c>
      <x:c r="I320" s="1" t="n">
        <x:f>IF(AND(E320&lt;Reporting!$B$4,OR(G320="",G320&gt;=Reporting!$B$4)),1,0)</x:f>
        <x:v>0</x:v>
      </x:c>
      <x:c r="J320" s="1" t="n">
        <x:f>IF(AND(I320=1,F320&lt;Reporting!$B$4),1,0)</x:f>
        <x:v>0</x:v>
      </x:c>
      <x:c r="K320" s="1" t="n">
        <x:f>IF(F320&lt;Reporting!$B$4,1,0)</x:f>
        <x:v>1</x:v>
      </x:c>
      <x:c r="L320" s="1" t="n">
        <x:f>IF(AND(K320=1,G320&lt;&gt;"",G320&lt;=F320),1,0)</x:f>
        <x:v>0</x:v>
      </x:c>
      <x:c r="M320" s="1" t="n">
        <x:f>IF(AND(G320&lt;&gt;"",G320&lt;Reporting!$B$4),1,0)</x:f>
        <x:v>1</x:v>
      </x:c>
      <x:c r="N320" s="16" t="n">
        <x:f>IF(M320=1,G320-E320,"")</x:f>
        <x:v>23.08333333333576</x:v>
      </x:c>
      <x:c r="O320" s="1" t="str">
        <x:f>IF(E320&gt;=Reporting!$B$4,"Outside cutoff",IF(M320=1,"Closed",IF(J320=1,"Overdue","Open - within SLA")))</x:f>
        <x:v>Closed</x:v>
      </x:c>
    </x:row>
    <x:row r="321">
      <x:c r="A321" s="14" t="str">
        <x:v>CASE-00316</x:v>
      </x:c>
      <x:c r="B321" s="14" t="str">
        <x:v>Customer Services</x:v>
      </x:c>
      <x:c r="C321" s="14" t="str">
        <x:v>Late review</x:v>
      </x:c>
      <x:c r="D321" s="14" t="str">
        <x:v>Low</x:v>
      </x:c>
      <x:c r="E321" s="15" t="n">
        <x:v>46247.333333333336</x:v>
      </x:c>
      <x:c r="F321" s="15" t="n">
        <x:v>46261.333333333336</x:v>
      </x:c>
      <x:c r="G321" s="15" t="n">
        <x:v>46248.333333333336</x:v>
      </x:c>
      <x:c r="H321" s="14" t="n">
        <x:v>1</x:v>
      </x:c>
      <x:c r="I321" s="1" t="n">
        <x:f>IF(AND(E321&lt;Reporting!$B$4,OR(G321="",G321&gt;=Reporting!$B$4)),1,0)</x:f>
        <x:v>0</x:v>
      </x:c>
      <x:c r="J321" s="1" t="n">
        <x:f>IF(AND(I321=1,F321&lt;Reporting!$B$4),1,0)</x:f>
        <x:v>0</x:v>
      </x:c>
      <x:c r="K321" s="1" t="n">
        <x:f>IF(F321&lt;Reporting!$B$4,1,0)</x:f>
        <x:v>1</x:v>
      </x:c>
      <x:c r="L321" s="1" t="n">
        <x:f>IF(AND(K321=1,G321&lt;&gt;"",G321&lt;=F321),1,0)</x:f>
        <x:v>1</x:v>
      </x:c>
      <x:c r="M321" s="1" t="n">
        <x:f>IF(AND(G321&lt;&gt;"",G321&lt;Reporting!$B$4),1,0)</x:f>
        <x:v>1</x:v>
      </x:c>
      <x:c r="N321" s="16" t="n">
        <x:f>IF(M321=1,G321-E321,"")</x:f>
        <x:v>1</x:v>
      </x:c>
      <x:c r="O321" s="1" t="str">
        <x:f>IF(E321&gt;=Reporting!$B$4,"Outside cutoff",IF(M321=1,"Closed",IF(J321=1,"Overdue","Open - within SLA")))</x:f>
        <x:v>Closed</x:v>
      </x:c>
    </x:row>
    <x:row r="322">
      <x:c r="A322" s="14" t="str">
        <x:v>CASE-00317</x:v>
      </x:c>
      <x:c r="B322" s="14" t="str">
        <x:v>Customer Services</x:v>
      </x:c>
      <x:c r="C322" s="14" t="str">
        <x:v>Missing evidence</x:v>
      </x:c>
      <x:c r="D322" s="14" t="str">
        <x:v>Medium</x:v>
      </x:c>
      <x:c r="E322" s="15" t="n">
        <x:v>46280.375</x:v>
      </x:c>
      <x:c r="F322" s="15" t="n">
        <x:v>46287.375</x:v>
      </x:c>
      <x:c r="G322" s="15"/>
      <x:c r="H322" s="14" t="n">
        <x:v>1</x:v>
      </x:c>
      <x:c r="I322" s="1" t="n">
        <x:f>IF(AND(E322&lt;Reporting!$B$4,OR(G322="",G322&gt;=Reporting!$B$4)),1,0)</x:f>
        <x:v>1</x:v>
      </x:c>
      <x:c r="J322" s="1" t="n">
        <x:f>IF(AND(I322=1,F322&lt;Reporting!$B$4),1,0)</x:f>
        <x:v>0</x:v>
      </x:c>
      <x:c r="K322" s="1" t="n">
        <x:f>IF(F322&lt;Reporting!$B$4,1,0)</x:f>
        <x:v>0</x:v>
      </x:c>
      <x:c r="L322" s="1" t="n">
        <x:f>IF(AND(K322=1,G322&lt;&gt;"",G322&lt;=F322),1,0)</x:f>
        <x:v>0</x:v>
      </x:c>
      <x:c r="M322" s="1" t="n">
        <x:f>IF(AND(G322&lt;&gt;"",G322&lt;Reporting!$B$4),1,0)</x:f>
        <x:v>0</x:v>
      </x:c>
      <x:c r="N322" s="16" t="str">
        <x:f>IF(M322=1,G322-E322,"")</x:f>
      </x:c>
      <x:c r="O322" s="1" t="str">
        <x:f>IF(E322&gt;=Reporting!$B$4,"Outside cutoff",IF(M322=1,"Closed",IF(J322=1,"Overdue","Open - within SLA")))</x:f>
        <x:v>Open - within SLA</x:v>
      </x:c>
    </x:row>
    <x:row r="323">
      <x:c r="A323" s="14" t="str">
        <x:v>CASE-00318</x:v>
      </x:c>
      <x:c r="B323" s="14" t="str">
        <x:v>Warehouse</x:v>
      </x:c>
      <x:c r="C323" s="14" t="str">
        <x:v>Missing evidence</x:v>
      </x:c>
      <x:c r="D323" s="14" t="str">
        <x:v>Medium</x:v>
      </x:c>
      <x:c r="E323" s="15" t="n">
        <x:v>46249.333333333336</x:v>
      </x:c>
      <x:c r="F323" s="15" t="n">
        <x:v>46256.333333333336</x:v>
      </x:c>
      <x:c r="G323" s="15" t="n">
        <x:v>46266.375</x:v>
      </x:c>
      <x:c r="H323" s="14" t="n">
        <x:v>2</x:v>
      </x:c>
      <x:c r="I323" s="1" t="n">
        <x:f>IF(AND(E323&lt;Reporting!$B$4,OR(G323="",G323&gt;=Reporting!$B$4)),1,0)</x:f>
        <x:v>0</x:v>
      </x:c>
      <x:c r="J323" s="1" t="n">
        <x:f>IF(AND(I323=1,F323&lt;Reporting!$B$4),1,0)</x:f>
        <x:v>0</x:v>
      </x:c>
      <x:c r="K323" s="1" t="n">
        <x:f>IF(F323&lt;Reporting!$B$4,1,0)</x:f>
        <x:v>1</x:v>
      </x:c>
      <x:c r="L323" s="1" t="n">
        <x:f>IF(AND(K323=1,G323&lt;&gt;"",G323&lt;=F323),1,0)</x:f>
        <x:v>0</x:v>
      </x:c>
      <x:c r="M323" s="1" t="n">
        <x:f>IF(AND(G323&lt;&gt;"",G323&lt;Reporting!$B$4),1,0)</x:f>
        <x:v>1</x:v>
      </x:c>
      <x:c r="N323" s="16" t="n">
        <x:f>IF(M323=1,G323-E323,"")</x:f>
        <x:v>17.04166666666424</x:v>
      </x:c>
      <x:c r="O323" s="1" t="str">
        <x:f>IF(E323&gt;=Reporting!$B$4,"Outside cutoff",IF(M323=1,"Closed",IF(J323=1,"Overdue","Open - within SLA")))</x:f>
        <x:v>Closed</x:v>
      </x:c>
    </x:row>
    <x:row r="324">
      <x:c r="A324" s="14" t="str">
        <x:v>CASE-00319</x:v>
      </x:c>
      <x:c r="B324" s="14" t="str">
        <x:v>Installation</x:v>
      </x:c>
      <x:c r="C324" s="14" t="str">
        <x:v>Late review</x:v>
      </x:c>
      <x:c r="D324" s="14" t="str">
        <x:v>High</x:v>
      </x:c>
      <x:c r="E324" s="15" t="n">
        <x:v>46243.458333333336</x:v>
      </x:c>
      <x:c r="F324" s="15" t="n">
        <x:v>46246.458333333336</x:v>
      </x:c>
      <x:c r="G324" s="15" t="n">
        <x:v>46244.541666666664</x:v>
      </x:c>
      <x:c r="H324" s="14" t="n">
        <x:v>3</x:v>
      </x:c>
      <x:c r="I324" s="1" t="n">
        <x:f>IF(AND(E324&lt;Reporting!$B$4,OR(G324="",G324&gt;=Reporting!$B$4)),1,0)</x:f>
        <x:v>0</x:v>
      </x:c>
      <x:c r="J324" s="1" t="n">
        <x:f>IF(AND(I324=1,F324&lt;Reporting!$B$4),1,0)</x:f>
        <x:v>0</x:v>
      </x:c>
      <x:c r="K324" s="1" t="n">
        <x:f>IF(F324&lt;Reporting!$B$4,1,0)</x:f>
        <x:v>1</x:v>
      </x:c>
      <x:c r="L324" s="1" t="n">
        <x:f>IF(AND(K324=1,G324&lt;&gt;"",G324&lt;=F324),1,0)</x:f>
        <x:v>1</x:v>
      </x:c>
      <x:c r="M324" s="1" t="n">
        <x:f>IF(AND(G324&lt;&gt;"",G324&lt;Reporting!$B$4),1,0)</x:f>
        <x:v>1</x:v>
      </x:c>
      <x:c r="N324" s="16" t="n">
        <x:f>IF(M324=1,G324-E324,"")</x:f>
        <x:v>1.0833333333284827</x:v>
      </x:c>
      <x:c r="O324" s="1" t="str">
        <x:f>IF(E324&gt;=Reporting!$B$4,"Outside cutoff",IF(M324=1,"Closed",IF(J324=1,"Overdue","Open - within SLA")))</x:f>
        <x:v>Closed</x:v>
      </x:c>
    </x:row>
    <x:row r="325">
      <x:c r="A325" s="14" t="str">
        <x:v>CASE-00320</x:v>
      </x:c>
      <x:c r="B325" s="14" t="str">
        <x:v>Customer Services</x:v>
      </x:c>
      <x:c r="C325" s="14" t="str">
        <x:v>Missing evidence</x:v>
      </x:c>
      <x:c r="D325" s="14" t="str">
        <x:v>Low</x:v>
      </x:c>
      <x:c r="E325" s="15" t="n">
        <x:v>46216.666666666664</x:v>
      </x:c>
      <x:c r="F325" s="15" t="n">
        <x:v>46230.666666666664</x:v>
      </x:c>
      <x:c r="G325" s="15" t="n">
        <x:v>46228.666666666664</x:v>
      </x:c>
      <x:c r="H325" s="14" t="n">
        <x:v>1</x:v>
      </x:c>
      <x:c r="I325" s="1" t="n">
        <x:f>IF(AND(E325&lt;Reporting!$B$4,OR(G325="",G325&gt;=Reporting!$B$4)),1,0)</x:f>
        <x:v>0</x:v>
      </x:c>
      <x:c r="J325" s="1" t="n">
        <x:f>IF(AND(I325=1,F325&lt;Reporting!$B$4),1,0)</x:f>
        <x:v>0</x:v>
      </x:c>
      <x:c r="K325" s="1" t="n">
        <x:f>IF(F325&lt;Reporting!$B$4,1,0)</x:f>
        <x:v>1</x:v>
      </x:c>
      <x:c r="L325" s="1" t="n">
        <x:f>IF(AND(K325=1,G325&lt;&gt;"",G325&lt;=F325),1,0)</x:f>
        <x:v>1</x:v>
      </x:c>
      <x:c r="M325" s="1" t="n">
        <x:f>IF(AND(G325&lt;&gt;"",G325&lt;Reporting!$B$4),1,0)</x:f>
        <x:v>1</x:v>
      </x:c>
      <x:c r="N325" s="16" t="n">
        <x:f>IF(M325=1,G325-E325,"")</x:f>
        <x:v>12</x:v>
      </x:c>
      <x:c r="O325" s="1" t="str">
        <x:f>IF(E325&gt;=Reporting!$B$4,"Outside cutoff",IF(M325=1,"Closed",IF(J325=1,"Overdue","Open - within SLA")))</x:f>
        <x:v>Closed</x:v>
      </x:c>
    </x:row>
    <x:row r="326">
      <x:c r="A326" s="14" t="str">
        <x:v>CASE-00321</x:v>
      </x:c>
      <x:c r="B326" s="14" t="str">
        <x:v>Customer Services</x:v>
      </x:c>
      <x:c r="C326" s="14" t="str">
        <x:v>Record mismatch</x:v>
      </x:c>
      <x:c r="D326" s="14" t="str">
        <x:v>Low</x:v>
      </x:c>
      <x:c r="E326" s="15" t="n">
        <x:v>46225.458333333336</x:v>
      </x:c>
      <x:c r="F326" s="15" t="n">
        <x:v>46239.458333333336</x:v>
      </x:c>
      <x:c r="G326" s="15" t="n">
        <x:v>46241.5</x:v>
      </x:c>
      <x:c r="H326" s="14" t="n">
        <x:v>1</x:v>
      </x:c>
      <x:c r="I326" s="1" t="n">
        <x:f>IF(AND(E326&lt;Reporting!$B$4,OR(G326="",G326&gt;=Reporting!$B$4)),1,0)</x:f>
        <x:v>0</x:v>
      </x:c>
      <x:c r="J326" s="1" t="n">
        <x:f>IF(AND(I326=1,F326&lt;Reporting!$B$4),1,0)</x:f>
        <x:v>0</x:v>
      </x:c>
      <x:c r="K326" s="1" t="n">
        <x:f>IF(F326&lt;Reporting!$B$4,1,0)</x:f>
        <x:v>1</x:v>
      </x:c>
      <x:c r="L326" s="1" t="n">
        <x:f>IF(AND(K326=1,G326&lt;&gt;"",G326&lt;=F326),1,0)</x:f>
        <x:v>0</x:v>
      </x:c>
      <x:c r="M326" s="1" t="n">
        <x:f>IF(AND(G326&lt;&gt;"",G326&lt;Reporting!$B$4),1,0)</x:f>
        <x:v>1</x:v>
      </x:c>
      <x:c r="N326" s="16" t="n">
        <x:f>IF(M326=1,G326-E326,"")</x:f>
        <x:v>16.04166666666424</x:v>
      </x:c>
      <x:c r="O326" s="1" t="str">
        <x:f>IF(E326&gt;=Reporting!$B$4,"Outside cutoff",IF(M326=1,"Closed",IF(J326=1,"Overdue","Open - within SLA")))</x:f>
        <x:v>Closed</x:v>
      </x:c>
    </x:row>
    <x:row r="327">
      <x:c r="A327" s="14" t="str">
        <x:v>CASE-00322</x:v>
      </x:c>
      <x:c r="B327" s="14" t="str">
        <x:v>Customer Services</x:v>
      </x:c>
      <x:c r="C327" s="14" t="str">
        <x:v>Record mismatch</x:v>
      </x:c>
      <x:c r="D327" s="14" t="str">
        <x:v>Low</x:v>
      </x:c>
      <x:c r="E327" s="15" t="n">
        <x:v>46220.5</x:v>
      </x:c>
      <x:c r="F327" s="15" t="n">
        <x:v>46234.5</x:v>
      </x:c>
      <x:c r="G327" s="15" t="n">
        <x:v>46234.583333333336</x:v>
      </x:c>
      <x:c r="H327" s="14" t="n">
        <x:v>1</x:v>
      </x:c>
      <x:c r="I327" s="1" t="n">
        <x:f>IF(AND(E327&lt;Reporting!$B$4,OR(G327="",G327&gt;=Reporting!$B$4)),1,0)</x:f>
        <x:v>0</x:v>
      </x:c>
      <x:c r="J327" s="1" t="n">
        <x:f>IF(AND(I327=1,F327&lt;Reporting!$B$4),1,0)</x:f>
        <x:v>0</x:v>
      </x:c>
      <x:c r="K327" s="1" t="n">
        <x:f>IF(F327&lt;Reporting!$B$4,1,0)</x:f>
        <x:v>1</x:v>
      </x:c>
      <x:c r="L327" s="1" t="n">
        <x:f>IF(AND(K327=1,G327&lt;&gt;"",G327&lt;=F327),1,0)</x:f>
        <x:v>0</x:v>
      </x:c>
      <x:c r="M327" s="1" t="n">
        <x:f>IF(AND(G327&lt;&gt;"",G327&lt;Reporting!$B$4),1,0)</x:f>
        <x:v>1</x:v>
      </x:c>
      <x:c r="N327" s="16" t="n">
        <x:f>IF(M327=1,G327-E327,"")</x:f>
        <x:v>14.083333333335759</x:v>
      </x:c>
      <x:c r="O327" s="1" t="str">
        <x:f>IF(E327&gt;=Reporting!$B$4,"Outside cutoff",IF(M327=1,"Closed",IF(J327=1,"Overdue","Open - within SLA")))</x:f>
        <x:v>Closed</x:v>
      </x:c>
    </x:row>
    <x:row r="328">
      <x:c r="A328" s="14" t="str">
        <x:v>CASE-00323</x:v>
      </x:c>
      <x:c r="B328" s="14" t="str">
        <x:v>Installation</x:v>
      </x:c>
      <x:c r="C328" s="14" t="str">
        <x:v>Missing evidence</x:v>
      </x:c>
      <x:c r="D328" s="14" t="str">
        <x:v>Medium</x:v>
      </x:c>
      <x:c r="E328" s="15" t="n">
        <x:v>46279.666666666664</x:v>
      </x:c>
      <x:c r="F328" s="15" t="n">
        <x:v>46286.666666666664</x:v>
      </x:c>
      <x:c r="G328" s="15"/>
      <x:c r="H328" s="14" t="n">
        <x:v>3</x:v>
      </x:c>
      <x:c r="I328" s="1" t="n">
        <x:f>IF(AND(E328&lt;Reporting!$B$4,OR(G328="",G328&gt;=Reporting!$B$4)),1,0)</x:f>
        <x:v>1</x:v>
      </x:c>
      <x:c r="J328" s="1" t="n">
        <x:f>IF(AND(I328=1,F328&lt;Reporting!$B$4),1,0)</x:f>
        <x:v>0</x:v>
      </x:c>
      <x:c r="K328" s="1" t="n">
        <x:f>IF(F328&lt;Reporting!$B$4,1,0)</x:f>
        <x:v>0</x:v>
      </x:c>
      <x:c r="L328" s="1" t="n">
        <x:f>IF(AND(K328=1,G328&lt;&gt;"",G328&lt;=F328),1,0)</x:f>
        <x:v>0</x:v>
      </x:c>
      <x:c r="M328" s="1" t="n">
        <x:f>IF(AND(G328&lt;&gt;"",G328&lt;Reporting!$B$4),1,0)</x:f>
        <x:v>0</x:v>
      </x:c>
      <x:c r="N328" s="16" t="str">
        <x:f>IF(M328=1,G328-E328,"")</x:f>
      </x:c>
      <x:c r="O328" s="1" t="str">
        <x:f>IF(E328&gt;=Reporting!$B$4,"Outside cutoff",IF(M328=1,"Closed",IF(J328=1,"Overdue","Open - within SLA")))</x:f>
        <x:v>Open - within SLA</x:v>
      </x:c>
    </x:row>
    <x:row r="329">
      <x:c r="A329" s="14" t="str">
        <x:v>CASE-00324</x:v>
      </x:c>
      <x:c r="B329" s="14" t="str">
        <x:v>Customer Services</x:v>
      </x:c>
      <x:c r="C329" s="14" t="str">
        <x:v>Late review</x:v>
      </x:c>
      <x:c r="D329" s="14" t="str">
        <x:v>Low</x:v>
      </x:c>
      <x:c r="E329" s="15" t="n">
        <x:v>46214.541666666664</x:v>
      </x:c>
      <x:c r="F329" s="15" t="n">
        <x:v>46228.541666666664</x:v>
      </x:c>
      <x:c r="G329" s="15"/>
      <x:c r="H329" s="14" t="n">
        <x:v>1</x:v>
      </x:c>
      <x:c r="I329" s="1" t="n">
        <x:f>IF(AND(E329&lt;Reporting!$B$4,OR(G329="",G329&gt;=Reporting!$B$4)),1,0)</x:f>
        <x:v>1</x:v>
      </x:c>
      <x:c r="J329" s="1" t="n">
        <x:f>IF(AND(I329=1,F329&lt;Reporting!$B$4),1,0)</x:f>
        <x:v>1</x:v>
      </x:c>
      <x:c r="K329" s="1" t="n">
        <x:f>IF(F329&lt;Reporting!$B$4,1,0)</x:f>
        <x:v>1</x:v>
      </x:c>
      <x:c r="L329" s="1" t="n">
        <x:f>IF(AND(K329=1,G329&lt;&gt;"",G329&lt;=F329),1,0)</x:f>
        <x:v>0</x:v>
      </x:c>
      <x:c r="M329" s="1" t="n">
        <x:f>IF(AND(G329&lt;&gt;"",G329&lt;Reporting!$B$4),1,0)</x:f>
        <x:v>0</x:v>
      </x:c>
      <x:c r="N329" s="16" t="str">
        <x:f>IF(M329=1,G329-E329,"")</x:f>
      </x:c>
      <x:c r="O329" s="1" t="str">
        <x:f>IF(E329&gt;=Reporting!$B$4,"Outside cutoff",IF(M329=1,"Closed",IF(J329=1,"Overdue","Open - within SLA")))</x:f>
        <x:v>Overdue</x:v>
      </x:c>
    </x:row>
    <x:row r="330">
      <x:c r="A330" s="14" t="str">
        <x:v>CASE-00325</x:v>
      </x:c>
      <x:c r="B330" s="14" t="str">
        <x:v>Customer Services</x:v>
      </x:c>
      <x:c r="C330" s="14" t="str">
        <x:v>Process deviation</x:v>
      </x:c>
      <x:c r="D330" s="14" t="str">
        <x:v>Medium</x:v>
      </x:c>
      <x:c r="E330" s="15" t="n">
        <x:v>46233.375</x:v>
      </x:c>
      <x:c r="F330" s="15" t="n">
        <x:v>46240.375</x:v>
      </x:c>
      <x:c r="G330" s="15" t="n">
        <x:v>46238.375</x:v>
      </x:c>
      <x:c r="H330" s="14" t="n">
        <x:v>1</x:v>
      </x:c>
      <x:c r="I330" s="1" t="n">
        <x:f>IF(AND(E330&lt;Reporting!$B$4,OR(G330="",G330&gt;=Reporting!$B$4)),1,0)</x:f>
        <x:v>0</x:v>
      </x:c>
      <x:c r="J330" s="1" t="n">
        <x:f>IF(AND(I330=1,F330&lt;Reporting!$B$4),1,0)</x:f>
        <x:v>0</x:v>
      </x:c>
      <x:c r="K330" s="1" t="n">
        <x:f>IF(F330&lt;Reporting!$B$4,1,0)</x:f>
        <x:v>1</x:v>
      </x:c>
      <x:c r="L330" s="1" t="n">
        <x:f>IF(AND(K330=1,G330&lt;&gt;"",G330&lt;=F330),1,0)</x:f>
        <x:v>1</x:v>
      </x:c>
      <x:c r="M330" s="1" t="n">
        <x:f>IF(AND(G330&lt;&gt;"",G330&lt;Reporting!$B$4),1,0)</x:f>
        <x:v>1</x:v>
      </x:c>
      <x:c r="N330" s="16" t="n">
        <x:f>IF(M330=1,G330-E330,"")</x:f>
        <x:v>5</x:v>
      </x:c>
      <x:c r="O330" s="1" t="str">
        <x:f>IF(E330&gt;=Reporting!$B$4,"Outside cutoff",IF(M330=1,"Closed",IF(J330=1,"Overdue","Open - within SLA")))</x:f>
        <x:v>Closed</x:v>
      </x:c>
    </x:row>
    <x:row r="331">
      <x:c r="A331" s="14" t="str">
        <x:v>CASE-00326</x:v>
      </x:c>
      <x:c r="B331" s="14" t="str">
        <x:v>Installation</x:v>
      </x:c>
      <x:c r="C331" s="14" t="str">
        <x:v>Late review</x:v>
      </x:c>
      <x:c r="D331" s="14" t="str">
        <x:v>Medium</x:v>
      </x:c>
      <x:c r="E331" s="15" t="n">
        <x:v>46266.583333333336</x:v>
      </x:c>
      <x:c r="F331" s="15" t="n">
        <x:v>46273.583333333336</x:v>
      </x:c>
      <x:c r="G331" s="15" t="n">
        <x:v>46273.583333333336</x:v>
      </x:c>
      <x:c r="H331" s="14" t="n">
        <x:v>3</x:v>
      </x:c>
      <x:c r="I331" s="1" t="n">
        <x:f>IF(AND(E331&lt;Reporting!$B$4,OR(G331="",G331&gt;=Reporting!$B$4)),1,0)</x:f>
        <x:v>0</x:v>
      </x:c>
      <x:c r="J331" s="1" t="n">
        <x:f>IF(AND(I331=1,F331&lt;Reporting!$B$4),1,0)</x:f>
        <x:v>0</x:v>
      </x:c>
      <x:c r="K331" s="1" t="n">
        <x:f>IF(F331&lt;Reporting!$B$4,1,0)</x:f>
        <x:v>1</x:v>
      </x:c>
      <x:c r="L331" s="1" t="n">
        <x:f>IF(AND(K331=1,G331&lt;&gt;"",G331&lt;=F331),1,0)</x:f>
        <x:v>1</x:v>
      </x:c>
      <x:c r="M331" s="1" t="n">
        <x:f>IF(AND(G331&lt;&gt;"",G331&lt;Reporting!$B$4),1,0)</x:f>
        <x:v>1</x:v>
      </x:c>
      <x:c r="N331" s="16" t="n">
        <x:f>IF(M331=1,G331-E331,"")</x:f>
        <x:v>7</x:v>
      </x:c>
      <x:c r="O331" s="1" t="str">
        <x:f>IF(E331&gt;=Reporting!$B$4,"Outside cutoff",IF(M331=1,"Closed",IF(J331=1,"Overdue","Open - within SLA")))</x:f>
        <x:v>Closed</x:v>
      </x:c>
    </x:row>
    <x:row r="332">
      <x:c r="A332" s="14" t="str">
        <x:v>CASE-00327</x:v>
      </x:c>
      <x:c r="B332" s="14" t="str">
        <x:v>Warehouse</x:v>
      </x:c>
      <x:c r="C332" s="14" t="str">
        <x:v>Late review</x:v>
      </x:c>
      <x:c r="D332" s="14" t="str">
        <x:v>High</x:v>
      </x:c>
      <x:c r="E332" s="15" t="n">
        <x:v>46242.416666666664</x:v>
      </x:c>
      <x:c r="F332" s="15" t="n">
        <x:v>46245.416666666664</x:v>
      </x:c>
      <x:c r="G332" s="15"/>
      <x:c r="H332" s="14" t="n">
        <x:v>2</x:v>
      </x:c>
      <x:c r="I332" s="1" t="n">
        <x:f>IF(AND(E332&lt;Reporting!$B$4,OR(G332="",G332&gt;=Reporting!$B$4)),1,0)</x:f>
        <x:v>1</x:v>
      </x:c>
      <x:c r="J332" s="1" t="n">
        <x:f>IF(AND(I332=1,F332&lt;Reporting!$B$4),1,0)</x:f>
        <x:v>1</x:v>
      </x:c>
      <x:c r="K332" s="1" t="n">
        <x:f>IF(F332&lt;Reporting!$B$4,1,0)</x:f>
        <x:v>1</x:v>
      </x:c>
      <x:c r="L332" s="1" t="n">
        <x:f>IF(AND(K332=1,G332&lt;&gt;"",G332&lt;=F332),1,0)</x:f>
        <x:v>0</x:v>
      </x:c>
      <x:c r="M332" s="1" t="n">
        <x:f>IF(AND(G332&lt;&gt;"",G332&lt;Reporting!$B$4),1,0)</x:f>
        <x:v>0</x:v>
      </x:c>
      <x:c r="N332" s="16" t="str">
        <x:f>IF(M332=1,G332-E332,"")</x:f>
      </x:c>
      <x:c r="O332" s="1" t="str">
        <x:f>IF(E332&gt;=Reporting!$B$4,"Outside cutoff",IF(M332=1,"Closed",IF(J332=1,"Overdue","Open - within SLA")))</x:f>
        <x:v>Overdue</x:v>
      </x:c>
    </x:row>
    <x:row r="333">
      <x:c r="A333" s="14" t="str">
        <x:v>CASE-00328</x:v>
      </x:c>
      <x:c r="B333" s="14" t="str">
        <x:v>Warehouse</x:v>
      </x:c>
      <x:c r="C333" s="14" t="str">
        <x:v>Record mismatch</x:v>
      </x:c>
      <x:c r="D333" s="14" t="str">
        <x:v>Low</x:v>
      </x:c>
      <x:c r="E333" s="15" t="n">
        <x:v>46234.458333333336</x:v>
      </x:c>
      <x:c r="F333" s="15" t="n">
        <x:v>46248.458333333336</x:v>
      </x:c>
      <x:c r="G333" s="15" t="n">
        <x:v>46250.541666666664</x:v>
      </x:c>
      <x:c r="H333" s="14" t="n">
        <x:v>2</x:v>
      </x:c>
      <x:c r="I333" s="1" t="n">
        <x:f>IF(AND(E333&lt;Reporting!$B$4,OR(G333="",G333&gt;=Reporting!$B$4)),1,0)</x:f>
        <x:v>0</x:v>
      </x:c>
      <x:c r="J333" s="1" t="n">
        <x:f>IF(AND(I333=1,F333&lt;Reporting!$B$4),1,0)</x:f>
        <x:v>0</x:v>
      </x:c>
      <x:c r="K333" s="1" t="n">
        <x:f>IF(F333&lt;Reporting!$B$4,1,0)</x:f>
        <x:v>1</x:v>
      </x:c>
      <x:c r="L333" s="1" t="n">
        <x:f>IF(AND(K333=1,G333&lt;&gt;"",G333&lt;=F333),1,0)</x:f>
        <x:v>0</x:v>
      </x:c>
      <x:c r="M333" s="1" t="n">
        <x:f>IF(AND(G333&lt;&gt;"",G333&lt;Reporting!$B$4),1,0)</x:f>
        <x:v>1</x:v>
      </x:c>
      <x:c r="N333" s="16" t="n">
        <x:f>IF(M333=1,G333-E333,"")</x:f>
        <x:v>16.083333333328483</x:v>
      </x:c>
      <x:c r="O333" s="1" t="str">
        <x:f>IF(E333&gt;=Reporting!$B$4,"Outside cutoff",IF(M333=1,"Closed",IF(J333=1,"Overdue","Open - within SLA")))</x:f>
        <x:v>Closed</x:v>
      </x:c>
    </x:row>
    <x:row r="334">
      <x:c r="A334" s="14" t="str">
        <x:v>CASE-00329</x:v>
      </x:c>
      <x:c r="B334" s="14" t="str">
        <x:v>Installation</x:v>
      </x:c>
      <x:c r="C334" s="14" t="str">
        <x:v>Record mismatch</x:v>
      </x:c>
      <x:c r="D334" s="14" t="str">
        <x:v>Low</x:v>
      </x:c>
      <x:c r="E334" s="15" t="n">
        <x:v>46215.666666666664</x:v>
      </x:c>
      <x:c r="F334" s="15" t="n">
        <x:v>46229.666666666664</x:v>
      </x:c>
      <x:c r="G334" s="15" t="n">
        <x:v>46222.666666666664</x:v>
      </x:c>
      <x:c r="H334" s="14" t="n">
        <x:v>3</x:v>
      </x:c>
      <x:c r="I334" s="1" t="n">
        <x:f>IF(AND(E334&lt;Reporting!$B$4,OR(G334="",G334&gt;=Reporting!$B$4)),1,0)</x:f>
        <x:v>0</x:v>
      </x:c>
      <x:c r="J334" s="1" t="n">
        <x:f>IF(AND(I334=1,F334&lt;Reporting!$B$4),1,0)</x:f>
        <x:v>0</x:v>
      </x:c>
      <x:c r="K334" s="1" t="n">
        <x:f>IF(F334&lt;Reporting!$B$4,1,0)</x:f>
        <x:v>1</x:v>
      </x:c>
      <x:c r="L334" s="1" t="n">
        <x:f>IF(AND(K334=1,G334&lt;&gt;"",G334&lt;=F334),1,0)</x:f>
        <x:v>1</x:v>
      </x:c>
      <x:c r="M334" s="1" t="n">
        <x:f>IF(AND(G334&lt;&gt;"",G334&lt;Reporting!$B$4),1,0)</x:f>
        <x:v>1</x:v>
      </x:c>
      <x:c r="N334" s="16" t="n">
        <x:f>IF(M334=1,G334-E334,"")</x:f>
        <x:v>7</x:v>
      </x:c>
      <x:c r="O334" s="1" t="str">
        <x:f>IF(E334&gt;=Reporting!$B$4,"Outside cutoff",IF(M334=1,"Closed",IF(J334=1,"Overdue","Open - within SLA")))</x:f>
        <x:v>Closed</x:v>
      </x:c>
    </x:row>
    <x:row r="335">
      <x:c r="A335" s="14" t="str">
        <x:v>CASE-00330</x:v>
      </x:c>
      <x:c r="B335" s="14" t="str">
        <x:v>Customer Services</x:v>
      </x:c>
      <x:c r="C335" s="14" t="str">
        <x:v>Late review</x:v>
      </x:c>
      <x:c r="D335" s="14" t="str">
        <x:v>Medium</x:v>
      </x:c>
      <x:c r="E335" s="15" t="n">
        <x:v>46228.416666666664</x:v>
      </x:c>
      <x:c r="F335" s="15" t="n">
        <x:v>46235.416666666664</x:v>
      </x:c>
      <x:c r="G335" s="15" t="n">
        <x:v>46242.416666666664</x:v>
      </x:c>
      <x:c r="H335" s="14" t="n">
        <x:v>1</x:v>
      </x:c>
      <x:c r="I335" s="1" t="n">
        <x:f>IF(AND(E335&lt;Reporting!$B$4,OR(G335="",G335&gt;=Reporting!$B$4)),1,0)</x:f>
        <x:v>0</x:v>
      </x:c>
      <x:c r="J335" s="1" t="n">
        <x:f>IF(AND(I335=1,F335&lt;Reporting!$B$4),1,0)</x:f>
        <x:v>0</x:v>
      </x:c>
      <x:c r="K335" s="1" t="n">
        <x:f>IF(F335&lt;Reporting!$B$4,1,0)</x:f>
        <x:v>1</x:v>
      </x:c>
      <x:c r="L335" s="1" t="n">
        <x:f>IF(AND(K335=1,G335&lt;&gt;"",G335&lt;=F335),1,0)</x:f>
        <x:v>0</x:v>
      </x:c>
      <x:c r="M335" s="1" t="n">
        <x:f>IF(AND(G335&lt;&gt;"",G335&lt;Reporting!$B$4),1,0)</x:f>
        <x:v>1</x:v>
      </x:c>
      <x:c r="N335" s="16" t="n">
        <x:f>IF(M335=1,G335-E335,"")</x:f>
        <x:v>14</x:v>
      </x:c>
      <x:c r="O335" s="1" t="str">
        <x:f>IF(E335&gt;=Reporting!$B$4,"Outside cutoff",IF(M335=1,"Closed",IF(J335=1,"Overdue","Open - within SLA")))</x:f>
        <x:v>Closed</x:v>
      </x:c>
    </x:row>
    <x:row r="336">
      <x:c r="A336" s="14" t="str">
        <x:v>CASE-00331</x:v>
      </x:c>
      <x:c r="B336" s="14" t="str">
        <x:v>Installation</x:v>
      </x:c>
      <x:c r="C336" s="14" t="str">
        <x:v>Late review</x:v>
      </x:c>
      <x:c r="D336" s="14" t="str">
        <x:v>Low</x:v>
      </x:c>
      <x:c r="E336" s="15" t="n">
        <x:v>46223.333333333336</x:v>
      </x:c>
      <x:c r="F336" s="15" t="n">
        <x:v>46237.333333333336</x:v>
      </x:c>
      <x:c r="G336" s="15" t="n">
        <x:v>46230.333333333336</x:v>
      </x:c>
      <x:c r="H336" s="14" t="n">
        <x:v>3</x:v>
      </x:c>
      <x:c r="I336" s="1" t="n">
        <x:f>IF(AND(E336&lt;Reporting!$B$4,OR(G336="",G336&gt;=Reporting!$B$4)),1,0)</x:f>
        <x:v>0</x:v>
      </x:c>
      <x:c r="J336" s="1" t="n">
        <x:f>IF(AND(I336=1,F336&lt;Reporting!$B$4),1,0)</x:f>
        <x:v>0</x:v>
      </x:c>
      <x:c r="K336" s="1" t="n">
        <x:f>IF(F336&lt;Reporting!$B$4,1,0)</x:f>
        <x:v>1</x:v>
      </x:c>
      <x:c r="L336" s="1" t="n">
        <x:f>IF(AND(K336=1,G336&lt;&gt;"",G336&lt;=F336),1,0)</x:f>
        <x:v>1</x:v>
      </x:c>
      <x:c r="M336" s="1" t="n">
        <x:f>IF(AND(G336&lt;&gt;"",G336&lt;Reporting!$B$4),1,0)</x:f>
        <x:v>1</x:v>
      </x:c>
      <x:c r="N336" s="16" t="n">
        <x:f>IF(M336=1,G336-E336,"")</x:f>
        <x:v>7</x:v>
      </x:c>
      <x:c r="O336" s="1" t="str">
        <x:f>IF(E336&gt;=Reporting!$B$4,"Outside cutoff",IF(M336=1,"Closed",IF(J336=1,"Overdue","Open - within SLA")))</x:f>
        <x:v>Closed</x:v>
      </x:c>
    </x:row>
    <x:row r="337">
      <x:c r="A337" s="14" t="str">
        <x:v>CASE-00332</x:v>
      </x:c>
      <x:c r="B337" s="14" t="str">
        <x:v>Customer Services</x:v>
      </x:c>
      <x:c r="C337" s="14" t="str">
        <x:v>Process deviation</x:v>
      </x:c>
      <x:c r="D337" s="14" t="str">
        <x:v>Medium</x:v>
      </x:c>
      <x:c r="E337" s="15" t="n">
        <x:v>46216.541666666664</x:v>
      </x:c>
      <x:c r="F337" s="15" t="n">
        <x:v>46223.541666666664</x:v>
      </x:c>
      <x:c r="G337" s="15" t="n">
        <x:v>46219.541666666664</x:v>
      </x:c>
      <x:c r="H337" s="14" t="n">
        <x:v>1</x:v>
      </x:c>
      <x:c r="I337" s="1" t="n">
        <x:f>IF(AND(E337&lt;Reporting!$B$4,OR(G337="",G337&gt;=Reporting!$B$4)),1,0)</x:f>
        <x:v>0</x:v>
      </x:c>
      <x:c r="J337" s="1" t="n">
        <x:f>IF(AND(I337=1,F337&lt;Reporting!$B$4),1,0)</x:f>
        <x:v>0</x:v>
      </x:c>
      <x:c r="K337" s="1" t="n">
        <x:f>IF(F337&lt;Reporting!$B$4,1,0)</x:f>
        <x:v>1</x:v>
      </x:c>
      <x:c r="L337" s="1" t="n">
        <x:f>IF(AND(K337=1,G337&lt;&gt;"",G337&lt;=F337),1,0)</x:f>
        <x:v>1</x:v>
      </x:c>
      <x:c r="M337" s="1" t="n">
        <x:f>IF(AND(G337&lt;&gt;"",G337&lt;Reporting!$B$4),1,0)</x:f>
        <x:v>1</x:v>
      </x:c>
      <x:c r="N337" s="16" t="n">
        <x:f>IF(M337=1,G337-E337,"")</x:f>
        <x:v>3</x:v>
      </x:c>
      <x:c r="O337" s="1" t="str">
        <x:f>IF(E337&gt;=Reporting!$B$4,"Outside cutoff",IF(M337=1,"Closed",IF(J337=1,"Overdue","Open - within SLA")))</x:f>
        <x:v>Closed</x:v>
      </x:c>
    </x:row>
    <x:row r="338">
      <x:c r="A338" s="14" t="str">
        <x:v>CASE-00333</x:v>
      </x:c>
      <x:c r="B338" s="14" t="str">
        <x:v>Warehouse</x:v>
      </x:c>
      <x:c r="C338" s="14" t="str">
        <x:v>Missing evidence</x:v>
      </x:c>
      <x:c r="D338" s="14" t="str">
        <x:v>Medium</x:v>
      </x:c>
      <x:c r="E338" s="15" t="n">
        <x:v>46229.541666666664</x:v>
      </x:c>
      <x:c r="F338" s="15" t="n">
        <x:v>46236.541666666664</x:v>
      </x:c>
      <x:c r="G338" s="15" t="n">
        <x:v>46233.583333333336</x:v>
      </x:c>
      <x:c r="H338" s="14" t="n">
        <x:v>2</x:v>
      </x:c>
      <x:c r="I338" s="1" t="n">
        <x:f>IF(AND(E338&lt;Reporting!$B$4,OR(G338="",G338&gt;=Reporting!$B$4)),1,0)</x:f>
        <x:v>0</x:v>
      </x:c>
      <x:c r="J338" s="1" t="n">
        <x:f>IF(AND(I338=1,F338&lt;Reporting!$B$4),1,0)</x:f>
        <x:v>0</x:v>
      </x:c>
      <x:c r="K338" s="1" t="n">
        <x:f>IF(F338&lt;Reporting!$B$4,1,0)</x:f>
        <x:v>1</x:v>
      </x:c>
      <x:c r="L338" s="1" t="n">
        <x:f>IF(AND(K338=1,G338&lt;&gt;"",G338&lt;=F338),1,0)</x:f>
        <x:v>1</x:v>
      </x:c>
      <x:c r="M338" s="1" t="n">
        <x:f>IF(AND(G338&lt;&gt;"",G338&lt;Reporting!$B$4),1,0)</x:f>
        <x:v>1</x:v>
      </x:c>
      <x:c r="N338" s="16" t="n">
        <x:f>IF(M338=1,G338-E338,"")</x:f>
        <x:v>4.041666666671517</x:v>
      </x:c>
      <x:c r="O338" s="1" t="str">
        <x:f>IF(E338&gt;=Reporting!$B$4,"Outside cutoff",IF(M338=1,"Closed",IF(J338=1,"Overdue","Open - within SLA")))</x:f>
        <x:v>Closed</x:v>
      </x:c>
    </x:row>
    <x:row r="339">
      <x:c r="A339" s="14" t="str">
        <x:v>CASE-00334</x:v>
      </x:c>
      <x:c r="B339" s="14" t="str">
        <x:v>Customer Services</x:v>
      </x:c>
      <x:c r="C339" s="14" t="str">
        <x:v>Process deviation</x:v>
      </x:c>
      <x:c r="D339" s="14" t="str">
        <x:v>Medium</x:v>
      </x:c>
      <x:c r="E339" s="15" t="n">
        <x:v>46251.333333333336</x:v>
      </x:c>
      <x:c r="F339" s="15" t="n">
        <x:v>46258.333333333336</x:v>
      </x:c>
      <x:c r="G339" s="15" t="n">
        <x:v>46267.375</x:v>
      </x:c>
      <x:c r="H339" s="14" t="n">
        <x:v>1</x:v>
      </x:c>
      <x:c r="I339" s="1" t="n">
        <x:f>IF(AND(E339&lt;Reporting!$B$4,OR(G339="",G339&gt;=Reporting!$B$4)),1,0)</x:f>
        <x:v>0</x:v>
      </x:c>
      <x:c r="J339" s="1" t="n">
        <x:f>IF(AND(I339=1,F339&lt;Reporting!$B$4),1,0)</x:f>
        <x:v>0</x:v>
      </x:c>
      <x:c r="K339" s="1" t="n">
        <x:f>IF(F339&lt;Reporting!$B$4,1,0)</x:f>
        <x:v>1</x:v>
      </x:c>
      <x:c r="L339" s="1" t="n">
        <x:f>IF(AND(K339=1,G339&lt;&gt;"",G339&lt;=F339),1,0)</x:f>
        <x:v>0</x:v>
      </x:c>
      <x:c r="M339" s="1" t="n">
        <x:f>IF(AND(G339&lt;&gt;"",G339&lt;Reporting!$B$4),1,0)</x:f>
        <x:v>1</x:v>
      </x:c>
      <x:c r="N339" s="16" t="n">
        <x:f>IF(M339=1,G339-E339,"")</x:f>
        <x:v>16.04166666666424</x:v>
      </x:c>
      <x:c r="O339" s="1" t="str">
        <x:f>IF(E339&gt;=Reporting!$B$4,"Outside cutoff",IF(M339=1,"Closed",IF(J339=1,"Overdue","Open - within SLA")))</x:f>
        <x:v>Closed</x:v>
      </x:c>
    </x:row>
    <x:row r="340">
      <x:c r="A340" s="14" t="str">
        <x:v>CASE-00335</x:v>
      </x:c>
      <x:c r="B340" s="14" t="str">
        <x:v>Customer Services</x:v>
      </x:c>
      <x:c r="C340" s="14" t="str">
        <x:v>Process deviation</x:v>
      </x:c>
      <x:c r="D340" s="14" t="str">
        <x:v>Low</x:v>
      </x:c>
      <x:c r="E340" s="15" t="n">
        <x:v>46285.5</x:v>
      </x:c>
      <x:c r="F340" s="15" t="n">
        <x:v>46299.5</x:v>
      </x:c>
      <x:c r="G340" s="15"/>
      <x:c r="H340" s="14" t="n">
        <x:v>1</x:v>
      </x:c>
      <x:c r="I340" s="1" t="n">
        <x:f>IF(AND(E340&lt;Reporting!$B$4,OR(G340="",G340&gt;=Reporting!$B$4)),1,0)</x:f>
        <x:v>1</x:v>
      </x:c>
      <x:c r="J340" s="1" t="n">
        <x:f>IF(AND(I340=1,F340&lt;Reporting!$B$4),1,0)</x:f>
        <x:v>0</x:v>
      </x:c>
      <x:c r="K340" s="1" t="n">
        <x:f>IF(F340&lt;Reporting!$B$4,1,0)</x:f>
        <x:v>0</x:v>
      </x:c>
      <x:c r="L340" s="1" t="n">
        <x:f>IF(AND(K340=1,G340&lt;&gt;"",G340&lt;=F340),1,0)</x:f>
        <x:v>0</x:v>
      </x:c>
      <x:c r="M340" s="1" t="n">
        <x:f>IF(AND(G340&lt;&gt;"",G340&lt;Reporting!$B$4),1,0)</x:f>
        <x:v>0</x:v>
      </x:c>
      <x:c r="N340" s="16" t="str">
        <x:f>IF(M340=1,G340-E340,"")</x:f>
      </x:c>
      <x:c r="O340" s="1" t="str">
        <x:f>IF(E340&gt;=Reporting!$B$4,"Outside cutoff",IF(M340=1,"Closed",IF(J340=1,"Overdue","Open - within SLA")))</x:f>
        <x:v>Open - within SLA</x:v>
      </x:c>
    </x:row>
    <x:row r="341">
      <x:c r="A341" s="14" t="str">
        <x:v>CASE-00336</x:v>
      </x:c>
      <x:c r="B341" s="14" t="str">
        <x:v>Customer Services</x:v>
      </x:c>
      <x:c r="C341" s="14" t="str">
        <x:v>Missing evidence</x:v>
      </x:c>
      <x:c r="D341" s="14" t="str">
        <x:v>Low</x:v>
      </x:c>
      <x:c r="E341" s="15" t="n">
        <x:v>46230.583333333336</x:v>
      </x:c>
      <x:c r="F341" s="15" t="n">
        <x:v>46244.583333333336</x:v>
      </x:c>
      <x:c r="G341" s="15" t="n">
        <x:v>46234.666666666664</x:v>
      </x:c>
      <x:c r="H341" s="14" t="n">
        <x:v>1</x:v>
      </x:c>
      <x:c r="I341" s="1" t="n">
        <x:f>IF(AND(E341&lt;Reporting!$B$4,OR(G341="",G341&gt;=Reporting!$B$4)),1,0)</x:f>
        <x:v>0</x:v>
      </x:c>
      <x:c r="J341" s="1" t="n">
        <x:f>IF(AND(I341=1,F341&lt;Reporting!$B$4),1,0)</x:f>
        <x:v>0</x:v>
      </x:c>
      <x:c r="K341" s="1" t="n">
        <x:f>IF(F341&lt;Reporting!$B$4,1,0)</x:f>
        <x:v>1</x:v>
      </x:c>
      <x:c r="L341" s="1" t="n">
        <x:f>IF(AND(K341=1,G341&lt;&gt;"",G341&lt;=F341),1,0)</x:f>
        <x:v>1</x:v>
      </x:c>
      <x:c r="M341" s="1" t="n">
        <x:f>IF(AND(G341&lt;&gt;"",G341&lt;Reporting!$B$4),1,0)</x:f>
        <x:v>1</x:v>
      </x:c>
      <x:c r="N341" s="16" t="n">
        <x:f>IF(M341=1,G341-E341,"")</x:f>
        <x:v>4.083333333328483</x:v>
      </x:c>
      <x:c r="O341" s="1" t="str">
        <x:f>IF(E341&gt;=Reporting!$B$4,"Outside cutoff",IF(M341=1,"Closed",IF(J341=1,"Overdue","Open - within SLA")))</x:f>
        <x:v>Closed</x:v>
      </x:c>
    </x:row>
    <x:row r="342">
      <x:c r="A342" s="14" t="str">
        <x:v>CASE-00337</x:v>
      </x:c>
      <x:c r="B342" s="14" t="str">
        <x:v>Warehouse</x:v>
      </x:c>
      <x:c r="C342" s="14" t="str">
        <x:v>Late review</x:v>
      </x:c>
      <x:c r="D342" s="14" t="str">
        <x:v>Medium</x:v>
      </x:c>
      <x:c r="E342" s="15" t="n">
        <x:v>46279.416666666664</x:v>
      </x:c>
      <x:c r="F342" s="15" t="n">
        <x:v>46286.416666666664</x:v>
      </x:c>
      <x:c r="G342" s="15"/>
      <x:c r="H342" s="14" t="n">
        <x:v>2</x:v>
      </x:c>
      <x:c r="I342" s="1" t="n">
        <x:f>IF(AND(E342&lt;Reporting!$B$4,OR(G342="",G342&gt;=Reporting!$B$4)),1,0)</x:f>
        <x:v>1</x:v>
      </x:c>
      <x:c r="J342" s="1" t="n">
        <x:f>IF(AND(I342=1,F342&lt;Reporting!$B$4),1,0)</x:f>
        <x:v>0</x:v>
      </x:c>
      <x:c r="K342" s="1" t="n">
        <x:f>IF(F342&lt;Reporting!$B$4,1,0)</x:f>
        <x:v>0</x:v>
      </x:c>
      <x:c r="L342" s="1" t="n">
        <x:f>IF(AND(K342=1,G342&lt;&gt;"",G342&lt;=F342),1,0)</x:f>
        <x:v>0</x:v>
      </x:c>
      <x:c r="M342" s="1" t="n">
        <x:f>IF(AND(G342&lt;&gt;"",G342&lt;Reporting!$B$4),1,0)</x:f>
        <x:v>0</x:v>
      </x:c>
      <x:c r="N342" s="16" t="str">
        <x:f>IF(M342=1,G342-E342,"")</x:f>
      </x:c>
      <x:c r="O342" s="1" t="str">
        <x:f>IF(E342&gt;=Reporting!$B$4,"Outside cutoff",IF(M342=1,"Closed",IF(J342=1,"Overdue","Open - within SLA")))</x:f>
        <x:v>Open - within SLA</x:v>
      </x:c>
    </x:row>
    <x:row r="343">
      <x:c r="A343" s="14" t="str">
        <x:v>CASE-00338</x:v>
      </x:c>
      <x:c r="B343" s="14" t="str">
        <x:v>Customer Services</x:v>
      </x:c>
      <x:c r="C343" s="14" t="str">
        <x:v>Late review</x:v>
      </x:c>
      <x:c r="D343" s="14" t="str">
        <x:v>Medium</x:v>
      </x:c>
      <x:c r="E343" s="15" t="n">
        <x:v>46239.666666666664</x:v>
      </x:c>
      <x:c r="F343" s="15" t="n">
        <x:v>46246.666666666664</x:v>
      </x:c>
      <x:c r="G343" s="15" t="n">
        <x:v>46251.666666666664</x:v>
      </x:c>
      <x:c r="H343" s="14" t="n">
        <x:v>1</x:v>
      </x:c>
      <x:c r="I343" s="1" t="n">
        <x:f>IF(AND(E343&lt;Reporting!$B$4,OR(G343="",G343&gt;=Reporting!$B$4)),1,0)</x:f>
        <x:v>0</x:v>
      </x:c>
      <x:c r="J343" s="1" t="n">
        <x:f>IF(AND(I343=1,F343&lt;Reporting!$B$4),1,0)</x:f>
        <x:v>0</x:v>
      </x:c>
      <x:c r="K343" s="1" t="n">
        <x:f>IF(F343&lt;Reporting!$B$4,1,0)</x:f>
        <x:v>1</x:v>
      </x:c>
      <x:c r="L343" s="1" t="n">
        <x:f>IF(AND(K343=1,G343&lt;&gt;"",G343&lt;=F343),1,0)</x:f>
        <x:v>0</x:v>
      </x:c>
      <x:c r="M343" s="1" t="n">
        <x:f>IF(AND(G343&lt;&gt;"",G343&lt;Reporting!$B$4),1,0)</x:f>
        <x:v>1</x:v>
      </x:c>
      <x:c r="N343" s="16" t="n">
        <x:f>IF(M343=1,G343-E343,"")</x:f>
        <x:v>12</x:v>
      </x:c>
      <x:c r="O343" s="1" t="str">
        <x:f>IF(E343&gt;=Reporting!$B$4,"Outside cutoff",IF(M343=1,"Closed",IF(J343=1,"Overdue","Open - within SLA")))</x:f>
        <x:v>Closed</x:v>
      </x:c>
    </x:row>
    <x:row r="344">
      <x:c r="A344" s="14" t="str">
        <x:v>CASE-00339</x:v>
      </x:c>
      <x:c r="B344" s="14" t="str">
        <x:v>Customer Services</x:v>
      </x:c>
      <x:c r="C344" s="14" t="str">
        <x:v>Missing evidence</x:v>
      </x:c>
      <x:c r="D344" s="14" t="str">
        <x:v>Medium</x:v>
      </x:c>
      <x:c r="E344" s="15" t="n">
        <x:v>46216.583333333336</x:v>
      </x:c>
      <x:c r="F344" s="15" t="n">
        <x:v>46223.583333333336</x:v>
      </x:c>
      <x:c r="G344" s="15" t="n">
        <x:v>46219.625</x:v>
      </x:c>
      <x:c r="H344" s="14" t="n">
        <x:v>1</x:v>
      </x:c>
      <x:c r="I344" s="1" t="n">
        <x:f>IF(AND(E344&lt;Reporting!$B$4,OR(G344="",G344&gt;=Reporting!$B$4)),1,0)</x:f>
        <x:v>0</x:v>
      </x:c>
      <x:c r="J344" s="1" t="n">
        <x:f>IF(AND(I344=1,F344&lt;Reporting!$B$4),1,0)</x:f>
        <x:v>0</x:v>
      </x:c>
      <x:c r="K344" s="1" t="n">
        <x:f>IF(F344&lt;Reporting!$B$4,1,0)</x:f>
        <x:v>1</x:v>
      </x:c>
      <x:c r="L344" s="1" t="n">
        <x:f>IF(AND(K344=1,G344&lt;&gt;"",G344&lt;=F344),1,0)</x:f>
        <x:v>1</x:v>
      </x:c>
      <x:c r="M344" s="1" t="n">
        <x:f>IF(AND(G344&lt;&gt;"",G344&lt;Reporting!$B$4),1,0)</x:f>
        <x:v>1</x:v>
      </x:c>
      <x:c r="N344" s="16" t="n">
        <x:f>IF(M344=1,G344-E344,"")</x:f>
        <x:v>3.0416666666642413</x:v>
      </x:c>
      <x:c r="O344" s="1" t="str">
        <x:f>IF(E344&gt;=Reporting!$B$4,"Outside cutoff",IF(M344=1,"Closed",IF(J344=1,"Overdue","Open - within SLA")))</x:f>
        <x:v>Closed</x:v>
      </x:c>
    </x:row>
    <x:row r="345">
      <x:c r="A345" s="14" t="str">
        <x:v>CASE-00340</x:v>
      </x:c>
      <x:c r="B345" s="14" t="str">
        <x:v>Customer Services</x:v>
      </x:c>
      <x:c r="C345" s="14" t="str">
        <x:v>Process deviation</x:v>
      </x:c>
      <x:c r="D345" s="14" t="str">
        <x:v>Low</x:v>
      </x:c>
      <x:c r="E345" s="15" t="n">
        <x:v>46277.583333333336</x:v>
      </x:c>
      <x:c r="F345" s="15" t="n">
        <x:v>46291.583333333336</x:v>
      </x:c>
      <x:c r="G345" s="15" t="n">
        <x:v>46278.666666666664</x:v>
      </x:c>
      <x:c r="H345" s="14" t="n">
        <x:v>1</x:v>
      </x:c>
      <x:c r="I345" s="1" t="n">
        <x:f>IF(AND(E345&lt;Reporting!$B$4,OR(G345="",G345&gt;=Reporting!$B$4)),1,0)</x:f>
        <x:v>0</x:v>
      </x:c>
      <x:c r="J345" s="1" t="n">
        <x:f>IF(AND(I345=1,F345&lt;Reporting!$B$4),1,0)</x:f>
        <x:v>0</x:v>
      </x:c>
      <x:c r="K345" s="1" t="n">
        <x:f>IF(F345&lt;Reporting!$B$4,1,0)</x:f>
        <x:v>0</x:v>
      </x:c>
      <x:c r="L345" s="1" t="n">
        <x:f>IF(AND(K345=1,G345&lt;&gt;"",G345&lt;=F345),1,0)</x:f>
        <x:v>0</x:v>
      </x:c>
      <x:c r="M345" s="1" t="n">
        <x:f>IF(AND(G345&lt;&gt;"",G345&lt;Reporting!$B$4),1,0)</x:f>
        <x:v>1</x:v>
      </x:c>
      <x:c r="N345" s="16" t="n">
        <x:f>IF(M345=1,G345-E345,"")</x:f>
        <x:v>1.0833333333284827</x:v>
      </x:c>
      <x:c r="O345" s="1" t="str">
        <x:f>IF(E345&gt;=Reporting!$B$4,"Outside cutoff",IF(M345=1,"Closed",IF(J345=1,"Overdue","Open - within SLA")))</x:f>
        <x:v>Closed</x:v>
      </x:c>
    </x:row>
    <x:row r="346">
      <x:c r="A346" s="14" t="str">
        <x:v>CASE-00341</x:v>
      </x:c>
      <x:c r="B346" s="14" t="str">
        <x:v>Customer Services</x:v>
      </x:c>
      <x:c r="C346" s="14" t="str">
        <x:v>Process deviation</x:v>
      </x:c>
      <x:c r="D346" s="14" t="str">
        <x:v>High</x:v>
      </x:c>
      <x:c r="E346" s="15" t="n">
        <x:v>46223.666666666664</x:v>
      </x:c>
      <x:c r="F346" s="15" t="n">
        <x:v>46226.666666666664</x:v>
      </x:c>
      <x:c r="G346" s="15" t="n">
        <x:v>46229.708333333336</x:v>
      </x:c>
      <x:c r="H346" s="14" t="n">
        <x:v>1</x:v>
      </x:c>
      <x:c r="I346" s="1" t="n">
        <x:f>IF(AND(E346&lt;Reporting!$B$4,OR(G346="",G346&gt;=Reporting!$B$4)),1,0)</x:f>
        <x:v>0</x:v>
      </x:c>
      <x:c r="J346" s="1" t="n">
        <x:f>IF(AND(I346=1,F346&lt;Reporting!$B$4),1,0)</x:f>
        <x:v>0</x:v>
      </x:c>
      <x:c r="K346" s="1" t="n">
        <x:f>IF(F346&lt;Reporting!$B$4,1,0)</x:f>
        <x:v>1</x:v>
      </x:c>
      <x:c r="L346" s="1" t="n">
        <x:f>IF(AND(K346=1,G346&lt;&gt;"",G346&lt;=F346),1,0)</x:f>
        <x:v>0</x:v>
      </x:c>
      <x:c r="M346" s="1" t="n">
        <x:f>IF(AND(G346&lt;&gt;"",G346&lt;Reporting!$B$4),1,0)</x:f>
        <x:v>1</x:v>
      </x:c>
      <x:c r="N346" s="16" t="n">
        <x:f>IF(M346=1,G346-E346,"")</x:f>
        <x:v>6.041666666671517</x:v>
      </x:c>
      <x:c r="O346" s="1" t="str">
        <x:f>IF(E346&gt;=Reporting!$B$4,"Outside cutoff",IF(M346=1,"Closed",IF(J346=1,"Overdue","Open - within SLA")))</x:f>
        <x:v>Closed</x:v>
      </x:c>
    </x:row>
    <x:row r="347">
      <x:c r="A347" s="14" t="str">
        <x:v>CASE-00342</x:v>
      </x:c>
      <x:c r="B347" s="14" t="str">
        <x:v>Customer Services</x:v>
      </x:c>
      <x:c r="C347" s="14" t="str">
        <x:v>Late review</x:v>
      </x:c>
      <x:c r="D347" s="14" t="str">
        <x:v>Low</x:v>
      </x:c>
      <x:c r="E347" s="15" t="n">
        <x:v>46264.375</x:v>
      </x:c>
      <x:c r="F347" s="15" t="n">
        <x:v>46278.375</x:v>
      </x:c>
      <x:c r="G347" s="15" t="n">
        <x:v>46277.416666666664</x:v>
      </x:c>
      <x:c r="H347" s="14" t="n">
        <x:v>1</x:v>
      </x:c>
      <x:c r="I347" s="1" t="n">
        <x:f>IF(AND(E347&lt;Reporting!$B$4,OR(G347="",G347&gt;=Reporting!$B$4)),1,0)</x:f>
        <x:v>0</x:v>
      </x:c>
      <x:c r="J347" s="1" t="n">
        <x:f>IF(AND(I347=1,F347&lt;Reporting!$B$4),1,0)</x:f>
        <x:v>0</x:v>
      </x:c>
      <x:c r="K347" s="1" t="n">
        <x:f>IF(F347&lt;Reporting!$B$4,1,0)</x:f>
        <x:v>1</x:v>
      </x:c>
      <x:c r="L347" s="1" t="n">
        <x:f>IF(AND(K347=1,G347&lt;&gt;"",G347&lt;=F347),1,0)</x:f>
        <x:v>1</x:v>
      </x:c>
      <x:c r="M347" s="1" t="n">
        <x:f>IF(AND(G347&lt;&gt;"",G347&lt;Reporting!$B$4),1,0)</x:f>
        <x:v>1</x:v>
      </x:c>
      <x:c r="N347" s="16" t="n">
        <x:f>IF(M347=1,G347-E347,"")</x:f>
        <x:v>13.041666666664241</x:v>
      </x:c>
      <x:c r="O347" s="1" t="str">
        <x:f>IF(E347&gt;=Reporting!$B$4,"Outside cutoff",IF(M347=1,"Closed",IF(J347=1,"Overdue","Open - within SLA")))</x:f>
        <x:v>Closed</x:v>
      </x:c>
    </x:row>
    <x:row r="348">
      <x:c r="A348" s="14" t="str">
        <x:v>CASE-00343</x:v>
      </x:c>
      <x:c r="B348" s="14" t="str">
        <x:v>Installation</x:v>
      </x:c>
      <x:c r="C348" s="14" t="str">
        <x:v>Record mismatch</x:v>
      </x:c>
      <x:c r="D348" s="14" t="str">
        <x:v>Medium</x:v>
      </x:c>
      <x:c r="E348" s="15" t="n">
        <x:v>46247.333333333336</x:v>
      </x:c>
      <x:c r="F348" s="15" t="n">
        <x:v>46254.333333333336</x:v>
      </x:c>
      <x:c r="G348" s="15" t="n">
        <x:v>46248.416666666664</x:v>
      </x:c>
      <x:c r="H348" s="14" t="n">
        <x:v>3</x:v>
      </x:c>
      <x:c r="I348" s="1" t="n">
        <x:f>IF(AND(E348&lt;Reporting!$B$4,OR(G348="",G348&gt;=Reporting!$B$4)),1,0)</x:f>
        <x:v>0</x:v>
      </x:c>
      <x:c r="J348" s="1" t="n">
        <x:f>IF(AND(I348=1,F348&lt;Reporting!$B$4),1,0)</x:f>
        <x:v>0</x:v>
      </x:c>
      <x:c r="K348" s="1" t="n">
        <x:f>IF(F348&lt;Reporting!$B$4,1,0)</x:f>
        <x:v>1</x:v>
      </x:c>
      <x:c r="L348" s="1" t="n">
        <x:f>IF(AND(K348=1,G348&lt;&gt;"",G348&lt;=F348),1,0)</x:f>
        <x:v>1</x:v>
      </x:c>
      <x:c r="M348" s="1" t="n">
        <x:f>IF(AND(G348&lt;&gt;"",G348&lt;Reporting!$B$4),1,0)</x:f>
        <x:v>1</x:v>
      </x:c>
      <x:c r="N348" s="16" t="n">
        <x:f>IF(M348=1,G348-E348,"")</x:f>
        <x:v>1.0833333333284827</x:v>
      </x:c>
      <x:c r="O348" s="1" t="str">
        <x:f>IF(E348&gt;=Reporting!$B$4,"Outside cutoff",IF(M348=1,"Closed",IF(J348=1,"Overdue","Open - within SLA")))</x:f>
        <x:v>Closed</x:v>
      </x:c>
    </x:row>
    <x:row r="349">
      <x:c r="A349" s="14" t="str">
        <x:v>CASE-00344</x:v>
      </x:c>
      <x:c r="B349" s="14" t="str">
        <x:v>Warehouse</x:v>
      </x:c>
      <x:c r="C349" s="14" t="str">
        <x:v>Record mismatch</x:v>
      </x:c>
      <x:c r="D349" s="14" t="str">
        <x:v>Medium</x:v>
      </x:c>
      <x:c r="E349" s="15" t="n">
        <x:v>46240.541666666664</x:v>
      </x:c>
      <x:c r="F349" s="15" t="n">
        <x:v>46247.541666666664</x:v>
      </x:c>
      <x:c r="G349" s="15" t="n">
        <x:v>46250.583333333336</x:v>
      </x:c>
      <x:c r="H349" s="14" t="n">
        <x:v>2</x:v>
      </x:c>
      <x:c r="I349" s="1" t="n">
        <x:f>IF(AND(E349&lt;Reporting!$B$4,OR(G349="",G349&gt;=Reporting!$B$4)),1,0)</x:f>
        <x:v>0</x:v>
      </x:c>
      <x:c r="J349" s="1" t="n">
        <x:f>IF(AND(I349=1,F349&lt;Reporting!$B$4),1,0)</x:f>
        <x:v>0</x:v>
      </x:c>
      <x:c r="K349" s="1" t="n">
        <x:f>IF(F349&lt;Reporting!$B$4,1,0)</x:f>
        <x:v>1</x:v>
      </x:c>
      <x:c r="L349" s="1" t="n">
        <x:f>IF(AND(K349=1,G349&lt;&gt;"",G349&lt;=F349),1,0)</x:f>
        <x:v>0</x:v>
      </x:c>
      <x:c r="M349" s="1" t="n">
        <x:f>IF(AND(G349&lt;&gt;"",G349&lt;Reporting!$B$4),1,0)</x:f>
        <x:v>1</x:v>
      </x:c>
      <x:c r="N349" s="16" t="n">
        <x:f>IF(M349=1,G349-E349,"")</x:f>
        <x:v>10.041666666671517</x:v>
      </x:c>
      <x:c r="O349" s="1" t="str">
        <x:f>IF(E349&gt;=Reporting!$B$4,"Outside cutoff",IF(M349=1,"Closed",IF(J349=1,"Overdue","Open - within SLA")))</x:f>
        <x:v>Closed</x:v>
      </x:c>
    </x:row>
    <x:row r="350">
      <x:c r="A350" s="14" t="str">
        <x:v>CASE-00345</x:v>
      </x:c>
      <x:c r="B350" s="14" t="str">
        <x:v>Installation</x:v>
      </x:c>
      <x:c r="C350" s="14" t="str">
        <x:v>Late review</x:v>
      </x:c>
      <x:c r="D350" s="14" t="str">
        <x:v>High</x:v>
      </x:c>
      <x:c r="E350" s="15" t="n">
        <x:v>46269.625</x:v>
      </x:c>
      <x:c r="F350" s="15" t="n">
        <x:v>46272.625</x:v>
      </x:c>
      <x:c r="G350" s="15" t="n">
        <x:v>46279.666666666664</x:v>
      </x:c>
      <x:c r="H350" s="14" t="n">
        <x:v>3</x:v>
      </x:c>
      <x:c r="I350" s="1" t="n">
        <x:f>IF(AND(E350&lt;Reporting!$B$4,OR(G350="",G350&gt;=Reporting!$B$4)),1,0)</x:f>
        <x:v>0</x:v>
      </x:c>
      <x:c r="J350" s="1" t="n">
        <x:f>IF(AND(I350=1,F350&lt;Reporting!$B$4),1,0)</x:f>
        <x:v>0</x:v>
      </x:c>
      <x:c r="K350" s="1" t="n">
        <x:f>IF(F350&lt;Reporting!$B$4,1,0)</x:f>
        <x:v>1</x:v>
      </x:c>
      <x:c r="L350" s="1" t="n">
        <x:f>IF(AND(K350=1,G350&lt;&gt;"",G350&lt;=F350),1,0)</x:f>
        <x:v>0</x:v>
      </x:c>
      <x:c r="M350" s="1" t="n">
        <x:f>IF(AND(G350&lt;&gt;"",G350&lt;Reporting!$B$4),1,0)</x:f>
        <x:v>1</x:v>
      </x:c>
      <x:c r="N350" s="16" t="n">
        <x:f>IF(M350=1,G350-E350,"")</x:f>
        <x:v>10.041666666664241</x:v>
      </x:c>
      <x:c r="O350" s="1" t="str">
        <x:f>IF(E350&gt;=Reporting!$B$4,"Outside cutoff",IF(M350=1,"Closed",IF(J350=1,"Overdue","Open - within SLA")))</x:f>
        <x:v>Closed</x:v>
      </x:c>
    </x:row>
    <x:row r="351">
      <x:c r="A351" s="14" t="str">
        <x:v>CASE-00346</x:v>
      </x:c>
      <x:c r="B351" s="14" t="str">
        <x:v>Customer Services</x:v>
      </x:c>
      <x:c r="C351" s="14" t="str">
        <x:v>Record mismatch</x:v>
      </x:c>
      <x:c r="D351" s="14" t="str">
        <x:v>Low</x:v>
      </x:c>
      <x:c r="E351" s="15" t="n">
        <x:v>46240.375</x:v>
      </x:c>
      <x:c r="F351" s="15" t="n">
        <x:v>46254.375</x:v>
      </x:c>
      <x:c r="G351" s="15" t="n">
        <x:v>46248.416666666664</x:v>
      </x:c>
      <x:c r="H351" s="14" t="n">
        <x:v>1</x:v>
      </x:c>
      <x:c r="I351" s="1" t="n">
        <x:f>IF(AND(E351&lt;Reporting!$B$4,OR(G351="",G351&gt;=Reporting!$B$4)),1,0)</x:f>
        <x:v>0</x:v>
      </x:c>
      <x:c r="J351" s="1" t="n">
        <x:f>IF(AND(I351=1,F351&lt;Reporting!$B$4),1,0)</x:f>
        <x:v>0</x:v>
      </x:c>
      <x:c r="K351" s="1" t="n">
        <x:f>IF(F351&lt;Reporting!$B$4,1,0)</x:f>
        <x:v>1</x:v>
      </x:c>
      <x:c r="L351" s="1" t="n">
        <x:f>IF(AND(K351=1,G351&lt;&gt;"",G351&lt;=F351),1,0)</x:f>
        <x:v>1</x:v>
      </x:c>
      <x:c r="M351" s="1" t="n">
        <x:f>IF(AND(G351&lt;&gt;"",G351&lt;Reporting!$B$4),1,0)</x:f>
        <x:v>1</x:v>
      </x:c>
      <x:c r="N351" s="16" t="n">
        <x:f>IF(M351=1,G351-E351,"")</x:f>
        <x:v>8.041666666664241</x:v>
      </x:c>
      <x:c r="O351" s="1" t="str">
        <x:f>IF(E351&gt;=Reporting!$B$4,"Outside cutoff",IF(M351=1,"Closed",IF(J351=1,"Overdue","Open - within SLA")))</x:f>
        <x:v>Closed</x:v>
      </x:c>
    </x:row>
    <x:row r="352">
      <x:c r="A352" s="14" t="str">
        <x:v>CASE-00347</x:v>
      </x:c>
      <x:c r="B352" s="14" t="str">
        <x:v>Customer Services</x:v>
      </x:c>
      <x:c r="C352" s="14" t="str">
        <x:v>Process deviation</x:v>
      </x:c>
      <x:c r="D352" s="14" t="str">
        <x:v>Medium</x:v>
      </x:c>
      <x:c r="E352" s="15" t="n">
        <x:v>46254.333333333336</x:v>
      </x:c>
      <x:c r="F352" s="15" t="n">
        <x:v>46261.333333333336</x:v>
      </x:c>
      <x:c r="G352" s="15" t="n">
        <x:v>46263.416666666664</x:v>
      </x:c>
      <x:c r="H352" s="14" t="n">
        <x:v>1</x:v>
      </x:c>
      <x:c r="I352" s="1" t="n">
        <x:f>IF(AND(E352&lt;Reporting!$B$4,OR(G352="",G352&gt;=Reporting!$B$4)),1,0)</x:f>
        <x:v>0</x:v>
      </x:c>
      <x:c r="J352" s="1" t="n">
        <x:f>IF(AND(I352=1,F352&lt;Reporting!$B$4),1,0)</x:f>
        <x:v>0</x:v>
      </x:c>
      <x:c r="K352" s="1" t="n">
        <x:f>IF(F352&lt;Reporting!$B$4,1,0)</x:f>
        <x:v>1</x:v>
      </x:c>
      <x:c r="L352" s="1" t="n">
        <x:f>IF(AND(K352=1,G352&lt;&gt;"",G352&lt;=F352),1,0)</x:f>
        <x:v>0</x:v>
      </x:c>
      <x:c r="M352" s="1" t="n">
        <x:f>IF(AND(G352&lt;&gt;"",G352&lt;Reporting!$B$4),1,0)</x:f>
        <x:v>1</x:v>
      </x:c>
      <x:c r="N352" s="16" t="n">
        <x:f>IF(M352=1,G352-E352,"")</x:f>
        <x:v>9.083333333328483</x:v>
      </x:c>
      <x:c r="O352" s="1" t="str">
        <x:f>IF(E352&gt;=Reporting!$B$4,"Outside cutoff",IF(M352=1,"Closed",IF(J352=1,"Overdue","Open - within SLA")))</x:f>
        <x:v>Closed</x:v>
      </x:c>
    </x:row>
    <x:row r="353">
      <x:c r="A353" s="14" t="str">
        <x:v>CASE-00348</x:v>
      </x:c>
      <x:c r="B353" s="14" t="str">
        <x:v>Customer Services</x:v>
      </x:c>
      <x:c r="C353" s="14" t="str">
        <x:v>Record mismatch</x:v>
      </x:c>
      <x:c r="D353" s="14" t="str">
        <x:v>Medium</x:v>
      </x:c>
      <x:c r="E353" s="15" t="n">
        <x:v>46206.5</x:v>
      </x:c>
      <x:c r="F353" s="15" t="n">
        <x:v>46213.5</x:v>
      </x:c>
      <x:c r="G353" s="15"/>
      <x:c r="H353" s="14" t="n">
        <x:v>1</x:v>
      </x:c>
      <x:c r="I353" s="1" t="n">
        <x:f>IF(AND(E353&lt;Reporting!$B$4,OR(G353="",G353&gt;=Reporting!$B$4)),1,0)</x:f>
        <x:v>1</x:v>
      </x:c>
      <x:c r="J353" s="1" t="n">
        <x:f>IF(AND(I353=1,F353&lt;Reporting!$B$4),1,0)</x:f>
        <x:v>1</x:v>
      </x:c>
      <x:c r="K353" s="1" t="n">
        <x:f>IF(F353&lt;Reporting!$B$4,1,0)</x:f>
        <x:v>1</x:v>
      </x:c>
      <x:c r="L353" s="1" t="n">
        <x:f>IF(AND(K353=1,G353&lt;&gt;"",G353&lt;=F353),1,0)</x:f>
        <x:v>0</x:v>
      </x:c>
      <x:c r="M353" s="1" t="n">
        <x:f>IF(AND(G353&lt;&gt;"",G353&lt;Reporting!$B$4),1,0)</x:f>
        <x:v>0</x:v>
      </x:c>
      <x:c r="N353" s="16" t="str">
        <x:f>IF(M353=1,G353-E353,"")</x:f>
      </x:c>
      <x:c r="O353" s="1" t="str">
        <x:f>IF(E353&gt;=Reporting!$B$4,"Outside cutoff",IF(M353=1,"Closed",IF(J353=1,"Overdue","Open - within SLA")))</x:f>
        <x:v>Overdue</x:v>
      </x:c>
    </x:row>
    <x:row r="354">
      <x:c r="A354" s="14" t="str">
        <x:v>CASE-00349</x:v>
      </x:c>
      <x:c r="B354" s="14" t="str">
        <x:v>Installation</x:v>
      </x:c>
      <x:c r="C354" s="14" t="str">
        <x:v>Record mismatch</x:v>
      </x:c>
      <x:c r="D354" s="14" t="str">
        <x:v>Low</x:v>
      </x:c>
      <x:c r="E354" s="15" t="n">
        <x:v>46256.541666666664</x:v>
      </x:c>
      <x:c r="F354" s="15" t="n">
        <x:v>46270.541666666664</x:v>
      </x:c>
      <x:c r="G354" s="15" t="n">
        <x:v>46273.583333333336</x:v>
      </x:c>
      <x:c r="H354" s="14" t="n">
        <x:v>3</x:v>
      </x:c>
      <x:c r="I354" s="1" t="n">
        <x:f>IF(AND(E354&lt;Reporting!$B$4,OR(G354="",G354&gt;=Reporting!$B$4)),1,0)</x:f>
        <x:v>0</x:v>
      </x:c>
      <x:c r="J354" s="1" t="n">
        <x:f>IF(AND(I354=1,F354&lt;Reporting!$B$4),1,0)</x:f>
        <x:v>0</x:v>
      </x:c>
      <x:c r="K354" s="1" t="n">
        <x:f>IF(F354&lt;Reporting!$B$4,1,0)</x:f>
        <x:v>1</x:v>
      </x:c>
      <x:c r="L354" s="1" t="n">
        <x:f>IF(AND(K354=1,G354&lt;&gt;"",G354&lt;=F354),1,0)</x:f>
        <x:v>0</x:v>
      </x:c>
      <x:c r="M354" s="1" t="n">
        <x:f>IF(AND(G354&lt;&gt;"",G354&lt;Reporting!$B$4),1,0)</x:f>
        <x:v>1</x:v>
      </x:c>
      <x:c r="N354" s="16" t="n">
        <x:f>IF(M354=1,G354-E354,"")</x:f>
        <x:v>17.041666666671517</x:v>
      </x:c>
      <x:c r="O354" s="1" t="str">
        <x:f>IF(E354&gt;=Reporting!$B$4,"Outside cutoff",IF(M354=1,"Closed",IF(J354=1,"Overdue","Open - within SLA")))</x:f>
        <x:v>Closed</x:v>
      </x:c>
    </x:row>
    <x:row r="355">
      <x:c r="A355" s="14" t="str">
        <x:v>CASE-00350</x:v>
      </x:c>
      <x:c r="B355" s="14" t="str">
        <x:v>Customer Services</x:v>
      </x:c>
      <x:c r="C355" s="14" t="str">
        <x:v>Missing evidence</x:v>
      </x:c>
      <x:c r="D355" s="14" t="str">
        <x:v>Medium</x:v>
      </x:c>
      <x:c r="E355" s="15" t="n">
        <x:v>46235.583333333336</x:v>
      </x:c>
      <x:c r="F355" s="15" t="n">
        <x:v>46242.583333333336</x:v>
      </x:c>
      <x:c r="G355" s="15" t="n">
        <x:v>46240.583333333336</x:v>
      </x:c>
      <x:c r="H355" s="14" t="n">
        <x:v>1</x:v>
      </x:c>
      <x:c r="I355" s="1" t="n">
        <x:f>IF(AND(E355&lt;Reporting!$B$4,OR(G355="",G355&gt;=Reporting!$B$4)),1,0)</x:f>
        <x:v>0</x:v>
      </x:c>
      <x:c r="J355" s="1" t="n">
        <x:f>IF(AND(I355=1,F355&lt;Reporting!$B$4),1,0)</x:f>
        <x:v>0</x:v>
      </x:c>
      <x:c r="K355" s="1" t="n">
        <x:f>IF(F355&lt;Reporting!$B$4,1,0)</x:f>
        <x:v>1</x:v>
      </x:c>
      <x:c r="L355" s="1" t="n">
        <x:f>IF(AND(K355=1,G355&lt;&gt;"",G355&lt;=F355),1,0)</x:f>
        <x:v>1</x:v>
      </x:c>
      <x:c r="M355" s="1" t="n">
        <x:f>IF(AND(G355&lt;&gt;"",G355&lt;Reporting!$B$4),1,0)</x:f>
        <x:v>1</x:v>
      </x:c>
      <x:c r="N355" s="16" t="n">
        <x:f>IF(M355=1,G355-E355,"")</x:f>
        <x:v>5</x:v>
      </x:c>
      <x:c r="O355" s="1" t="str">
        <x:f>IF(E355&gt;=Reporting!$B$4,"Outside cutoff",IF(M355=1,"Closed",IF(J355=1,"Overdue","Open - within SLA")))</x:f>
        <x:v>Closed</x:v>
      </x:c>
    </x:row>
    <x:row r="356">
      <x:c r="A356" s="14" t="str">
        <x:v>CASE-00351</x:v>
      </x:c>
      <x:c r="B356" s="14" t="str">
        <x:v>Warehouse</x:v>
      </x:c>
      <x:c r="C356" s="14" t="str">
        <x:v>Process deviation</x:v>
      </x:c>
      <x:c r="D356" s="14" t="str">
        <x:v>High</x:v>
      </x:c>
      <x:c r="E356" s="15" t="n">
        <x:v>46284.416666666664</x:v>
      </x:c>
      <x:c r="F356" s="15" t="n">
        <x:v>46287.416666666664</x:v>
      </x:c>
      <x:c r="G356" s="15"/>
      <x:c r="H356" s="14" t="n">
        <x:v>2</x:v>
      </x:c>
      <x:c r="I356" s="1" t="n">
        <x:f>IF(AND(E356&lt;Reporting!$B$4,OR(G356="",G356&gt;=Reporting!$B$4)),1,0)</x:f>
        <x:v>1</x:v>
      </x:c>
      <x:c r="J356" s="1" t="n">
        <x:f>IF(AND(I356=1,F356&lt;Reporting!$B$4),1,0)</x:f>
        <x:v>0</x:v>
      </x:c>
      <x:c r="K356" s="1" t="n">
        <x:f>IF(F356&lt;Reporting!$B$4,1,0)</x:f>
        <x:v>0</x:v>
      </x:c>
      <x:c r="L356" s="1" t="n">
        <x:f>IF(AND(K356=1,G356&lt;&gt;"",G356&lt;=F356),1,0)</x:f>
        <x:v>0</x:v>
      </x:c>
      <x:c r="M356" s="1" t="n">
        <x:f>IF(AND(G356&lt;&gt;"",G356&lt;Reporting!$B$4),1,0)</x:f>
        <x:v>0</x:v>
      </x:c>
      <x:c r="N356" s="16" t="str">
        <x:f>IF(M356=1,G356-E356,"")</x:f>
      </x:c>
      <x:c r="O356" s="1" t="str">
        <x:f>IF(E356&gt;=Reporting!$B$4,"Outside cutoff",IF(M356=1,"Closed",IF(J356=1,"Overdue","Open - within SLA")))</x:f>
        <x:v>Open - within SLA</x:v>
      </x:c>
    </x:row>
    <x:row r="357">
      <x:c r="A357" s="14" t="str">
        <x:v>CASE-00352</x:v>
      </x:c>
      <x:c r="B357" s="14" t="str">
        <x:v>Warehouse</x:v>
      </x:c>
      <x:c r="C357" s="14" t="str">
        <x:v>Record mismatch</x:v>
      </x:c>
      <x:c r="D357" s="14" t="str">
        <x:v>Medium</x:v>
      </x:c>
      <x:c r="E357" s="15" t="n">
        <x:v>46243.333333333336</x:v>
      </x:c>
      <x:c r="F357" s="15" t="n">
        <x:v>46250.333333333336</x:v>
      </x:c>
      <x:c r="G357" s="15" t="n">
        <x:v>46245.375</x:v>
      </x:c>
      <x:c r="H357" s="14" t="n">
        <x:v>2</x:v>
      </x:c>
      <x:c r="I357" s="1" t="n">
        <x:f>IF(AND(E357&lt;Reporting!$B$4,OR(G357="",G357&gt;=Reporting!$B$4)),1,0)</x:f>
        <x:v>0</x:v>
      </x:c>
      <x:c r="J357" s="1" t="n">
        <x:f>IF(AND(I357=1,F357&lt;Reporting!$B$4),1,0)</x:f>
        <x:v>0</x:v>
      </x:c>
      <x:c r="K357" s="1" t="n">
        <x:f>IF(F357&lt;Reporting!$B$4,1,0)</x:f>
        <x:v>1</x:v>
      </x:c>
      <x:c r="L357" s="1" t="n">
        <x:f>IF(AND(K357=1,G357&lt;&gt;"",G357&lt;=F357),1,0)</x:f>
        <x:v>1</x:v>
      </x:c>
      <x:c r="M357" s="1" t="n">
        <x:f>IF(AND(G357&lt;&gt;"",G357&lt;Reporting!$B$4),1,0)</x:f>
        <x:v>1</x:v>
      </x:c>
      <x:c r="N357" s="16" t="n">
        <x:f>IF(M357=1,G357-E357,"")</x:f>
        <x:v>2.0416666666642413</x:v>
      </x:c>
      <x:c r="O357" s="1" t="str">
        <x:f>IF(E357&gt;=Reporting!$B$4,"Outside cutoff",IF(M357=1,"Closed",IF(J357=1,"Overdue","Open - within SLA")))</x:f>
        <x:v>Closed</x:v>
      </x:c>
    </x:row>
    <x:row r="358">
      <x:c r="A358" s="14" t="str">
        <x:v>CASE-00353</x:v>
      </x:c>
      <x:c r="B358" s="14" t="str">
        <x:v>Warehouse</x:v>
      </x:c>
      <x:c r="C358" s="14" t="str">
        <x:v>Late review</x:v>
      </x:c>
      <x:c r="D358" s="14" t="str">
        <x:v>Medium</x:v>
      </x:c>
      <x:c r="E358" s="15" t="n">
        <x:v>46253.416666666664</x:v>
      </x:c>
      <x:c r="F358" s="15" t="n">
        <x:v>46260.416666666664</x:v>
      </x:c>
      <x:c r="G358" s="15" t="n">
        <x:v>46278.416666666664</x:v>
      </x:c>
      <x:c r="H358" s="14" t="n">
        <x:v>2</x:v>
      </x:c>
      <x:c r="I358" s="1" t="n">
        <x:f>IF(AND(E358&lt;Reporting!$B$4,OR(G358="",G358&gt;=Reporting!$B$4)),1,0)</x:f>
        <x:v>0</x:v>
      </x:c>
      <x:c r="J358" s="1" t="n">
        <x:f>IF(AND(I358=1,F358&lt;Reporting!$B$4),1,0)</x:f>
        <x:v>0</x:v>
      </x:c>
      <x:c r="K358" s="1" t="n">
        <x:f>IF(F358&lt;Reporting!$B$4,1,0)</x:f>
        <x:v>1</x:v>
      </x:c>
      <x:c r="L358" s="1" t="n">
        <x:f>IF(AND(K358=1,G358&lt;&gt;"",G358&lt;=F358),1,0)</x:f>
        <x:v>0</x:v>
      </x:c>
      <x:c r="M358" s="1" t="n">
        <x:f>IF(AND(G358&lt;&gt;"",G358&lt;Reporting!$B$4),1,0)</x:f>
        <x:v>1</x:v>
      </x:c>
      <x:c r="N358" s="16" t="n">
        <x:f>IF(M358=1,G358-E358,"")</x:f>
        <x:v>25</x:v>
      </x:c>
      <x:c r="O358" s="1" t="str">
        <x:f>IF(E358&gt;=Reporting!$B$4,"Outside cutoff",IF(M358=1,"Closed",IF(J358=1,"Overdue","Open - within SLA")))</x:f>
        <x:v>Closed</x:v>
      </x:c>
    </x:row>
    <x:row r="359">
      <x:c r="A359" s="14" t="str">
        <x:v>CASE-00354</x:v>
      </x:c>
      <x:c r="B359" s="14" t="str">
        <x:v>Installation</x:v>
      </x:c>
      <x:c r="C359" s="14" t="str">
        <x:v>Late review</x:v>
      </x:c>
      <x:c r="D359" s="14" t="str">
        <x:v>Medium</x:v>
      </x:c>
      <x:c r="E359" s="15" t="n">
        <x:v>46248.458333333336</x:v>
      </x:c>
      <x:c r="F359" s="15" t="n">
        <x:v>46255.458333333336</x:v>
      </x:c>
      <x:c r="G359" s="15" t="n">
        <x:v>46266.541666666664</x:v>
      </x:c>
      <x:c r="H359" s="14" t="n">
        <x:v>3</x:v>
      </x:c>
      <x:c r="I359" s="1" t="n">
        <x:f>IF(AND(E359&lt;Reporting!$B$4,OR(G359="",G359&gt;=Reporting!$B$4)),1,0)</x:f>
        <x:v>0</x:v>
      </x:c>
      <x:c r="J359" s="1" t="n">
        <x:f>IF(AND(I359=1,F359&lt;Reporting!$B$4),1,0)</x:f>
        <x:v>0</x:v>
      </x:c>
      <x:c r="K359" s="1" t="n">
        <x:f>IF(F359&lt;Reporting!$B$4,1,0)</x:f>
        <x:v>1</x:v>
      </x:c>
      <x:c r="L359" s="1" t="n">
        <x:f>IF(AND(K359=1,G359&lt;&gt;"",G359&lt;=F359),1,0)</x:f>
        <x:v>0</x:v>
      </x:c>
      <x:c r="M359" s="1" t="n">
        <x:f>IF(AND(G359&lt;&gt;"",G359&lt;Reporting!$B$4),1,0)</x:f>
        <x:v>1</x:v>
      </x:c>
      <x:c r="N359" s="16" t="n">
        <x:f>IF(M359=1,G359-E359,"")</x:f>
        <x:v>18.083333333328483</x:v>
      </x:c>
      <x:c r="O359" s="1" t="str">
        <x:f>IF(E359&gt;=Reporting!$B$4,"Outside cutoff",IF(M359=1,"Closed",IF(J359=1,"Overdue","Open - within SLA")))</x:f>
        <x:v>Closed</x:v>
      </x:c>
    </x:row>
    <x:row r="360">
      <x:c r="A360" s="14" t="str">
        <x:v>CASE-00355</x:v>
      </x:c>
      <x:c r="B360" s="14" t="str">
        <x:v>Warehouse</x:v>
      </x:c>
      <x:c r="C360" s="14" t="str">
        <x:v>Process deviation</x:v>
      </x:c>
      <x:c r="D360" s="14" t="str">
        <x:v>Medium</x:v>
      </x:c>
      <x:c r="E360" s="15" t="n">
        <x:v>46283.541666666664</x:v>
      </x:c>
      <x:c r="F360" s="15" t="n">
        <x:v>46290.541666666664</x:v>
      </x:c>
      <x:c r="G360" s="15"/>
      <x:c r="H360" s="14" t="n">
        <x:v>2</x:v>
      </x:c>
      <x:c r="I360" s="1" t="n">
        <x:f>IF(AND(E360&lt;Reporting!$B$4,OR(G360="",G360&gt;=Reporting!$B$4)),1,0)</x:f>
        <x:v>1</x:v>
      </x:c>
      <x:c r="J360" s="1" t="n">
        <x:f>IF(AND(I360=1,F360&lt;Reporting!$B$4),1,0)</x:f>
        <x:v>0</x:v>
      </x:c>
      <x:c r="K360" s="1" t="n">
        <x:f>IF(F360&lt;Reporting!$B$4,1,0)</x:f>
        <x:v>0</x:v>
      </x:c>
      <x:c r="L360" s="1" t="n">
        <x:f>IF(AND(K360=1,G360&lt;&gt;"",G360&lt;=F360),1,0)</x:f>
        <x:v>0</x:v>
      </x:c>
      <x:c r="M360" s="1" t="n">
        <x:f>IF(AND(G360&lt;&gt;"",G360&lt;Reporting!$B$4),1,0)</x:f>
        <x:v>0</x:v>
      </x:c>
      <x:c r="N360" s="16" t="str">
        <x:f>IF(M360=1,G360-E360,"")</x:f>
      </x:c>
      <x:c r="O360" s="1" t="str">
        <x:f>IF(E360&gt;=Reporting!$B$4,"Outside cutoff",IF(M360=1,"Closed",IF(J360=1,"Overdue","Open - within SLA")))</x:f>
        <x:v>Open - within SLA</x:v>
      </x:c>
    </x:row>
    <x:row r="361">
      <x:c r="A361" s="14" t="str">
        <x:v>CASE-00356</x:v>
      </x:c>
      <x:c r="B361" s="14" t="str">
        <x:v>Warehouse</x:v>
      </x:c>
      <x:c r="C361" s="14" t="str">
        <x:v>Process deviation</x:v>
      </x:c>
      <x:c r="D361" s="14" t="str">
        <x:v>Low</x:v>
      </x:c>
      <x:c r="E361" s="15" t="n">
        <x:v>46270.583333333336</x:v>
      </x:c>
      <x:c r="F361" s="15" t="n">
        <x:v>46284.583333333336</x:v>
      </x:c>
      <x:c r="G361" s="15" t="n">
        <x:v>46281.666666666664</x:v>
      </x:c>
      <x:c r="H361" s="14" t="n">
        <x:v>2</x:v>
      </x:c>
      <x:c r="I361" s="1" t="n">
        <x:f>IF(AND(E361&lt;Reporting!$B$4,OR(G361="",G361&gt;=Reporting!$B$4)),1,0)</x:f>
        <x:v>0</x:v>
      </x:c>
      <x:c r="J361" s="1" t="n">
        <x:f>IF(AND(I361=1,F361&lt;Reporting!$B$4),1,0)</x:f>
        <x:v>0</x:v>
      </x:c>
      <x:c r="K361" s="1" t="n">
        <x:f>IF(F361&lt;Reporting!$B$4,1,0)</x:f>
        <x:v>1</x:v>
      </x:c>
      <x:c r="L361" s="1" t="n">
        <x:f>IF(AND(K361=1,G361&lt;&gt;"",G361&lt;=F361),1,0)</x:f>
        <x:v>1</x:v>
      </x:c>
      <x:c r="M361" s="1" t="n">
        <x:f>IF(AND(G361&lt;&gt;"",G361&lt;Reporting!$B$4),1,0)</x:f>
        <x:v>1</x:v>
      </x:c>
      <x:c r="N361" s="16" t="n">
        <x:f>IF(M361=1,G361-E361,"")</x:f>
        <x:v>11.083333333328483</x:v>
      </x:c>
      <x:c r="O361" s="1" t="str">
        <x:f>IF(E361&gt;=Reporting!$B$4,"Outside cutoff",IF(M361=1,"Closed",IF(J361=1,"Overdue","Open - within SLA")))</x:f>
        <x:v>Closed</x:v>
      </x:c>
    </x:row>
    <x:row r="362">
      <x:c r="A362" s="14" t="str">
        <x:v>CASE-00357</x:v>
      </x:c>
      <x:c r="B362" s="14" t="str">
        <x:v>Installation</x:v>
      </x:c>
      <x:c r="C362" s="14" t="str">
        <x:v>Record mismatch</x:v>
      </x:c>
      <x:c r="D362" s="14" t="str">
        <x:v>Medium</x:v>
      </x:c>
      <x:c r="E362" s="15" t="n">
        <x:v>46261.416666666664</x:v>
      </x:c>
      <x:c r="F362" s="15" t="n">
        <x:v>46268.416666666664</x:v>
      </x:c>
      <x:c r="G362" s="15"/>
      <x:c r="H362" s="14" t="n">
        <x:v>3</x:v>
      </x:c>
      <x:c r="I362" s="1" t="n">
        <x:f>IF(AND(E362&lt;Reporting!$B$4,OR(G362="",G362&gt;=Reporting!$B$4)),1,0)</x:f>
        <x:v>1</x:v>
      </x:c>
      <x:c r="J362" s="1" t="n">
        <x:f>IF(AND(I362=1,F362&lt;Reporting!$B$4),1,0)</x:f>
        <x:v>1</x:v>
      </x:c>
      <x:c r="K362" s="1" t="n">
        <x:f>IF(F362&lt;Reporting!$B$4,1,0)</x:f>
        <x:v>1</x:v>
      </x:c>
      <x:c r="L362" s="1" t="n">
        <x:f>IF(AND(K362=1,G362&lt;&gt;"",G362&lt;=F362),1,0)</x:f>
        <x:v>0</x:v>
      </x:c>
      <x:c r="M362" s="1" t="n">
        <x:f>IF(AND(G362&lt;&gt;"",G362&lt;Reporting!$B$4),1,0)</x:f>
        <x:v>0</x:v>
      </x:c>
      <x:c r="N362" s="16" t="str">
        <x:f>IF(M362=1,G362-E362,"")</x:f>
      </x:c>
      <x:c r="O362" s="1" t="str">
        <x:f>IF(E362&gt;=Reporting!$B$4,"Outside cutoff",IF(M362=1,"Closed",IF(J362=1,"Overdue","Open - within SLA")))</x:f>
        <x:v>Overdue</x:v>
      </x:c>
    </x:row>
    <x:row r="363">
      <x:c r="A363" s="14" t="str">
        <x:v>CASE-00358</x:v>
      </x:c>
      <x:c r="B363" s="14" t="str">
        <x:v>Installation</x:v>
      </x:c>
      <x:c r="C363" s="14" t="str">
        <x:v>Process deviation</x:v>
      </x:c>
      <x:c r="D363" s="14" t="str">
        <x:v>High</x:v>
      </x:c>
      <x:c r="E363" s="15" t="n">
        <x:v>46217.375</x:v>
      </x:c>
      <x:c r="F363" s="15" t="n">
        <x:v>46220.375</x:v>
      </x:c>
      <x:c r="G363" s="15" t="n">
        <x:v>46222.458333333336</x:v>
      </x:c>
      <x:c r="H363" s="14" t="n">
        <x:v>3</x:v>
      </x:c>
      <x:c r="I363" s="1" t="n">
        <x:f>IF(AND(E363&lt;Reporting!$B$4,OR(G363="",G363&gt;=Reporting!$B$4)),1,0)</x:f>
        <x:v>0</x:v>
      </x:c>
      <x:c r="J363" s="1" t="n">
        <x:f>IF(AND(I363=1,F363&lt;Reporting!$B$4),1,0)</x:f>
        <x:v>0</x:v>
      </x:c>
      <x:c r="K363" s="1" t="n">
        <x:f>IF(F363&lt;Reporting!$B$4,1,0)</x:f>
        <x:v>1</x:v>
      </x:c>
      <x:c r="L363" s="1" t="n">
        <x:f>IF(AND(K363=1,G363&lt;&gt;"",G363&lt;=F363),1,0)</x:f>
        <x:v>0</x:v>
      </x:c>
      <x:c r="M363" s="1" t="n">
        <x:f>IF(AND(G363&lt;&gt;"",G363&lt;Reporting!$B$4),1,0)</x:f>
        <x:v>1</x:v>
      </x:c>
      <x:c r="N363" s="16" t="n">
        <x:f>IF(M363=1,G363-E363,"")</x:f>
        <x:v>5.083333333335759</x:v>
      </x:c>
      <x:c r="O363" s="1" t="str">
        <x:f>IF(E363&gt;=Reporting!$B$4,"Outside cutoff",IF(M363=1,"Closed",IF(J363=1,"Overdue","Open - within SLA")))</x:f>
        <x:v>Closed</x:v>
      </x:c>
    </x:row>
    <x:row r="364">
      <x:c r="A364" s="14" t="str">
        <x:v>CASE-00359</x:v>
      </x:c>
      <x:c r="B364" s="14" t="str">
        <x:v>Warehouse</x:v>
      </x:c>
      <x:c r="C364" s="14" t="str">
        <x:v>Missing evidence</x:v>
      </x:c>
      <x:c r="D364" s="14" t="str">
        <x:v>Medium</x:v>
      </x:c>
      <x:c r="E364" s="15" t="n">
        <x:v>46283.666666666664</x:v>
      </x:c>
      <x:c r="F364" s="15" t="n">
        <x:v>46290.666666666664</x:v>
      </x:c>
      <x:c r="G364" s="15"/>
      <x:c r="H364" s="14" t="n">
        <x:v>2</x:v>
      </x:c>
      <x:c r="I364" s="1" t="n">
        <x:f>IF(AND(E364&lt;Reporting!$B$4,OR(G364="",G364&gt;=Reporting!$B$4)),1,0)</x:f>
        <x:v>1</x:v>
      </x:c>
      <x:c r="J364" s="1" t="n">
        <x:f>IF(AND(I364=1,F364&lt;Reporting!$B$4),1,0)</x:f>
        <x:v>0</x:v>
      </x:c>
      <x:c r="K364" s="1" t="n">
        <x:f>IF(F364&lt;Reporting!$B$4,1,0)</x:f>
        <x:v>0</x:v>
      </x:c>
      <x:c r="L364" s="1" t="n">
        <x:f>IF(AND(K364=1,G364&lt;&gt;"",G364&lt;=F364),1,0)</x:f>
        <x:v>0</x:v>
      </x:c>
      <x:c r="M364" s="1" t="n">
        <x:f>IF(AND(G364&lt;&gt;"",G364&lt;Reporting!$B$4),1,0)</x:f>
        <x:v>0</x:v>
      </x:c>
      <x:c r="N364" s="16" t="str">
        <x:f>IF(M364=1,G364-E364,"")</x:f>
      </x:c>
      <x:c r="O364" s="1" t="str">
        <x:f>IF(E364&gt;=Reporting!$B$4,"Outside cutoff",IF(M364=1,"Closed",IF(J364=1,"Overdue","Open - within SLA")))</x:f>
        <x:v>Open - within SLA</x:v>
      </x:c>
    </x:row>
    <x:row r="365">
      <x:c r="A365" s="14" t="str">
        <x:v>CASE-00360</x:v>
      </x:c>
      <x:c r="B365" s="14" t="str">
        <x:v>Customer Services</x:v>
      </x:c>
      <x:c r="C365" s="14" t="str">
        <x:v>Record mismatch</x:v>
      </x:c>
      <x:c r="D365" s="14" t="str">
        <x:v>High</x:v>
      </x:c>
      <x:c r="E365" s="15" t="n">
        <x:v>46236.666666666664</x:v>
      </x:c>
      <x:c r="F365" s="15" t="n">
        <x:v>46239.666666666664</x:v>
      </x:c>
      <x:c r="G365" s="15" t="n">
        <x:v>46252.708333333336</x:v>
      </x:c>
      <x:c r="H365" s="14" t="n">
        <x:v>1</x:v>
      </x:c>
      <x:c r="I365" s="1" t="n">
        <x:f>IF(AND(E365&lt;Reporting!$B$4,OR(G365="",G365&gt;=Reporting!$B$4)),1,0)</x:f>
        <x:v>0</x:v>
      </x:c>
      <x:c r="J365" s="1" t="n">
        <x:f>IF(AND(I365=1,F365&lt;Reporting!$B$4),1,0)</x:f>
        <x:v>0</x:v>
      </x:c>
      <x:c r="K365" s="1" t="n">
        <x:f>IF(F365&lt;Reporting!$B$4,1,0)</x:f>
        <x:v>1</x:v>
      </x:c>
      <x:c r="L365" s="1" t="n">
        <x:f>IF(AND(K365=1,G365&lt;&gt;"",G365&lt;=F365),1,0)</x:f>
        <x:v>0</x:v>
      </x:c>
      <x:c r="M365" s="1" t="n">
        <x:f>IF(AND(G365&lt;&gt;"",G365&lt;Reporting!$B$4),1,0)</x:f>
        <x:v>1</x:v>
      </x:c>
      <x:c r="N365" s="16" t="n">
        <x:f>IF(M365=1,G365-E365,"")</x:f>
        <x:v>16.041666666671517</x:v>
      </x:c>
      <x:c r="O365" s="1" t="str">
        <x:f>IF(E365&gt;=Reporting!$B$4,"Outside cutoff",IF(M365=1,"Closed",IF(J365=1,"Overdue","Open - within SLA")))</x:f>
        <x:v>Closed</x:v>
      </x:c>
    </x:row>
    <x:row r="366">
      <x:c r="A366" s="14" t="str">
        <x:v>CASE-00361</x:v>
      </x:c>
      <x:c r="B366" s="14" t="str">
        <x:v>Warehouse</x:v>
      </x:c>
      <x:c r="C366" s="14" t="str">
        <x:v>Late review</x:v>
      </x:c>
      <x:c r="D366" s="14" t="str">
        <x:v>High</x:v>
      </x:c>
      <x:c r="E366" s="15" t="n">
        <x:v>46254.583333333336</x:v>
      </x:c>
      <x:c r="F366" s="15" t="n">
        <x:v>46257.583333333336</x:v>
      </x:c>
      <x:c r="G366" s="15" t="n">
        <x:v>46282.583333333336</x:v>
      </x:c>
      <x:c r="H366" s="14" t="n">
        <x:v>2</x:v>
      </x:c>
      <x:c r="I366" s="1" t="n">
        <x:f>IF(AND(E366&lt;Reporting!$B$4,OR(G366="",G366&gt;=Reporting!$B$4)),1,0)</x:f>
        <x:v>0</x:v>
      </x:c>
      <x:c r="J366" s="1" t="n">
        <x:f>IF(AND(I366=1,F366&lt;Reporting!$B$4),1,0)</x:f>
        <x:v>0</x:v>
      </x:c>
      <x:c r="K366" s="1" t="n">
        <x:f>IF(F366&lt;Reporting!$B$4,1,0)</x:f>
        <x:v>1</x:v>
      </x:c>
      <x:c r="L366" s="1" t="n">
        <x:f>IF(AND(K366=1,G366&lt;&gt;"",G366&lt;=F366),1,0)</x:f>
        <x:v>0</x:v>
      </x:c>
      <x:c r="M366" s="1" t="n">
        <x:f>IF(AND(G366&lt;&gt;"",G366&lt;Reporting!$B$4),1,0)</x:f>
        <x:v>1</x:v>
      </x:c>
      <x:c r="N366" s="16" t="n">
        <x:f>IF(M366=1,G366-E366,"")</x:f>
        <x:v>28</x:v>
      </x:c>
      <x:c r="O366" s="1" t="str">
        <x:f>IF(E366&gt;=Reporting!$B$4,"Outside cutoff",IF(M366=1,"Closed",IF(J366=1,"Overdue","Open - within SLA")))</x:f>
        <x:v>Closed</x:v>
      </x:c>
    </x:row>
    <x:row r="367">
      <x:c r="A367" s="14" t="str">
        <x:v>CASE-00362</x:v>
      </x:c>
      <x:c r="B367" s="14" t="str">
        <x:v>Warehouse</x:v>
      </x:c>
      <x:c r="C367" s="14" t="str">
        <x:v>Record mismatch</x:v>
      </x:c>
      <x:c r="D367" s="14" t="str">
        <x:v>Medium</x:v>
      </x:c>
      <x:c r="E367" s="15" t="n">
        <x:v>46246.458333333336</x:v>
      </x:c>
      <x:c r="F367" s="15" t="n">
        <x:v>46253.458333333336</x:v>
      </x:c>
      <x:c r="G367" s="15" t="n">
        <x:v>46273.458333333336</x:v>
      </x:c>
      <x:c r="H367" s="14" t="n">
        <x:v>2</x:v>
      </x:c>
      <x:c r="I367" s="1" t="n">
        <x:f>IF(AND(E367&lt;Reporting!$B$4,OR(G367="",G367&gt;=Reporting!$B$4)),1,0)</x:f>
        <x:v>0</x:v>
      </x:c>
      <x:c r="J367" s="1" t="n">
        <x:f>IF(AND(I367=1,F367&lt;Reporting!$B$4),1,0)</x:f>
        <x:v>0</x:v>
      </x:c>
      <x:c r="K367" s="1" t="n">
        <x:f>IF(F367&lt;Reporting!$B$4,1,0)</x:f>
        <x:v>1</x:v>
      </x:c>
      <x:c r="L367" s="1" t="n">
        <x:f>IF(AND(K367=1,G367&lt;&gt;"",G367&lt;=F367),1,0)</x:f>
        <x:v>0</x:v>
      </x:c>
      <x:c r="M367" s="1" t="n">
        <x:f>IF(AND(G367&lt;&gt;"",G367&lt;Reporting!$B$4),1,0)</x:f>
        <x:v>1</x:v>
      </x:c>
      <x:c r="N367" s="16" t="n">
        <x:f>IF(M367=1,G367-E367,"")</x:f>
        <x:v>27</x:v>
      </x:c>
      <x:c r="O367" s="1" t="str">
        <x:f>IF(E367&gt;=Reporting!$B$4,"Outside cutoff",IF(M367=1,"Closed",IF(J367=1,"Overdue","Open - within SLA")))</x:f>
        <x:v>Closed</x:v>
      </x:c>
    </x:row>
    <x:row r="368">
      <x:c r="A368" s="14" t="str">
        <x:v>CASE-00363</x:v>
      </x:c>
      <x:c r="B368" s="14" t="str">
        <x:v>Installation</x:v>
      </x:c>
      <x:c r="C368" s="14" t="str">
        <x:v>Missing evidence</x:v>
      </x:c>
      <x:c r="D368" s="14" t="str">
        <x:v>Medium</x:v>
      </x:c>
      <x:c r="E368" s="15" t="n">
        <x:v>46280.5</x:v>
      </x:c>
      <x:c r="F368" s="15" t="n">
        <x:v>46287.5</x:v>
      </x:c>
      <x:c r="G368" s="15"/>
      <x:c r="H368" s="14" t="n">
        <x:v>3</x:v>
      </x:c>
      <x:c r="I368" s="1" t="n">
        <x:f>IF(AND(E368&lt;Reporting!$B$4,OR(G368="",G368&gt;=Reporting!$B$4)),1,0)</x:f>
        <x:v>1</x:v>
      </x:c>
      <x:c r="J368" s="1" t="n">
        <x:f>IF(AND(I368=1,F368&lt;Reporting!$B$4),1,0)</x:f>
        <x:v>0</x:v>
      </x:c>
      <x:c r="K368" s="1" t="n">
        <x:f>IF(F368&lt;Reporting!$B$4,1,0)</x:f>
        <x:v>0</x:v>
      </x:c>
      <x:c r="L368" s="1" t="n">
        <x:f>IF(AND(K368=1,G368&lt;&gt;"",G368&lt;=F368),1,0)</x:f>
        <x:v>0</x:v>
      </x:c>
      <x:c r="M368" s="1" t="n">
        <x:f>IF(AND(G368&lt;&gt;"",G368&lt;Reporting!$B$4),1,0)</x:f>
        <x:v>0</x:v>
      </x:c>
      <x:c r="N368" s="16" t="str">
        <x:f>IF(M368=1,G368-E368,"")</x:f>
      </x:c>
      <x:c r="O368" s="1" t="str">
        <x:f>IF(E368&gt;=Reporting!$B$4,"Outside cutoff",IF(M368=1,"Closed",IF(J368=1,"Overdue","Open - within SLA")))</x:f>
        <x:v>Open - within SLA</x:v>
      </x:c>
    </x:row>
    <x:row r="369">
      <x:c r="A369" s="14" t="str">
        <x:v>CASE-00364</x:v>
      </x:c>
      <x:c r="B369" s="14" t="str">
        <x:v>Customer Services</x:v>
      </x:c>
      <x:c r="C369" s="14" t="str">
        <x:v>Late review</x:v>
      </x:c>
      <x:c r="D369" s="14" t="str">
        <x:v>Medium</x:v>
      </x:c>
      <x:c r="E369" s="15" t="n">
        <x:v>46233.625</x:v>
      </x:c>
      <x:c r="F369" s="15" t="n">
        <x:v>46240.625</x:v>
      </x:c>
      <x:c r="G369" s="15" t="n">
        <x:v>46244.708333333336</x:v>
      </x:c>
      <x:c r="H369" s="14" t="n">
        <x:v>1</x:v>
      </x:c>
      <x:c r="I369" s="1" t="n">
        <x:f>IF(AND(E369&lt;Reporting!$B$4,OR(G369="",G369&gt;=Reporting!$B$4)),1,0)</x:f>
        <x:v>0</x:v>
      </x:c>
      <x:c r="J369" s="1" t="n">
        <x:f>IF(AND(I369=1,F369&lt;Reporting!$B$4),1,0)</x:f>
        <x:v>0</x:v>
      </x:c>
      <x:c r="K369" s="1" t="n">
        <x:f>IF(F369&lt;Reporting!$B$4,1,0)</x:f>
        <x:v>1</x:v>
      </x:c>
      <x:c r="L369" s="1" t="n">
        <x:f>IF(AND(K369=1,G369&lt;&gt;"",G369&lt;=F369),1,0)</x:f>
        <x:v>0</x:v>
      </x:c>
      <x:c r="M369" s="1" t="n">
        <x:f>IF(AND(G369&lt;&gt;"",G369&lt;Reporting!$B$4),1,0)</x:f>
        <x:v>1</x:v>
      </x:c>
      <x:c r="N369" s="16" t="n">
        <x:f>IF(M369=1,G369-E369,"")</x:f>
        <x:v>11.083333333335759</x:v>
      </x:c>
      <x:c r="O369" s="1" t="str">
        <x:f>IF(E369&gt;=Reporting!$B$4,"Outside cutoff",IF(M369=1,"Closed",IF(J369=1,"Overdue","Open - within SLA")))</x:f>
        <x:v>Closed</x:v>
      </x:c>
    </x:row>
    <x:row r="370">
      <x:c r="A370" s="14" t="str">
        <x:v>CASE-00365</x:v>
      </x:c>
      <x:c r="B370" s="14" t="str">
        <x:v>Installation</x:v>
      </x:c>
      <x:c r="C370" s="14" t="str">
        <x:v>Record mismatch</x:v>
      </x:c>
      <x:c r="D370" s="14" t="str">
        <x:v>Medium</x:v>
      </x:c>
      <x:c r="E370" s="15" t="n">
        <x:v>46241.666666666664</x:v>
      </x:c>
      <x:c r="F370" s="15" t="n">
        <x:v>46248.666666666664</x:v>
      </x:c>
      <x:c r="G370" s="15" t="n">
        <x:v>46244.708333333336</x:v>
      </x:c>
      <x:c r="H370" s="14" t="n">
        <x:v>3</x:v>
      </x:c>
      <x:c r="I370" s="1" t="n">
        <x:f>IF(AND(E370&lt;Reporting!$B$4,OR(G370="",G370&gt;=Reporting!$B$4)),1,0)</x:f>
        <x:v>0</x:v>
      </x:c>
      <x:c r="J370" s="1" t="n">
        <x:f>IF(AND(I370=1,F370&lt;Reporting!$B$4),1,0)</x:f>
        <x:v>0</x:v>
      </x:c>
      <x:c r="K370" s="1" t="n">
        <x:f>IF(F370&lt;Reporting!$B$4,1,0)</x:f>
        <x:v>1</x:v>
      </x:c>
      <x:c r="L370" s="1" t="n">
        <x:f>IF(AND(K370=1,G370&lt;&gt;"",G370&lt;=F370),1,0)</x:f>
        <x:v>1</x:v>
      </x:c>
      <x:c r="M370" s="1" t="n">
        <x:f>IF(AND(G370&lt;&gt;"",G370&lt;Reporting!$B$4),1,0)</x:f>
        <x:v>1</x:v>
      </x:c>
      <x:c r="N370" s="16" t="n">
        <x:f>IF(M370=1,G370-E370,"")</x:f>
        <x:v>3.0416666666715173</x:v>
      </x:c>
      <x:c r="O370" s="1" t="str">
        <x:f>IF(E370&gt;=Reporting!$B$4,"Outside cutoff",IF(M370=1,"Closed",IF(J370=1,"Overdue","Open - within SLA")))</x:f>
        <x:v>Closed</x:v>
      </x:c>
    </x:row>
    <x:row r="371">
      <x:c r="A371" s="14" t="str">
        <x:v>CASE-00366</x:v>
      </x:c>
      <x:c r="B371" s="14" t="str">
        <x:v>Warehouse</x:v>
      </x:c>
      <x:c r="C371" s="14" t="str">
        <x:v>Record mismatch</x:v>
      </x:c>
      <x:c r="D371" s="14" t="str">
        <x:v>Medium</x:v>
      </x:c>
      <x:c r="E371" s="15" t="n">
        <x:v>46219.625</x:v>
      </x:c>
      <x:c r="F371" s="15" t="n">
        <x:v>46226.625</x:v>
      </x:c>
      <x:c r="G371" s="15" t="n">
        <x:v>46228.708333333336</x:v>
      </x:c>
      <x:c r="H371" s="14" t="n">
        <x:v>2</x:v>
      </x:c>
      <x:c r="I371" s="1" t="n">
        <x:f>IF(AND(E371&lt;Reporting!$B$4,OR(G371="",G371&gt;=Reporting!$B$4)),1,0)</x:f>
        <x:v>0</x:v>
      </x:c>
      <x:c r="J371" s="1" t="n">
        <x:f>IF(AND(I371=1,F371&lt;Reporting!$B$4),1,0)</x:f>
        <x:v>0</x:v>
      </x:c>
      <x:c r="K371" s="1" t="n">
        <x:f>IF(F371&lt;Reporting!$B$4,1,0)</x:f>
        <x:v>1</x:v>
      </x:c>
      <x:c r="L371" s="1" t="n">
        <x:f>IF(AND(K371=1,G371&lt;&gt;"",G371&lt;=F371),1,0)</x:f>
        <x:v>0</x:v>
      </x:c>
      <x:c r="M371" s="1" t="n">
        <x:f>IF(AND(G371&lt;&gt;"",G371&lt;Reporting!$B$4),1,0)</x:f>
        <x:v>1</x:v>
      </x:c>
      <x:c r="N371" s="16" t="n">
        <x:f>IF(M371=1,G371-E371,"")</x:f>
        <x:v>9.083333333335759</x:v>
      </x:c>
      <x:c r="O371" s="1" t="str">
        <x:f>IF(E371&gt;=Reporting!$B$4,"Outside cutoff",IF(M371=1,"Closed",IF(J371=1,"Overdue","Open - within SLA")))</x:f>
        <x:v>Closed</x:v>
      </x:c>
    </x:row>
    <x:row r="372">
      <x:c r="A372" s="14" t="str">
        <x:v>CASE-00367</x:v>
      </x:c>
      <x:c r="B372" s="14" t="str">
        <x:v>Customer Services</x:v>
      </x:c>
      <x:c r="C372" s="14" t="str">
        <x:v>Missing evidence</x:v>
      </x:c>
      <x:c r="D372" s="14" t="str">
        <x:v>Low</x:v>
      </x:c>
      <x:c r="E372" s="15" t="n">
        <x:v>46225.333333333336</x:v>
      </x:c>
      <x:c r="F372" s="15" t="n">
        <x:v>46239.333333333336</x:v>
      </x:c>
      <x:c r="G372" s="15" t="n">
        <x:v>46228.416666666664</x:v>
      </x:c>
      <x:c r="H372" s="14" t="n">
        <x:v>1</x:v>
      </x:c>
      <x:c r="I372" s="1" t="n">
        <x:f>IF(AND(E372&lt;Reporting!$B$4,OR(G372="",G372&gt;=Reporting!$B$4)),1,0)</x:f>
        <x:v>0</x:v>
      </x:c>
      <x:c r="J372" s="1" t="n">
        <x:f>IF(AND(I372=1,F372&lt;Reporting!$B$4),1,0)</x:f>
        <x:v>0</x:v>
      </x:c>
      <x:c r="K372" s="1" t="n">
        <x:f>IF(F372&lt;Reporting!$B$4,1,0)</x:f>
        <x:v>1</x:v>
      </x:c>
      <x:c r="L372" s="1" t="n">
        <x:f>IF(AND(K372=1,G372&lt;&gt;"",G372&lt;=F372),1,0)</x:f>
        <x:v>1</x:v>
      </x:c>
      <x:c r="M372" s="1" t="n">
        <x:f>IF(AND(G372&lt;&gt;"",G372&lt;Reporting!$B$4),1,0)</x:f>
        <x:v>1</x:v>
      </x:c>
      <x:c r="N372" s="16" t="n">
        <x:f>IF(M372=1,G372-E372,"")</x:f>
        <x:v>3.0833333333284827</x:v>
      </x:c>
      <x:c r="O372" s="1" t="str">
        <x:f>IF(E372&gt;=Reporting!$B$4,"Outside cutoff",IF(M372=1,"Closed",IF(J372=1,"Overdue","Open - within SLA")))</x:f>
        <x:v>Closed</x:v>
      </x:c>
    </x:row>
    <x:row r="373">
      <x:c r="A373" s="14" t="str">
        <x:v>CASE-00368</x:v>
      </x:c>
      <x:c r="B373" s="14" t="str">
        <x:v>Installation</x:v>
      </x:c>
      <x:c r="C373" s="14" t="str">
        <x:v>Late review</x:v>
      </x:c>
      <x:c r="D373" s="14" t="str">
        <x:v>High</x:v>
      </x:c>
      <x:c r="E373" s="15" t="n">
        <x:v>46202.416666666664</x:v>
      </x:c>
      <x:c r="F373" s="15" t="n">
        <x:v>46205.416666666664</x:v>
      </x:c>
      <x:c r="G373" s="15" t="n">
        <x:v>46204.5</x:v>
      </x:c>
      <x:c r="H373" s="14" t="n">
        <x:v>3</x:v>
      </x:c>
      <x:c r="I373" s="1" t="n">
        <x:f>IF(AND(E373&lt;Reporting!$B$4,OR(G373="",G373&gt;=Reporting!$B$4)),1,0)</x:f>
        <x:v>0</x:v>
      </x:c>
      <x:c r="J373" s="1" t="n">
        <x:f>IF(AND(I373=1,F373&lt;Reporting!$B$4),1,0)</x:f>
        <x:v>0</x:v>
      </x:c>
      <x:c r="K373" s="1" t="n">
        <x:f>IF(F373&lt;Reporting!$B$4,1,0)</x:f>
        <x:v>1</x:v>
      </x:c>
      <x:c r="L373" s="1" t="n">
        <x:f>IF(AND(K373=1,G373&lt;&gt;"",G373&lt;=F373),1,0)</x:f>
        <x:v>1</x:v>
      </x:c>
      <x:c r="M373" s="1" t="n">
        <x:f>IF(AND(G373&lt;&gt;"",G373&lt;Reporting!$B$4),1,0)</x:f>
        <x:v>1</x:v>
      </x:c>
      <x:c r="N373" s="16" t="n">
        <x:f>IF(M373=1,G373-E373,"")</x:f>
        <x:v>2.0833333333357587</x:v>
      </x:c>
      <x:c r="O373" s="1" t="str">
        <x:f>IF(E373&gt;=Reporting!$B$4,"Outside cutoff",IF(M373=1,"Closed",IF(J373=1,"Overdue","Open - within SLA")))</x:f>
        <x:v>Closed</x:v>
      </x:c>
    </x:row>
    <x:row r="374">
      <x:c r="A374" s="14" t="str">
        <x:v>CASE-00369</x:v>
      </x:c>
      <x:c r="B374" s="14" t="str">
        <x:v>Customer Services</x:v>
      </x:c>
      <x:c r="C374" s="14" t="str">
        <x:v>Late review</x:v>
      </x:c>
      <x:c r="D374" s="14" t="str">
        <x:v>Low</x:v>
      </x:c>
      <x:c r="E374" s="15" t="n">
        <x:v>46277.625</x:v>
      </x:c>
      <x:c r="F374" s="15" t="n">
        <x:v>46291.625</x:v>
      </x:c>
      <x:c r="G374" s="15"/>
      <x:c r="H374" s="14" t="n">
        <x:v>1</x:v>
      </x:c>
      <x:c r="I374" s="1" t="n">
        <x:f>IF(AND(E374&lt;Reporting!$B$4,OR(G374="",G374&gt;=Reporting!$B$4)),1,0)</x:f>
        <x:v>1</x:v>
      </x:c>
      <x:c r="J374" s="1" t="n">
        <x:f>IF(AND(I374=1,F374&lt;Reporting!$B$4),1,0)</x:f>
        <x:v>0</x:v>
      </x:c>
      <x:c r="K374" s="1" t="n">
        <x:f>IF(F374&lt;Reporting!$B$4,1,0)</x:f>
        <x:v>0</x:v>
      </x:c>
      <x:c r="L374" s="1" t="n">
        <x:f>IF(AND(K374=1,G374&lt;&gt;"",G374&lt;=F374),1,0)</x:f>
        <x:v>0</x:v>
      </x:c>
      <x:c r="M374" s="1" t="n">
        <x:f>IF(AND(G374&lt;&gt;"",G374&lt;Reporting!$B$4),1,0)</x:f>
        <x:v>0</x:v>
      </x:c>
      <x:c r="N374" s="16" t="str">
        <x:f>IF(M374=1,G374-E374,"")</x:f>
      </x:c>
      <x:c r="O374" s="1" t="str">
        <x:f>IF(E374&gt;=Reporting!$B$4,"Outside cutoff",IF(M374=1,"Closed",IF(J374=1,"Overdue","Open - within SLA")))</x:f>
        <x:v>Open - within SLA</x:v>
      </x:c>
    </x:row>
    <x:row r="375">
      <x:c r="A375" s="14" t="str">
        <x:v>CASE-00370</x:v>
      </x:c>
      <x:c r="B375" s="14" t="str">
        <x:v>Customer Services</x:v>
      </x:c>
      <x:c r="C375" s="14" t="str">
        <x:v>Missing evidence</x:v>
      </x:c>
      <x:c r="D375" s="14" t="str">
        <x:v>High</x:v>
      </x:c>
      <x:c r="E375" s="15" t="n">
        <x:v>46255.541666666664</x:v>
      </x:c>
      <x:c r="F375" s="15" t="n">
        <x:v>46258.541666666664</x:v>
      </x:c>
      <x:c r="G375" s="15" t="n">
        <x:v>46271.625</x:v>
      </x:c>
      <x:c r="H375" s="14" t="n">
        <x:v>1</x:v>
      </x:c>
      <x:c r="I375" s="1" t="n">
        <x:f>IF(AND(E375&lt;Reporting!$B$4,OR(G375="",G375&gt;=Reporting!$B$4)),1,0)</x:f>
        <x:v>0</x:v>
      </x:c>
      <x:c r="J375" s="1" t="n">
        <x:f>IF(AND(I375=1,F375&lt;Reporting!$B$4),1,0)</x:f>
        <x:v>0</x:v>
      </x:c>
      <x:c r="K375" s="1" t="n">
        <x:f>IF(F375&lt;Reporting!$B$4,1,0)</x:f>
        <x:v>1</x:v>
      </x:c>
      <x:c r="L375" s="1" t="n">
        <x:f>IF(AND(K375=1,G375&lt;&gt;"",G375&lt;=F375),1,0)</x:f>
        <x:v>0</x:v>
      </x:c>
      <x:c r="M375" s="1" t="n">
        <x:f>IF(AND(G375&lt;&gt;"",G375&lt;Reporting!$B$4),1,0)</x:f>
        <x:v>1</x:v>
      </x:c>
      <x:c r="N375" s="16" t="n">
        <x:f>IF(M375=1,G375-E375,"")</x:f>
        <x:v>16.08333333333576</x:v>
      </x:c>
      <x:c r="O375" s="1" t="str">
        <x:f>IF(E375&gt;=Reporting!$B$4,"Outside cutoff",IF(M375=1,"Closed",IF(J375=1,"Overdue","Open - within SLA")))</x:f>
        <x:v>Closed</x:v>
      </x:c>
    </x:row>
    <x:row r="376">
      <x:c r="A376" s="14" t="str">
        <x:v>CASE-00371</x:v>
      </x:c>
      <x:c r="B376" s="14" t="str">
        <x:v>Installation</x:v>
      </x:c>
      <x:c r="C376" s="14" t="str">
        <x:v>Missing evidence</x:v>
      </x:c>
      <x:c r="D376" s="14" t="str">
        <x:v>Low</x:v>
      </x:c>
      <x:c r="E376" s="15" t="n">
        <x:v>46238.5</x:v>
      </x:c>
      <x:c r="F376" s="15" t="n">
        <x:v>46252.5</x:v>
      </x:c>
      <x:c r="G376" s="15" t="n">
        <x:v>46246.583333333336</x:v>
      </x:c>
      <x:c r="H376" s="14" t="n">
        <x:v>3</x:v>
      </x:c>
      <x:c r="I376" s="1" t="n">
        <x:f>IF(AND(E376&lt;Reporting!$B$4,OR(G376="",G376&gt;=Reporting!$B$4)),1,0)</x:f>
        <x:v>0</x:v>
      </x:c>
      <x:c r="J376" s="1" t="n">
        <x:f>IF(AND(I376=1,F376&lt;Reporting!$B$4),1,0)</x:f>
        <x:v>0</x:v>
      </x:c>
      <x:c r="K376" s="1" t="n">
        <x:f>IF(F376&lt;Reporting!$B$4,1,0)</x:f>
        <x:v>1</x:v>
      </x:c>
      <x:c r="L376" s="1" t="n">
        <x:f>IF(AND(K376=1,G376&lt;&gt;"",G376&lt;=F376),1,0)</x:f>
        <x:v>1</x:v>
      </x:c>
      <x:c r="M376" s="1" t="n">
        <x:f>IF(AND(G376&lt;&gt;"",G376&lt;Reporting!$B$4),1,0)</x:f>
        <x:v>1</x:v>
      </x:c>
      <x:c r="N376" s="16" t="n">
        <x:f>IF(M376=1,G376-E376,"")</x:f>
        <x:v>8.083333333335759</x:v>
      </x:c>
      <x:c r="O376" s="1" t="str">
        <x:f>IF(E376&gt;=Reporting!$B$4,"Outside cutoff",IF(M376=1,"Closed",IF(J376=1,"Overdue","Open - within SLA")))</x:f>
        <x:v>Closed</x:v>
      </x:c>
    </x:row>
    <x:row r="377">
      <x:c r="A377" s="14" t="str">
        <x:v>CASE-00372</x:v>
      </x:c>
      <x:c r="B377" s="14" t="str">
        <x:v>Installation</x:v>
      </x:c>
      <x:c r="C377" s="14" t="str">
        <x:v>Missing evidence</x:v>
      </x:c>
      <x:c r="D377" s="14" t="str">
        <x:v>Medium</x:v>
      </x:c>
      <x:c r="E377" s="15" t="n">
        <x:v>46216.458333333336</x:v>
      </x:c>
      <x:c r="F377" s="15" t="n">
        <x:v>46223.458333333336</x:v>
      </x:c>
      <x:c r="G377" s="15" t="n">
        <x:v>46234.458333333336</x:v>
      </x:c>
      <x:c r="H377" s="14" t="n">
        <x:v>3</x:v>
      </x:c>
      <x:c r="I377" s="1" t="n">
        <x:f>IF(AND(E377&lt;Reporting!$B$4,OR(G377="",G377&gt;=Reporting!$B$4)),1,0)</x:f>
        <x:v>0</x:v>
      </x:c>
      <x:c r="J377" s="1" t="n">
        <x:f>IF(AND(I377=1,F377&lt;Reporting!$B$4),1,0)</x:f>
        <x:v>0</x:v>
      </x:c>
      <x:c r="K377" s="1" t="n">
        <x:f>IF(F377&lt;Reporting!$B$4,1,0)</x:f>
        <x:v>1</x:v>
      </x:c>
      <x:c r="L377" s="1" t="n">
        <x:f>IF(AND(K377=1,G377&lt;&gt;"",G377&lt;=F377),1,0)</x:f>
        <x:v>0</x:v>
      </x:c>
      <x:c r="M377" s="1" t="n">
        <x:f>IF(AND(G377&lt;&gt;"",G377&lt;Reporting!$B$4),1,0)</x:f>
        <x:v>1</x:v>
      </x:c>
      <x:c r="N377" s="16" t="n">
        <x:f>IF(M377=1,G377-E377,"")</x:f>
        <x:v>18</x:v>
      </x:c>
      <x:c r="O377" s="1" t="str">
        <x:f>IF(E377&gt;=Reporting!$B$4,"Outside cutoff",IF(M377=1,"Closed",IF(J377=1,"Overdue","Open - within SLA")))</x:f>
        <x:v>Closed</x:v>
      </x:c>
    </x:row>
    <x:row r="378">
      <x:c r="A378" s="14" t="str">
        <x:v>CASE-00373</x:v>
      </x:c>
      <x:c r="B378" s="14" t="str">
        <x:v>Warehouse</x:v>
      </x:c>
      <x:c r="C378" s="14" t="str">
        <x:v>Missing evidence</x:v>
      </x:c>
      <x:c r="D378" s="14" t="str">
        <x:v>Low</x:v>
      </x:c>
      <x:c r="E378" s="15" t="n">
        <x:v>46218.666666666664</x:v>
      </x:c>
      <x:c r="F378" s="15" t="n">
        <x:v>46232.666666666664</x:v>
      </x:c>
      <x:c r="G378" s="15" t="n">
        <x:v>46235.75</x:v>
      </x:c>
      <x:c r="H378" s="14" t="n">
        <x:v>2</x:v>
      </x:c>
      <x:c r="I378" s="1" t="n">
        <x:f>IF(AND(E378&lt;Reporting!$B$4,OR(G378="",G378&gt;=Reporting!$B$4)),1,0)</x:f>
        <x:v>0</x:v>
      </x:c>
      <x:c r="J378" s="1" t="n">
        <x:f>IF(AND(I378=1,F378&lt;Reporting!$B$4),1,0)</x:f>
        <x:v>0</x:v>
      </x:c>
      <x:c r="K378" s="1" t="n">
        <x:f>IF(F378&lt;Reporting!$B$4,1,0)</x:f>
        <x:v>1</x:v>
      </x:c>
      <x:c r="L378" s="1" t="n">
        <x:f>IF(AND(K378=1,G378&lt;&gt;"",G378&lt;=F378),1,0)</x:f>
        <x:v>0</x:v>
      </x:c>
      <x:c r="M378" s="1" t="n">
        <x:f>IF(AND(G378&lt;&gt;"",G378&lt;Reporting!$B$4),1,0)</x:f>
        <x:v>1</x:v>
      </x:c>
      <x:c r="N378" s="16" t="n">
        <x:f>IF(M378=1,G378-E378,"")</x:f>
        <x:v>17.08333333333576</x:v>
      </x:c>
      <x:c r="O378" s="1" t="str">
        <x:f>IF(E378&gt;=Reporting!$B$4,"Outside cutoff",IF(M378=1,"Closed",IF(J378=1,"Overdue","Open - within SLA")))</x:f>
        <x:v>Closed</x:v>
      </x:c>
    </x:row>
    <x:row r="379">
      <x:c r="A379" s="14" t="str">
        <x:v>CASE-00374</x:v>
      </x:c>
      <x:c r="B379" s="14" t="str">
        <x:v>Warehouse</x:v>
      </x:c>
      <x:c r="C379" s="14" t="str">
        <x:v>Process deviation</x:v>
      </x:c>
      <x:c r="D379" s="14" t="str">
        <x:v>Medium</x:v>
      </x:c>
      <x:c r="E379" s="15" t="n">
        <x:v>46230.583333333336</x:v>
      </x:c>
      <x:c r="F379" s="15" t="n">
        <x:v>46237.583333333336</x:v>
      </x:c>
      <x:c r="G379" s="15" t="n">
        <x:v>46248.625</x:v>
      </x:c>
      <x:c r="H379" s="14" t="n">
        <x:v>2</x:v>
      </x:c>
      <x:c r="I379" s="1" t="n">
        <x:f>IF(AND(E379&lt;Reporting!$B$4,OR(G379="",G379&gt;=Reporting!$B$4)),1,0)</x:f>
        <x:v>0</x:v>
      </x:c>
      <x:c r="J379" s="1" t="n">
        <x:f>IF(AND(I379=1,F379&lt;Reporting!$B$4),1,0)</x:f>
        <x:v>0</x:v>
      </x:c>
      <x:c r="K379" s="1" t="n">
        <x:f>IF(F379&lt;Reporting!$B$4,1,0)</x:f>
        <x:v>1</x:v>
      </x:c>
      <x:c r="L379" s="1" t="n">
        <x:f>IF(AND(K379=1,G379&lt;&gt;"",G379&lt;=F379),1,0)</x:f>
        <x:v>0</x:v>
      </x:c>
      <x:c r="M379" s="1" t="n">
        <x:f>IF(AND(G379&lt;&gt;"",G379&lt;Reporting!$B$4),1,0)</x:f>
        <x:v>1</x:v>
      </x:c>
      <x:c r="N379" s="16" t="n">
        <x:f>IF(M379=1,G379-E379,"")</x:f>
        <x:v>18.04166666666424</x:v>
      </x:c>
      <x:c r="O379" s="1" t="str">
        <x:f>IF(E379&gt;=Reporting!$B$4,"Outside cutoff",IF(M379=1,"Closed",IF(J379=1,"Overdue","Open - within SLA")))</x:f>
        <x:v>Closed</x:v>
      </x:c>
    </x:row>
    <x:row r="380">
      <x:c r="A380" s="14" t="str">
        <x:v>CASE-00375</x:v>
      </x:c>
      <x:c r="B380" s="14" t="str">
        <x:v>Customer Services</x:v>
      </x:c>
      <x:c r="C380" s="14" t="str">
        <x:v>Process deviation</x:v>
      </x:c>
      <x:c r="D380" s="14" t="str">
        <x:v>Medium</x:v>
      </x:c>
      <x:c r="E380" s="15" t="n">
        <x:v>46205.625</x:v>
      </x:c>
      <x:c r="F380" s="15" t="n">
        <x:v>46212.625</x:v>
      </x:c>
      <x:c r="G380" s="15" t="n">
        <x:v>46216.708333333336</x:v>
      </x:c>
      <x:c r="H380" s="14" t="n">
        <x:v>1</x:v>
      </x:c>
      <x:c r="I380" s="1" t="n">
        <x:f>IF(AND(E380&lt;Reporting!$B$4,OR(G380="",G380&gt;=Reporting!$B$4)),1,0)</x:f>
        <x:v>0</x:v>
      </x:c>
      <x:c r="J380" s="1" t="n">
        <x:f>IF(AND(I380=1,F380&lt;Reporting!$B$4),1,0)</x:f>
        <x:v>0</x:v>
      </x:c>
      <x:c r="K380" s="1" t="n">
        <x:f>IF(F380&lt;Reporting!$B$4,1,0)</x:f>
        <x:v>1</x:v>
      </x:c>
      <x:c r="L380" s="1" t="n">
        <x:f>IF(AND(K380=1,G380&lt;&gt;"",G380&lt;=F380),1,0)</x:f>
        <x:v>0</x:v>
      </x:c>
      <x:c r="M380" s="1" t="n">
        <x:f>IF(AND(G380&lt;&gt;"",G380&lt;Reporting!$B$4),1,0)</x:f>
        <x:v>1</x:v>
      </x:c>
      <x:c r="N380" s="16" t="n">
        <x:f>IF(M380=1,G380-E380,"")</x:f>
        <x:v>11.083333333335759</x:v>
      </x:c>
      <x:c r="O380" s="1" t="str">
        <x:f>IF(E380&gt;=Reporting!$B$4,"Outside cutoff",IF(M380=1,"Closed",IF(J380=1,"Overdue","Open - within SLA")))</x:f>
        <x:v>Closed</x:v>
      </x:c>
    </x:row>
    <x:row r="381">
      <x:c r="A381" s="14" t="str">
        <x:v>CASE-00376</x:v>
      </x:c>
      <x:c r="B381" s="14" t="str">
        <x:v>Installation</x:v>
      </x:c>
      <x:c r="C381" s="14" t="str">
        <x:v>Late review</x:v>
      </x:c>
      <x:c r="D381" s="14" t="str">
        <x:v>High</x:v>
      </x:c>
      <x:c r="E381" s="15" t="n">
        <x:v>46229.666666666664</x:v>
      </x:c>
      <x:c r="F381" s="15" t="n">
        <x:v>46232.666666666664</x:v>
      </x:c>
      <x:c r="G381" s="15"/>
      <x:c r="H381" s="14" t="n">
        <x:v>3</x:v>
      </x:c>
      <x:c r="I381" s="1" t="n">
        <x:f>IF(AND(E381&lt;Reporting!$B$4,OR(G381="",G381&gt;=Reporting!$B$4)),1,0)</x:f>
        <x:v>1</x:v>
      </x:c>
      <x:c r="J381" s="1" t="n">
        <x:f>IF(AND(I381=1,F381&lt;Reporting!$B$4),1,0)</x:f>
        <x:v>1</x:v>
      </x:c>
      <x:c r="K381" s="1" t="n">
        <x:f>IF(F381&lt;Reporting!$B$4,1,0)</x:f>
        <x:v>1</x:v>
      </x:c>
      <x:c r="L381" s="1" t="n">
        <x:f>IF(AND(K381=1,G381&lt;&gt;"",G381&lt;=F381),1,0)</x:f>
        <x:v>0</x:v>
      </x:c>
      <x:c r="M381" s="1" t="n">
        <x:f>IF(AND(G381&lt;&gt;"",G381&lt;Reporting!$B$4),1,0)</x:f>
        <x:v>0</x:v>
      </x:c>
      <x:c r="N381" s="16" t="str">
        <x:f>IF(M381=1,G381-E381,"")</x:f>
      </x:c>
      <x:c r="O381" s="1" t="str">
        <x:f>IF(E381&gt;=Reporting!$B$4,"Outside cutoff",IF(M381=1,"Closed",IF(J381=1,"Overdue","Open - within SLA")))</x:f>
        <x:v>Overdue</x:v>
      </x:c>
    </x:row>
    <x:row r="382">
      <x:c r="A382" s="14" t="str">
        <x:v>CASE-00377</x:v>
      </x:c>
      <x:c r="B382" s="14" t="str">
        <x:v>Customer Services</x:v>
      </x:c>
      <x:c r="C382" s="14" t="str">
        <x:v>Process deviation</x:v>
      </x:c>
      <x:c r="D382" s="14" t="str">
        <x:v>Medium</x:v>
      </x:c>
      <x:c r="E382" s="15" t="n">
        <x:v>46210.625</x:v>
      </x:c>
      <x:c r="F382" s="15" t="n">
        <x:v>46217.625</x:v>
      </x:c>
      <x:c r="G382" s="15" t="n">
        <x:v>46211.666666666664</x:v>
      </x:c>
      <x:c r="H382" s="14" t="n">
        <x:v>1</x:v>
      </x:c>
      <x:c r="I382" s="1" t="n">
        <x:f>IF(AND(E382&lt;Reporting!$B$4,OR(G382="",G382&gt;=Reporting!$B$4)),1,0)</x:f>
        <x:v>0</x:v>
      </x:c>
      <x:c r="J382" s="1" t="n">
        <x:f>IF(AND(I382=1,F382&lt;Reporting!$B$4),1,0)</x:f>
        <x:v>0</x:v>
      </x:c>
      <x:c r="K382" s="1" t="n">
        <x:f>IF(F382&lt;Reporting!$B$4,1,0)</x:f>
        <x:v>1</x:v>
      </x:c>
      <x:c r="L382" s="1" t="n">
        <x:f>IF(AND(K382=1,G382&lt;&gt;"",G382&lt;=F382),1,0)</x:f>
        <x:v>1</x:v>
      </x:c>
      <x:c r="M382" s="1" t="n">
        <x:f>IF(AND(G382&lt;&gt;"",G382&lt;Reporting!$B$4),1,0)</x:f>
        <x:v>1</x:v>
      </x:c>
      <x:c r="N382" s="16" t="n">
        <x:f>IF(M382=1,G382-E382,"")</x:f>
        <x:v>1.0416666666642413</x:v>
      </x:c>
      <x:c r="O382" s="1" t="str">
        <x:f>IF(E382&gt;=Reporting!$B$4,"Outside cutoff",IF(M382=1,"Closed",IF(J382=1,"Overdue","Open - within SLA")))</x:f>
        <x:v>Closed</x:v>
      </x:c>
    </x:row>
    <x:row r="383">
      <x:c r="A383" s="14" t="str">
        <x:v>CASE-00378</x:v>
      </x:c>
      <x:c r="B383" s="14" t="str">
        <x:v>Customer Services</x:v>
      </x:c>
      <x:c r="C383" s="14" t="str">
        <x:v>Process deviation</x:v>
      </x:c>
      <x:c r="D383" s="14" t="str">
        <x:v>High</x:v>
      </x:c>
      <x:c r="E383" s="15" t="n">
        <x:v>46276.625</x:v>
      </x:c>
      <x:c r="F383" s="15" t="n">
        <x:v>46279.625</x:v>
      </x:c>
      <x:c r="G383" s="15"/>
      <x:c r="H383" s="14" t="n">
        <x:v>1</x:v>
      </x:c>
      <x:c r="I383" s="1" t="n">
        <x:f>IF(AND(E383&lt;Reporting!$B$4,OR(G383="",G383&gt;=Reporting!$B$4)),1,0)</x:f>
        <x:v>1</x:v>
      </x:c>
      <x:c r="J383" s="1" t="n">
        <x:f>IF(AND(I383=1,F383&lt;Reporting!$B$4),1,0)</x:f>
        <x:v>1</x:v>
      </x:c>
      <x:c r="K383" s="1" t="n">
        <x:f>IF(F383&lt;Reporting!$B$4,1,0)</x:f>
        <x:v>1</x:v>
      </x:c>
      <x:c r="L383" s="1" t="n">
        <x:f>IF(AND(K383=1,G383&lt;&gt;"",G383&lt;=F383),1,0)</x:f>
        <x:v>0</x:v>
      </x:c>
      <x:c r="M383" s="1" t="n">
        <x:f>IF(AND(G383&lt;&gt;"",G383&lt;Reporting!$B$4),1,0)</x:f>
        <x:v>0</x:v>
      </x:c>
      <x:c r="N383" s="16" t="str">
        <x:f>IF(M383=1,G383-E383,"")</x:f>
      </x:c>
      <x:c r="O383" s="1" t="str">
        <x:f>IF(E383&gt;=Reporting!$B$4,"Outside cutoff",IF(M383=1,"Closed",IF(J383=1,"Overdue","Open - within SLA")))</x:f>
        <x:v>Overdue</x:v>
      </x:c>
    </x:row>
    <x:row r="384">
      <x:c r="A384" s="14" t="str">
        <x:v>CASE-00379</x:v>
      </x:c>
      <x:c r="B384" s="14" t="str">
        <x:v>Customer Services</x:v>
      </x:c>
      <x:c r="C384" s="14" t="str">
        <x:v>Record mismatch</x:v>
      </x:c>
      <x:c r="D384" s="14" t="str">
        <x:v>Medium</x:v>
      </x:c>
      <x:c r="E384" s="15" t="n">
        <x:v>46229.5</x:v>
      </x:c>
      <x:c r="F384" s="15" t="n">
        <x:v>46236.5</x:v>
      </x:c>
      <x:c r="G384" s="15" t="n">
        <x:v>46238.541666666664</x:v>
      </x:c>
      <x:c r="H384" s="14" t="n">
        <x:v>1</x:v>
      </x:c>
      <x:c r="I384" s="1" t="n">
        <x:f>IF(AND(E384&lt;Reporting!$B$4,OR(G384="",G384&gt;=Reporting!$B$4)),1,0)</x:f>
        <x:v>0</x:v>
      </x:c>
      <x:c r="J384" s="1" t="n">
        <x:f>IF(AND(I384=1,F384&lt;Reporting!$B$4),1,0)</x:f>
        <x:v>0</x:v>
      </x:c>
      <x:c r="K384" s="1" t="n">
        <x:f>IF(F384&lt;Reporting!$B$4,1,0)</x:f>
        <x:v>1</x:v>
      </x:c>
      <x:c r="L384" s="1" t="n">
        <x:f>IF(AND(K384=1,G384&lt;&gt;"",G384&lt;=F384),1,0)</x:f>
        <x:v>0</x:v>
      </x:c>
      <x:c r="M384" s="1" t="n">
        <x:f>IF(AND(G384&lt;&gt;"",G384&lt;Reporting!$B$4),1,0)</x:f>
        <x:v>1</x:v>
      </x:c>
      <x:c r="N384" s="16" t="n">
        <x:f>IF(M384=1,G384-E384,"")</x:f>
        <x:v>9.041666666664241</x:v>
      </x:c>
      <x:c r="O384" s="1" t="str">
        <x:f>IF(E384&gt;=Reporting!$B$4,"Outside cutoff",IF(M384=1,"Closed",IF(J384=1,"Overdue","Open - within SLA")))</x:f>
        <x:v>Closed</x:v>
      </x:c>
    </x:row>
    <x:row r="385">
      <x:c r="A385" s="14" t="str">
        <x:v>CASE-00380</x:v>
      </x:c>
      <x:c r="B385" s="14" t="str">
        <x:v>Customer Services</x:v>
      </x:c>
      <x:c r="C385" s="14" t="str">
        <x:v>Missing evidence</x:v>
      </x:c>
      <x:c r="D385" s="14" t="str">
        <x:v>Medium</x:v>
      </x:c>
      <x:c r="E385" s="15" t="n">
        <x:v>46206.583333333336</x:v>
      </x:c>
      <x:c r="F385" s="15" t="n">
        <x:v>46213.583333333336</x:v>
      </x:c>
      <x:c r="G385" s="15" t="n">
        <x:v>46220.666666666664</x:v>
      </x:c>
      <x:c r="H385" s="14" t="n">
        <x:v>1</x:v>
      </x:c>
      <x:c r="I385" s="1" t="n">
        <x:f>IF(AND(E385&lt;Reporting!$B$4,OR(G385="",G385&gt;=Reporting!$B$4)),1,0)</x:f>
        <x:v>0</x:v>
      </x:c>
      <x:c r="J385" s="1" t="n">
        <x:f>IF(AND(I385=1,F385&lt;Reporting!$B$4),1,0)</x:f>
        <x:v>0</x:v>
      </x:c>
      <x:c r="K385" s="1" t="n">
        <x:f>IF(F385&lt;Reporting!$B$4,1,0)</x:f>
        <x:v>1</x:v>
      </x:c>
      <x:c r="L385" s="1" t="n">
        <x:f>IF(AND(K385=1,G385&lt;&gt;"",G385&lt;=F385),1,0)</x:f>
        <x:v>0</x:v>
      </x:c>
      <x:c r="M385" s="1" t="n">
        <x:f>IF(AND(G385&lt;&gt;"",G385&lt;Reporting!$B$4),1,0)</x:f>
        <x:v>1</x:v>
      </x:c>
      <x:c r="N385" s="16" t="n">
        <x:f>IF(M385=1,G385-E385,"")</x:f>
        <x:v>14.083333333328483</x:v>
      </x:c>
      <x:c r="O385" s="1" t="str">
        <x:f>IF(E385&gt;=Reporting!$B$4,"Outside cutoff",IF(M385=1,"Closed",IF(J385=1,"Overdue","Open - within SLA")))</x:f>
        <x:v>Closed</x:v>
      </x:c>
    </x:row>
    <x:row r="386">
      <x:c r="A386" s="14" t="str">
        <x:v>CASE-00381</x:v>
      </x:c>
      <x:c r="B386" s="14" t="str">
        <x:v>Warehouse</x:v>
      </x:c>
      <x:c r="C386" s="14" t="str">
        <x:v>Missing evidence</x:v>
      </x:c>
      <x:c r="D386" s="14" t="str">
        <x:v>Low</x:v>
      </x:c>
      <x:c r="E386" s="15" t="n">
        <x:v>46241.666666666664</x:v>
      </x:c>
      <x:c r="F386" s="15" t="n">
        <x:v>46255.666666666664</x:v>
      </x:c>
      <x:c r="G386" s="15" t="n">
        <x:v>46243.666666666664</x:v>
      </x:c>
      <x:c r="H386" s="14" t="n">
        <x:v>2</x:v>
      </x:c>
      <x:c r="I386" s="1" t="n">
        <x:f>IF(AND(E386&lt;Reporting!$B$4,OR(G386="",G386&gt;=Reporting!$B$4)),1,0)</x:f>
        <x:v>0</x:v>
      </x:c>
      <x:c r="J386" s="1" t="n">
        <x:f>IF(AND(I386=1,F386&lt;Reporting!$B$4),1,0)</x:f>
        <x:v>0</x:v>
      </x:c>
      <x:c r="K386" s="1" t="n">
        <x:f>IF(F386&lt;Reporting!$B$4,1,0)</x:f>
        <x:v>1</x:v>
      </x:c>
      <x:c r="L386" s="1" t="n">
        <x:f>IF(AND(K386=1,G386&lt;&gt;"",G386&lt;=F386),1,0)</x:f>
        <x:v>1</x:v>
      </x:c>
      <x:c r="M386" s="1" t="n">
        <x:f>IF(AND(G386&lt;&gt;"",G386&lt;Reporting!$B$4),1,0)</x:f>
        <x:v>1</x:v>
      </x:c>
      <x:c r="N386" s="16" t="n">
        <x:f>IF(M386=1,G386-E386,"")</x:f>
        <x:v>2</x:v>
      </x:c>
      <x:c r="O386" s="1" t="str">
        <x:f>IF(E386&gt;=Reporting!$B$4,"Outside cutoff",IF(M386=1,"Closed",IF(J386=1,"Overdue","Open - within SLA")))</x:f>
        <x:v>Closed</x:v>
      </x:c>
    </x:row>
    <x:row r="387">
      <x:c r="A387" s="14" t="str">
        <x:v>CASE-00382</x:v>
      </x:c>
      <x:c r="B387" s="14" t="str">
        <x:v>Customer Services</x:v>
      </x:c>
      <x:c r="C387" s="14" t="str">
        <x:v>Process deviation</x:v>
      </x:c>
      <x:c r="D387" s="14" t="str">
        <x:v>Medium</x:v>
      </x:c>
      <x:c r="E387" s="15" t="n">
        <x:v>46215.625</x:v>
      </x:c>
      <x:c r="F387" s="15" t="n">
        <x:v>46222.625</x:v>
      </x:c>
      <x:c r="G387" s="15"/>
      <x:c r="H387" s="14" t="n">
        <x:v>1</x:v>
      </x:c>
      <x:c r="I387" s="1" t="n">
        <x:f>IF(AND(E387&lt;Reporting!$B$4,OR(G387="",G387&gt;=Reporting!$B$4)),1,0)</x:f>
        <x:v>1</x:v>
      </x:c>
      <x:c r="J387" s="1" t="n">
        <x:f>IF(AND(I387=1,F387&lt;Reporting!$B$4),1,0)</x:f>
        <x:v>1</x:v>
      </x:c>
      <x:c r="K387" s="1" t="n">
        <x:f>IF(F387&lt;Reporting!$B$4,1,0)</x:f>
        <x:v>1</x:v>
      </x:c>
      <x:c r="L387" s="1" t="n">
        <x:f>IF(AND(K387=1,G387&lt;&gt;"",G387&lt;=F387),1,0)</x:f>
        <x:v>0</x:v>
      </x:c>
      <x:c r="M387" s="1" t="n">
        <x:f>IF(AND(G387&lt;&gt;"",G387&lt;Reporting!$B$4),1,0)</x:f>
        <x:v>0</x:v>
      </x:c>
      <x:c r="N387" s="16" t="str">
        <x:f>IF(M387=1,G387-E387,"")</x:f>
      </x:c>
      <x:c r="O387" s="1" t="str">
        <x:f>IF(E387&gt;=Reporting!$B$4,"Outside cutoff",IF(M387=1,"Closed",IF(J387=1,"Overdue","Open - within SLA")))</x:f>
        <x:v>Overdue</x:v>
      </x:c>
    </x:row>
    <x:row r="388">
      <x:c r="A388" s="14" t="str">
        <x:v>CASE-00383</x:v>
      </x:c>
      <x:c r="B388" s="14" t="str">
        <x:v>Customer Services</x:v>
      </x:c>
      <x:c r="C388" s="14" t="str">
        <x:v>Missing evidence</x:v>
      </x:c>
      <x:c r="D388" s="14" t="str">
        <x:v>High</x:v>
      </x:c>
      <x:c r="E388" s="15" t="n">
        <x:v>46275.333333333336</x:v>
      </x:c>
      <x:c r="F388" s="15" t="n">
        <x:v>46278.333333333336</x:v>
      </x:c>
      <x:c r="G388" s="15" t="n">
        <x:v>46278.375</x:v>
      </x:c>
      <x:c r="H388" s="14" t="n">
        <x:v>1</x:v>
      </x:c>
      <x:c r="I388" s="1" t="n">
        <x:f>IF(AND(E388&lt;Reporting!$B$4,OR(G388="",G388&gt;=Reporting!$B$4)),1,0)</x:f>
        <x:v>0</x:v>
      </x:c>
      <x:c r="J388" s="1" t="n">
        <x:f>IF(AND(I388=1,F388&lt;Reporting!$B$4),1,0)</x:f>
        <x:v>0</x:v>
      </x:c>
      <x:c r="K388" s="1" t="n">
        <x:f>IF(F388&lt;Reporting!$B$4,1,0)</x:f>
        <x:v>1</x:v>
      </x:c>
      <x:c r="L388" s="1" t="n">
        <x:f>IF(AND(K388=1,G388&lt;&gt;"",G388&lt;=F388),1,0)</x:f>
        <x:v>0</x:v>
      </x:c>
      <x:c r="M388" s="1" t="n">
        <x:f>IF(AND(G388&lt;&gt;"",G388&lt;Reporting!$B$4),1,0)</x:f>
        <x:v>1</x:v>
      </x:c>
      <x:c r="N388" s="16" t="n">
        <x:f>IF(M388=1,G388-E388,"")</x:f>
        <x:v>3.0416666666642413</x:v>
      </x:c>
      <x:c r="O388" s="1" t="str">
        <x:f>IF(E388&gt;=Reporting!$B$4,"Outside cutoff",IF(M388=1,"Closed",IF(J388=1,"Overdue","Open - within SLA")))</x:f>
        <x:v>Closed</x:v>
      </x:c>
    </x:row>
    <x:row r="389">
      <x:c r="A389" s="14" t="str">
        <x:v>CASE-00384</x:v>
      </x:c>
      <x:c r="B389" s="14" t="str">
        <x:v>Customer Services</x:v>
      </x:c>
      <x:c r="C389" s="14" t="str">
        <x:v>Missing evidence</x:v>
      </x:c>
      <x:c r="D389" s="14" t="str">
        <x:v>Medium</x:v>
      </x:c>
      <x:c r="E389" s="15" t="n">
        <x:v>46214.5</x:v>
      </x:c>
      <x:c r="F389" s="15" t="n">
        <x:v>46221.5</x:v>
      </x:c>
      <x:c r="G389" s="15" t="n">
        <x:v>46225.541666666664</x:v>
      </x:c>
      <x:c r="H389" s="14" t="n">
        <x:v>1</x:v>
      </x:c>
      <x:c r="I389" s="1" t="n">
        <x:f>IF(AND(E389&lt;Reporting!$B$4,OR(G389="",G389&gt;=Reporting!$B$4)),1,0)</x:f>
        <x:v>0</x:v>
      </x:c>
      <x:c r="J389" s="1" t="n">
        <x:f>IF(AND(I389=1,F389&lt;Reporting!$B$4),1,0)</x:f>
        <x:v>0</x:v>
      </x:c>
      <x:c r="K389" s="1" t="n">
        <x:f>IF(F389&lt;Reporting!$B$4,1,0)</x:f>
        <x:v>1</x:v>
      </x:c>
      <x:c r="L389" s="1" t="n">
        <x:f>IF(AND(K389=1,G389&lt;&gt;"",G389&lt;=F389),1,0)</x:f>
        <x:v>0</x:v>
      </x:c>
      <x:c r="M389" s="1" t="n">
        <x:f>IF(AND(G389&lt;&gt;"",G389&lt;Reporting!$B$4),1,0)</x:f>
        <x:v>1</x:v>
      </x:c>
      <x:c r="N389" s="16" t="n">
        <x:f>IF(M389=1,G389-E389,"")</x:f>
        <x:v>11.041666666664241</x:v>
      </x:c>
      <x:c r="O389" s="1" t="str">
        <x:f>IF(E389&gt;=Reporting!$B$4,"Outside cutoff",IF(M389=1,"Closed",IF(J389=1,"Overdue","Open - within SLA")))</x:f>
        <x:v>Closed</x:v>
      </x:c>
    </x:row>
    <x:row r="390">
      <x:c r="A390" s="14" t="str">
        <x:v>CASE-00385</x:v>
      </x:c>
      <x:c r="B390" s="14" t="str">
        <x:v>Warehouse</x:v>
      </x:c>
      <x:c r="C390" s="14" t="str">
        <x:v>Missing evidence</x:v>
      </x:c>
      <x:c r="D390" s="14" t="str">
        <x:v>High</x:v>
      </x:c>
      <x:c r="E390" s="15" t="n">
        <x:v>46224.5</x:v>
      </x:c>
      <x:c r="F390" s="15" t="n">
        <x:v>46227.5</x:v>
      </x:c>
      <x:c r="G390" s="15" t="n">
        <x:v>46225.541666666664</x:v>
      </x:c>
      <x:c r="H390" s="14" t="n">
        <x:v>2</x:v>
      </x:c>
      <x:c r="I390" s="1" t="n">
        <x:f>IF(AND(E390&lt;Reporting!$B$4,OR(G390="",G390&gt;=Reporting!$B$4)),1,0)</x:f>
        <x:v>0</x:v>
      </x:c>
      <x:c r="J390" s="1" t="n">
        <x:f>IF(AND(I390=1,F390&lt;Reporting!$B$4),1,0)</x:f>
        <x:v>0</x:v>
      </x:c>
      <x:c r="K390" s="1" t="n">
        <x:f>IF(F390&lt;Reporting!$B$4,1,0)</x:f>
        <x:v>1</x:v>
      </x:c>
      <x:c r="L390" s="1" t="n">
        <x:f>IF(AND(K390=1,G390&lt;&gt;"",G390&lt;=F390),1,0)</x:f>
        <x:v>1</x:v>
      </x:c>
      <x:c r="M390" s="1" t="n">
        <x:f>IF(AND(G390&lt;&gt;"",G390&lt;Reporting!$B$4),1,0)</x:f>
        <x:v>1</x:v>
      </x:c>
      <x:c r="N390" s="16" t="n">
        <x:f>IF(M390=1,G390-E390,"")</x:f>
        <x:v>1.0416666666642413</x:v>
      </x:c>
      <x:c r="O390" s="1" t="str">
        <x:f>IF(E390&gt;=Reporting!$B$4,"Outside cutoff",IF(M390=1,"Closed",IF(J390=1,"Overdue","Open - within SLA")))</x:f>
        <x:v>Closed</x:v>
      </x:c>
    </x:row>
    <x:row r="391">
      <x:c r="A391" s="14" t="str">
        <x:v>CASE-00386</x:v>
      </x:c>
      <x:c r="B391" s="14" t="str">
        <x:v>Warehouse</x:v>
      </x:c>
      <x:c r="C391" s="14" t="str">
        <x:v>Missing evidence</x:v>
      </x:c>
      <x:c r="D391" s="14" t="str">
        <x:v>Low</x:v>
      </x:c>
      <x:c r="E391" s="15" t="n">
        <x:v>46240.458333333336</x:v>
      </x:c>
      <x:c r="F391" s="15" t="n">
        <x:v>46254.458333333336</x:v>
      </x:c>
      <x:c r="G391" s="15" t="n">
        <x:v>46254.5</x:v>
      </x:c>
      <x:c r="H391" s="14" t="n">
        <x:v>2</x:v>
      </x:c>
      <x:c r="I391" s="1" t="n">
        <x:f>IF(AND(E391&lt;Reporting!$B$4,OR(G391="",G391&gt;=Reporting!$B$4)),1,0)</x:f>
        <x:v>0</x:v>
      </x:c>
      <x:c r="J391" s="1" t="n">
        <x:f>IF(AND(I391=1,F391&lt;Reporting!$B$4),1,0)</x:f>
        <x:v>0</x:v>
      </x:c>
      <x:c r="K391" s="1" t="n">
        <x:f>IF(F391&lt;Reporting!$B$4,1,0)</x:f>
        <x:v>1</x:v>
      </x:c>
      <x:c r="L391" s="1" t="n">
        <x:f>IF(AND(K391=1,G391&lt;&gt;"",G391&lt;=F391),1,0)</x:f>
        <x:v>0</x:v>
      </x:c>
      <x:c r="M391" s="1" t="n">
        <x:f>IF(AND(G391&lt;&gt;"",G391&lt;Reporting!$B$4),1,0)</x:f>
        <x:v>1</x:v>
      </x:c>
      <x:c r="N391" s="16" t="n">
        <x:f>IF(M391=1,G391-E391,"")</x:f>
        <x:v>14.041666666664241</x:v>
      </x:c>
      <x:c r="O391" s="1" t="str">
        <x:f>IF(E391&gt;=Reporting!$B$4,"Outside cutoff",IF(M391=1,"Closed",IF(J391=1,"Overdue","Open - within SLA")))</x:f>
        <x:v>Closed</x:v>
      </x:c>
    </x:row>
    <x:row r="392">
      <x:c r="A392" s="14" t="str">
        <x:v>CASE-00387</x:v>
      </x:c>
      <x:c r="B392" s="14" t="str">
        <x:v>Customer Services</x:v>
      </x:c>
      <x:c r="C392" s="14" t="str">
        <x:v>Late review</x:v>
      </x:c>
      <x:c r="D392" s="14" t="str">
        <x:v>Medium</x:v>
      </x:c>
      <x:c r="E392" s="15" t="n">
        <x:v>46278.458333333336</x:v>
      </x:c>
      <x:c r="F392" s="15" t="n">
        <x:v>46285.458333333336</x:v>
      </x:c>
      <x:c r="G392" s="15"/>
      <x:c r="H392" s="14" t="n">
        <x:v>1</x:v>
      </x:c>
      <x:c r="I392" s="1" t="n">
        <x:f>IF(AND(E392&lt;Reporting!$B$4,OR(G392="",G392&gt;=Reporting!$B$4)),1,0)</x:f>
        <x:v>1</x:v>
      </x:c>
      <x:c r="J392" s="1" t="n">
        <x:f>IF(AND(I392=1,F392&lt;Reporting!$B$4),1,0)</x:f>
        <x:v>1</x:v>
      </x:c>
      <x:c r="K392" s="1" t="n">
        <x:f>IF(F392&lt;Reporting!$B$4,1,0)</x:f>
        <x:v>1</x:v>
      </x:c>
      <x:c r="L392" s="1" t="n">
        <x:f>IF(AND(K392=1,G392&lt;&gt;"",G392&lt;=F392),1,0)</x:f>
        <x:v>0</x:v>
      </x:c>
      <x:c r="M392" s="1" t="n">
        <x:f>IF(AND(G392&lt;&gt;"",G392&lt;Reporting!$B$4),1,0)</x:f>
        <x:v>0</x:v>
      </x:c>
      <x:c r="N392" s="16" t="str">
        <x:f>IF(M392=1,G392-E392,"")</x:f>
      </x:c>
      <x:c r="O392" s="1" t="str">
        <x:f>IF(E392&gt;=Reporting!$B$4,"Outside cutoff",IF(M392=1,"Closed",IF(J392=1,"Overdue","Open - within SLA")))</x:f>
        <x:v>Overdue</x:v>
      </x:c>
    </x:row>
    <x:row r="393">
      <x:c r="A393" s="14" t="str">
        <x:v>CASE-00388</x:v>
      </x:c>
      <x:c r="B393" s="14" t="str">
        <x:v>Installation</x:v>
      </x:c>
      <x:c r="C393" s="14" t="str">
        <x:v>Process deviation</x:v>
      </x:c>
      <x:c r="D393" s="14" t="str">
        <x:v>Medium</x:v>
      </x:c>
      <x:c r="E393" s="15" t="n">
        <x:v>46208.583333333336</x:v>
      </x:c>
      <x:c r="F393" s="15" t="n">
        <x:v>46215.583333333336</x:v>
      </x:c>
      <x:c r="G393" s="15" t="n">
        <x:v>46216.583333333336</x:v>
      </x:c>
      <x:c r="H393" s="14" t="n">
        <x:v>3</x:v>
      </x:c>
      <x:c r="I393" s="1" t="n">
        <x:f>IF(AND(E393&lt;Reporting!$B$4,OR(G393="",G393&gt;=Reporting!$B$4)),1,0)</x:f>
        <x:v>0</x:v>
      </x:c>
      <x:c r="J393" s="1" t="n">
        <x:f>IF(AND(I393=1,F393&lt;Reporting!$B$4),1,0)</x:f>
        <x:v>0</x:v>
      </x:c>
      <x:c r="K393" s="1" t="n">
        <x:f>IF(F393&lt;Reporting!$B$4,1,0)</x:f>
        <x:v>1</x:v>
      </x:c>
      <x:c r="L393" s="1" t="n">
        <x:f>IF(AND(K393=1,G393&lt;&gt;"",G393&lt;=F393),1,0)</x:f>
        <x:v>0</x:v>
      </x:c>
      <x:c r="M393" s="1" t="n">
        <x:f>IF(AND(G393&lt;&gt;"",G393&lt;Reporting!$B$4),1,0)</x:f>
        <x:v>1</x:v>
      </x:c>
      <x:c r="N393" s="16" t="n">
        <x:f>IF(M393=1,G393-E393,"")</x:f>
        <x:v>8</x:v>
      </x:c>
      <x:c r="O393" s="1" t="str">
        <x:f>IF(E393&gt;=Reporting!$B$4,"Outside cutoff",IF(M393=1,"Closed",IF(J393=1,"Overdue","Open - within SLA")))</x:f>
        <x:v>Closed</x:v>
      </x:c>
    </x:row>
    <x:row r="394">
      <x:c r="A394" s="14" t="str">
        <x:v>CASE-00389</x:v>
      </x:c>
      <x:c r="B394" s="14" t="str">
        <x:v>Installation</x:v>
      </x:c>
      <x:c r="C394" s="14" t="str">
        <x:v>Late review</x:v>
      </x:c>
      <x:c r="D394" s="14" t="str">
        <x:v>Low</x:v>
      </x:c>
      <x:c r="E394" s="15" t="n">
        <x:v>46215.375</x:v>
      </x:c>
      <x:c r="F394" s="15" t="n">
        <x:v>46229.375</x:v>
      </x:c>
      <x:c r="G394" s="15" t="n">
        <x:v>46225.416666666664</x:v>
      </x:c>
      <x:c r="H394" s="14" t="n">
        <x:v>3</x:v>
      </x:c>
      <x:c r="I394" s="1" t="n">
        <x:f>IF(AND(E394&lt;Reporting!$B$4,OR(G394="",G394&gt;=Reporting!$B$4)),1,0)</x:f>
        <x:v>0</x:v>
      </x:c>
      <x:c r="J394" s="1" t="n">
        <x:f>IF(AND(I394=1,F394&lt;Reporting!$B$4),1,0)</x:f>
        <x:v>0</x:v>
      </x:c>
      <x:c r="K394" s="1" t="n">
        <x:f>IF(F394&lt;Reporting!$B$4,1,0)</x:f>
        <x:v>1</x:v>
      </x:c>
      <x:c r="L394" s="1" t="n">
        <x:f>IF(AND(K394=1,G394&lt;&gt;"",G394&lt;=F394),1,0)</x:f>
        <x:v>1</x:v>
      </x:c>
      <x:c r="M394" s="1" t="n">
        <x:f>IF(AND(G394&lt;&gt;"",G394&lt;Reporting!$B$4),1,0)</x:f>
        <x:v>1</x:v>
      </x:c>
      <x:c r="N394" s="16" t="n">
        <x:f>IF(M394=1,G394-E394,"")</x:f>
        <x:v>10.041666666664241</x:v>
      </x:c>
      <x:c r="O394" s="1" t="str">
        <x:f>IF(E394&gt;=Reporting!$B$4,"Outside cutoff",IF(M394=1,"Closed",IF(J394=1,"Overdue","Open - within SLA")))</x:f>
        <x:v>Closed</x:v>
      </x:c>
    </x:row>
    <x:row r="395">
      <x:c r="A395" s="14" t="str">
        <x:v>CASE-00390</x:v>
      </x:c>
      <x:c r="B395" s="14" t="str">
        <x:v>Warehouse</x:v>
      </x:c>
      <x:c r="C395" s="14" t="str">
        <x:v>Missing evidence</x:v>
      </x:c>
      <x:c r="D395" s="14" t="str">
        <x:v>Medium</x:v>
      </x:c>
      <x:c r="E395" s="15" t="n">
        <x:v>46249.416666666664</x:v>
      </x:c>
      <x:c r="F395" s="15" t="n">
        <x:v>46256.416666666664</x:v>
      </x:c>
      <x:c r="G395" s="15" t="n">
        <x:v>46268.458333333336</x:v>
      </x:c>
      <x:c r="H395" s="14" t="n">
        <x:v>2</x:v>
      </x:c>
      <x:c r="I395" s="1" t="n">
        <x:f>IF(AND(E395&lt;Reporting!$B$4,OR(G395="",G395&gt;=Reporting!$B$4)),1,0)</x:f>
        <x:v>0</x:v>
      </x:c>
      <x:c r="J395" s="1" t="n">
        <x:f>IF(AND(I395=1,F395&lt;Reporting!$B$4),1,0)</x:f>
        <x:v>0</x:v>
      </x:c>
      <x:c r="K395" s="1" t="n">
        <x:f>IF(F395&lt;Reporting!$B$4,1,0)</x:f>
        <x:v>1</x:v>
      </x:c>
      <x:c r="L395" s="1" t="n">
        <x:f>IF(AND(K395=1,G395&lt;&gt;"",G395&lt;=F395),1,0)</x:f>
        <x:v>0</x:v>
      </x:c>
      <x:c r="M395" s="1" t="n">
        <x:f>IF(AND(G395&lt;&gt;"",G395&lt;Reporting!$B$4),1,0)</x:f>
        <x:v>1</x:v>
      </x:c>
      <x:c r="N395" s="16" t="n">
        <x:f>IF(M395=1,G395-E395,"")</x:f>
        <x:v>19.041666666671517</x:v>
      </x:c>
      <x:c r="O395" s="1" t="str">
        <x:f>IF(E395&gt;=Reporting!$B$4,"Outside cutoff",IF(M395=1,"Closed",IF(J395=1,"Overdue","Open - within SLA")))</x:f>
        <x:v>Closed</x:v>
      </x:c>
    </x:row>
    <x:row r="396">
      <x:c r="A396" s="14" t="str">
        <x:v>CASE-00391</x:v>
      </x:c>
      <x:c r="B396" s="14" t="str">
        <x:v>Customer Services</x:v>
      </x:c>
      <x:c r="C396" s="14" t="str">
        <x:v>Record mismatch</x:v>
      </x:c>
      <x:c r="D396" s="14" t="str">
        <x:v>Medium</x:v>
      </x:c>
      <x:c r="E396" s="15" t="n">
        <x:v>46230.375</x:v>
      </x:c>
      <x:c r="F396" s="15" t="n">
        <x:v>46237.375</x:v>
      </x:c>
      <x:c r="G396" s="15" t="n">
        <x:v>46237.458333333336</x:v>
      </x:c>
      <x:c r="H396" s="14" t="n">
        <x:v>1</x:v>
      </x:c>
      <x:c r="I396" s="1" t="n">
        <x:f>IF(AND(E396&lt;Reporting!$B$4,OR(G396="",G396&gt;=Reporting!$B$4)),1,0)</x:f>
        <x:v>0</x:v>
      </x:c>
      <x:c r="J396" s="1" t="n">
        <x:f>IF(AND(I396=1,F396&lt;Reporting!$B$4),1,0)</x:f>
        <x:v>0</x:v>
      </x:c>
      <x:c r="K396" s="1" t="n">
        <x:f>IF(F396&lt;Reporting!$B$4,1,0)</x:f>
        <x:v>1</x:v>
      </x:c>
      <x:c r="L396" s="1" t="n">
        <x:f>IF(AND(K396=1,G396&lt;&gt;"",G396&lt;=F396),1,0)</x:f>
        <x:v>0</x:v>
      </x:c>
      <x:c r="M396" s="1" t="n">
        <x:f>IF(AND(G396&lt;&gt;"",G396&lt;Reporting!$B$4),1,0)</x:f>
        <x:v>1</x:v>
      </x:c>
      <x:c r="N396" s="16" t="n">
        <x:f>IF(M396=1,G396-E396,"")</x:f>
        <x:v>7.083333333335759</x:v>
      </x:c>
      <x:c r="O396" s="1" t="str">
        <x:f>IF(E396&gt;=Reporting!$B$4,"Outside cutoff",IF(M396=1,"Closed",IF(J396=1,"Overdue","Open - within SLA")))</x:f>
        <x:v>Closed</x:v>
      </x:c>
    </x:row>
    <x:row r="397">
      <x:c r="A397" s="14" t="str">
        <x:v>CASE-00392</x:v>
      </x:c>
      <x:c r="B397" s="14" t="str">
        <x:v>Installation</x:v>
      </x:c>
      <x:c r="C397" s="14" t="str">
        <x:v>Process deviation</x:v>
      </x:c>
      <x:c r="D397" s="14" t="str">
        <x:v>Medium</x:v>
      </x:c>
      <x:c r="E397" s="15" t="n">
        <x:v>46210.375</x:v>
      </x:c>
      <x:c r="F397" s="15" t="n">
        <x:v>46217.375</x:v>
      </x:c>
      <x:c r="G397" s="15" t="n">
        <x:v>46225.375</x:v>
      </x:c>
      <x:c r="H397" s="14" t="n">
        <x:v>3</x:v>
      </x:c>
      <x:c r="I397" s="1" t="n">
        <x:f>IF(AND(E397&lt;Reporting!$B$4,OR(G397="",G397&gt;=Reporting!$B$4)),1,0)</x:f>
        <x:v>0</x:v>
      </x:c>
      <x:c r="J397" s="1" t="n">
        <x:f>IF(AND(I397=1,F397&lt;Reporting!$B$4),1,0)</x:f>
        <x:v>0</x:v>
      </x:c>
      <x:c r="K397" s="1" t="n">
        <x:f>IF(F397&lt;Reporting!$B$4,1,0)</x:f>
        <x:v>1</x:v>
      </x:c>
      <x:c r="L397" s="1" t="n">
        <x:f>IF(AND(K397=1,G397&lt;&gt;"",G397&lt;=F397),1,0)</x:f>
        <x:v>0</x:v>
      </x:c>
      <x:c r="M397" s="1" t="n">
        <x:f>IF(AND(G397&lt;&gt;"",G397&lt;Reporting!$B$4),1,0)</x:f>
        <x:v>1</x:v>
      </x:c>
      <x:c r="N397" s="16" t="n">
        <x:f>IF(M397=1,G397-E397,"")</x:f>
        <x:v>15</x:v>
      </x:c>
      <x:c r="O397" s="1" t="str">
        <x:f>IF(E397&gt;=Reporting!$B$4,"Outside cutoff",IF(M397=1,"Closed",IF(J397=1,"Overdue","Open - within SLA")))</x:f>
        <x:v>Closed</x:v>
      </x:c>
    </x:row>
    <x:row r="398">
      <x:c r="A398" s="14" t="str">
        <x:v>CASE-00393</x:v>
      </x:c>
      <x:c r="B398" s="14" t="str">
        <x:v>Customer Services</x:v>
      </x:c>
      <x:c r="C398" s="14" t="str">
        <x:v>Record mismatch</x:v>
      </x:c>
      <x:c r="D398" s="14" t="str">
        <x:v>High</x:v>
      </x:c>
      <x:c r="E398" s="15" t="n">
        <x:v>46234.666666666664</x:v>
      </x:c>
      <x:c r="F398" s="15" t="n">
        <x:v>46237.666666666664</x:v>
      </x:c>
      <x:c r="G398" s="15" t="n">
        <x:v>46241.75</x:v>
      </x:c>
      <x:c r="H398" s="14" t="n">
        <x:v>1</x:v>
      </x:c>
      <x:c r="I398" s="1" t="n">
        <x:f>IF(AND(E398&lt;Reporting!$B$4,OR(G398="",G398&gt;=Reporting!$B$4)),1,0)</x:f>
        <x:v>0</x:v>
      </x:c>
      <x:c r="J398" s="1" t="n">
        <x:f>IF(AND(I398=1,F398&lt;Reporting!$B$4),1,0)</x:f>
        <x:v>0</x:v>
      </x:c>
      <x:c r="K398" s="1" t="n">
        <x:f>IF(F398&lt;Reporting!$B$4,1,0)</x:f>
        <x:v>1</x:v>
      </x:c>
      <x:c r="L398" s="1" t="n">
        <x:f>IF(AND(K398=1,G398&lt;&gt;"",G398&lt;=F398),1,0)</x:f>
        <x:v>0</x:v>
      </x:c>
      <x:c r="M398" s="1" t="n">
        <x:f>IF(AND(G398&lt;&gt;"",G398&lt;Reporting!$B$4),1,0)</x:f>
        <x:v>1</x:v>
      </x:c>
      <x:c r="N398" s="16" t="n">
        <x:f>IF(M398=1,G398-E398,"")</x:f>
        <x:v>7.083333333335759</x:v>
      </x:c>
      <x:c r="O398" s="1" t="str">
        <x:f>IF(E398&gt;=Reporting!$B$4,"Outside cutoff",IF(M398=1,"Closed",IF(J398=1,"Overdue","Open - within SLA")))</x:f>
        <x:v>Closed</x:v>
      </x:c>
    </x:row>
    <x:row r="399">
      <x:c r="A399" s="14" t="str">
        <x:v>CASE-00394</x:v>
      </x:c>
      <x:c r="B399" s="14" t="str">
        <x:v>Installation</x:v>
      </x:c>
      <x:c r="C399" s="14" t="str">
        <x:v>Late review</x:v>
      </x:c>
      <x:c r="D399" s="14" t="str">
        <x:v>Low</x:v>
      </x:c>
      <x:c r="E399" s="15" t="n">
        <x:v>46238.458333333336</x:v>
      </x:c>
      <x:c r="F399" s="15" t="n">
        <x:v>46252.458333333336</x:v>
      </x:c>
      <x:c r="G399" s="15" t="n">
        <x:v>46239.5</x:v>
      </x:c>
      <x:c r="H399" s="14" t="n">
        <x:v>3</x:v>
      </x:c>
      <x:c r="I399" s="1" t="n">
        <x:f>IF(AND(E399&lt;Reporting!$B$4,OR(G399="",G399&gt;=Reporting!$B$4)),1,0)</x:f>
        <x:v>0</x:v>
      </x:c>
      <x:c r="J399" s="1" t="n">
        <x:f>IF(AND(I399=1,F399&lt;Reporting!$B$4),1,0)</x:f>
        <x:v>0</x:v>
      </x:c>
      <x:c r="K399" s="1" t="n">
        <x:f>IF(F399&lt;Reporting!$B$4,1,0)</x:f>
        <x:v>1</x:v>
      </x:c>
      <x:c r="L399" s="1" t="n">
        <x:f>IF(AND(K399=1,G399&lt;&gt;"",G399&lt;=F399),1,0)</x:f>
        <x:v>1</x:v>
      </x:c>
      <x:c r="M399" s="1" t="n">
        <x:f>IF(AND(G399&lt;&gt;"",G399&lt;Reporting!$B$4),1,0)</x:f>
        <x:v>1</x:v>
      </x:c>
      <x:c r="N399" s="16" t="n">
        <x:f>IF(M399=1,G399-E399,"")</x:f>
        <x:v>1.0416666666642413</x:v>
      </x:c>
      <x:c r="O399" s="1" t="str">
        <x:f>IF(E399&gt;=Reporting!$B$4,"Outside cutoff",IF(M399=1,"Closed",IF(J399=1,"Overdue","Open - within SLA")))</x:f>
        <x:v>Closed</x:v>
      </x:c>
    </x:row>
    <x:row r="400">
      <x:c r="A400" s="14" t="str">
        <x:v>CASE-00395</x:v>
      </x:c>
      <x:c r="B400" s="14" t="str">
        <x:v>Installation</x:v>
      </x:c>
      <x:c r="C400" s="14" t="str">
        <x:v>Record mismatch</x:v>
      </x:c>
      <x:c r="D400" s="14" t="str">
        <x:v>Low</x:v>
      </x:c>
      <x:c r="E400" s="15" t="n">
        <x:v>46213.416666666664</x:v>
      </x:c>
      <x:c r="F400" s="15" t="n">
        <x:v>46227.416666666664</x:v>
      </x:c>
      <x:c r="G400" s="15"/>
      <x:c r="H400" s="14" t="n">
        <x:v>3</x:v>
      </x:c>
      <x:c r="I400" s="1" t="n">
        <x:f>IF(AND(E400&lt;Reporting!$B$4,OR(G400="",G400&gt;=Reporting!$B$4)),1,0)</x:f>
        <x:v>1</x:v>
      </x:c>
      <x:c r="J400" s="1" t="n">
        <x:f>IF(AND(I400=1,F400&lt;Reporting!$B$4),1,0)</x:f>
        <x:v>1</x:v>
      </x:c>
      <x:c r="K400" s="1" t="n">
        <x:f>IF(F400&lt;Reporting!$B$4,1,0)</x:f>
        <x:v>1</x:v>
      </x:c>
      <x:c r="L400" s="1" t="n">
        <x:f>IF(AND(K400=1,G400&lt;&gt;"",G400&lt;=F400),1,0)</x:f>
        <x:v>0</x:v>
      </x:c>
      <x:c r="M400" s="1" t="n">
        <x:f>IF(AND(G400&lt;&gt;"",G400&lt;Reporting!$B$4),1,0)</x:f>
        <x:v>0</x:v>
      </x:c>
      <x:c r="N400" s="16" t="str">
        <x:f>IF(M400=1,G400-E400,"")</x:f>
      </x:c>
      <x:c r="O400" s="1" t="str">
        <x:f>IF(E400&gt;=Reporting!$B$4,"Outside cutoff",IF(M400=1,"Closed",IF(J400=1,"Overdue","Open - within SLA")))</x:f>
        <x:v>Overdue</x:v>
      </x:c>
    </x:row>
    <x:row r="401">
      <x:c r="A401" s="14" t="str">
        <x:v>CASE-00396</x:v>
      </x:c>
      <x:c r="B401" s="14" t="str">
        <x:v>Customer Services</x:v>
      </x:c>
      <x:c r="C401" s="14" t="str">
        <x:v>Missing evidence</x:v>
      </x:c>
      <x:c r="D401" s="14" t="str">
        <x:v>Low</x:v>
      </x:c>
      <x:c r="E401" s="15" t="n">
        <x:v>46236.416666666664</x:v>
      </x:c>
      <x:c r="F401" s="15" t="n">
        <x:v>46250.416666666664</x:v>
      </x:c>
      <x:c r="G401" s="15" t="n">
        <x:v>46249.458333333336</x:v>
      </x:c>
      <x:c r="H401" s="14" t="n">
        <x:v>1</x:v>
      </x:c>
      <x:c r="I401" s="1" t="n">
        <x:f>IF(AND(E401&lt;Reporting!$B$4,OR(G401="",G401&gt;=Reporting!$B$4)),1,0)</x:f>
        <x:v>0</x:v>
      </x:c>
      <x:c r="J401" s="1" t="n">
        <x:f>IF(AND(I401=1,F401&lt;Reporting!$B$4),1,0)</x:f>
        <x:v>0</x:v>
      </x:c>
      <x:c r="K401" s="1" t="n">
        <x:f>IF(F401&lt;Reporting!$B$4,1,0)</x:f>
        <x:v>1</x:v>
      </x:c>
      <x:c r="L401" s="1" t="n">
        <x:f>IF(AND(K401=1,G401&lt;&gt;"",G401&lt;=F401),1,0)</x:f>
        <x:v>1</x:v>
      </x:c>
      <x:c r="M401" s="1" t="n">
        <x:f>IF(AND(G401&lt;&gt;"",G401&lt;Reporting!$B$4),1,0)</x:f>
        <x:v>1</x:v>
      </x:c>
      <x:c r="N401" s="16" t="n">
        <x:f>IF(M401=1,G401-E401,"")</x:f>
        <x:v>13.041666666671517</x:v>
      </x:c>
      <x:c r="O401" s="1" t="str">
        <x:f>IF(E401&gt;=Reporting!$B$4,"Outside cutoff",IF(M401=1,"Closed",IF(J401=1,"Overdue","Open - within SLA")))</x:f>
        <x:v>Closed</x:v>
      </x:c>
    </x:row>
    <x:row r="402">
      <x:c r="A402" s="14" t="str">
        <x:v>CASE-00397</x:v>
      </x:c>
      <x:c r="B402" s="14" t="str">
        <x:v>Installation</x:v>
      </x:c>
      <x:c r="C402" s="14" t="str">
        <x:v>Process deviation</x:v>
      </x:c>
      <x:c r="D402" s="14" t="str">
        <x:v>Low</x:v>
      </x:c>
      <x:c r="E402" s="15" t="n">
        <x:v>46245.333333333336</x:v>
      </x:c>
      <x:c r="F402" s="15" t="n">
        <x:v>46259.333333333336</x:v>
      </x:c>
      <x:c r="G402" s="15"/>
      <x:c r="H402" s="14" t="n">
        <x:v>3</x:v>
      </x:c>
      <x:c r="I402" s="1" t="n">
        <x:f>IF(AND(E402&lt;Reporting!$B$4,OR(G402="",G402&gt;=Reporting!$B$4)),1,0)</x:f>
        <x:v>1</x:v>
      </x:c>
      <x:c r="J402" s="1" t="n">
        <x:f>IF(AND(I402=1,F402&lt;Reporting!$B$4),1,0)</x:f>
        <x:v>1</x:v>
      </x:c>
      <x:c r="K402" s="1" t="n">
        <x:f>IF(F402&lt;Reporting!$B$4,1,0)</x:f>
        <x:v>1</x:v>
      </x:c>
      <x:c r="L402" s="1" t="n">
        <x:f>IF(AND(K402=1,G402&lt;&gt;"",G402&lt;=F402),1,0)</x:f>
        <x:v>0</x:v>
      </x:c>
      <x:c r="M402" s="1" t="n">
        <x:f>IF(AND(G402&lt;&gt;"",G402&lt;Reporting!$B$4),1,0)</x:f>
        <x:v>0</x:v>
      </x:c>
      <x:c r="N402" s="16" t="str">
        <x:f>IF(M402=1,G402-E402,"")</x:f>
      </x:c>
      <x:c r="O402" s="1" t="str">
        <x:f>IF(E402&gt;=Reporting!$B$4,"Outside cutoff",IF(M402=1,"Closed",IF(J402=1,"Overdue","Open - within SLA")))</x:f>
        <x:v>Overdue</x:v>
      </x:c>
    </x:row>
    <x:row r="403">
      <x:c r="A403" s="14" t="str">
        <x:v>CASE-00398</x:v>
      </x:c>
      <x:c r="B403" s="14" t="str">
        <x:v>Installation</x:v>
      </x:c>
      <x:c r="C403" s="14" t="str">
        <x:v>Late review</x:v>
      </x:c>
      <x:c r="D403" s="14" t="str">
        <x:v>Medium</x:v>
      </x:c>
      <x:c r="E403" s="15" t="n">
        <x:v>46266.625</x:v>
      </x:c>
      <x:c r="F403" s="15" t="n">
        <x:v>46273.625</x:v>
      </x:c>
      <x:c r="G403" s="15" t="n">
        <x:v>46276.625</x:v>
      </x:c>
      <x:c r="H403" s="14" t="n">
        <x:v>3</x:v>
      </x:c>
      <x:c r="I403" s="1" t="n">
        <x:f>IF(AND(E403&lt;Reporting!$B$4,OR(G403="",G403&gt;=Reporting!$B$4)),1,0)</x:f>
        <x:v>0</x:v>
      </x:c>
      <x:c r="J403" s="1" t="n">
        <x:f>IF(AND(I403=1,F403&lt;Reporting!$B$4),1,0)</x:f>
        <x:v>0</x:v>
      </x:c>
      <x:c r="K403" s="1" t="n">
        <x:f>IF(F403&lt;Reporting!$B$4,1,0)</x:f>
        <x:v>1</x:v>
      </x:c>
      <x:c r="L403" s="1" t="n">
        <x:f>IF(AND(K403=1,G403&lt;&gt;"",G403&lt;=F403),1,0)</x:f>
        <x:v>0</x:v>
      </x:c>
      <x:c r="M403" s="1" t="n">
        <x:f>IF(AND(G403&lt;&gt;"",G403&lt;Reporting!$B$4),1,0)</x:f>
        <x:v>1</x:v>
      </x:c>
      <x:c r="N403" s="16" t="n">
        <x:f>IF(M403=1,G403-E403,"")</x:f>
        <x:v>10</x:v>
      </x:c>
      <x:c r="O403" s="1" t="str">
        <x:f>IF(E403&gt;=Reporting!$B$4,"Outside cutoff",IF(M403=1,"Closed",IF(J403=1,"Overdue","Open - within SLA")))</x:f>
        <x:v>Closed</x:v>
      </x:c>
    </x:row>
    <x:row r="404">
      <x:c r="A404" s="14" t="str">
        <x:v>CASE-00399</x:v>
      </x:c>
      <x:c r="B404" s="14" t="str">
        <x:v>Customer Services</x:v>
      </x:c>
      <x:c r="C404" s="14" t="str">
        <x:v>Record mismatch</x:v>
      </x:c>
      <x:c r="D404" s="14" t="str">
        <x:v>Medium</x:v>
      </x:c>
      <x:c r="E404" s="15" t="n">
        <x:v>46240.666666666664</x:v>
      </x:c>
      <x:c r="F404" s="15" t="n">
        <x:v>46247.666666666664</x:v>
      </x:c>
      <x:c r="G404" s="15" t="n">
        <x:v>46242.708333333336</x:v>
      </x:c>
      <x:c r="H404" s="14" t="n">
        <x:v>1</x:v>
      </x:c>
      <x:c r="I404" s="1" t="n">
        <x:f>IF(AND(E404&lt;Reporting!$B$4,OR(G404="",G404&gt;=Reporting!$B$4)),1,0)</x:f>
        <x:v>0</x:v>
      </x:c>
      <x:c r="J404" s="1" t="n">
        <x:f>IF(AND(I404=1,F404&lt;Reporting!$B$4),1,0)</x:f>
        <x:v>0</x:v>
      </x:c>
      <x:c r="K404" s="1" t="n">
        <x:f>IF(F404&lt;Reporting!$B$4,1,0)</x:f>
        <x:v>1</x:v>
      </x:c>
      <x:c r="L404" s="1" t="n">
        <x:f>IF(AND(K404=1,G404&lt;&gt;"",G404&lt;=F404),1,0)</x:f>
        <x:v>1</x:v>
      </x:c>
      <x:c r="M404" s="1" t="n">
        <x:f>IF(AND(G404&lt;&gt;"",G404&lt;Reporting!$B$4),1,0)</x:f>
        <x:v>1</x:v>
      </x:c>
      <x:c r="N404" s="16" t="n">
        <x:f>IF(M404=1,G404-E404,"")</x:f>
        <x:v>2.0416666666715173</x:v>
      </x:c>
      <x:c r="O404" s="1" t="str">
        <x:f>IF(E404&gt;=Reporting!$B$4,"Outside cutoff",IF(M404=1,"Closed",IF(J404=1,"Overdue","Open - within SLA")))</x:f>
        <x:v>Closed</x:v>
      </x:c>
    </x:row>
    <x:row r="405">
      <x:c r="A405" s="14" t="str">
        <x:v>CASE-00400</x:v>
      </x:c>
      <x:c r="B405" s="14" t="str">
        <x:v>Warehouse</x:v>
      </x:c>
      <x:c r="C405" s="14" t="str">
        <x:v>Missing evidence</x:v>
      </x:c>
      <x:c r="D405" s="14" t="str">
        <x:v>Low</x:v>
      </x:c>
      <x:c r="E405" s="15" t="n">
        <x:v>46265.333333333336</x:v>
      </x:c>
      <x:c r="F405" s="15" t="n">
        <x:v>46279.333333333336</x:v>
      </x:c>
      <x:c r="G405" s="15"/>
      <x:c r="H405" s="14" t="n">
        <x:v>2</x:v>
      </x:c>
      <x:c r="I405" s="1" t="n">
        <x:f>IF(AND(E405&lt;Reporting!$B$4,OR(G405="",G405&gt;=Reporting!$B$4)),1,0)</x:f>
        <x:v>1</x:v>
      </x:c>
      <x:c r="J405" s="1" t="n">
        <x:f>IF(AND(I405=1,F405&lt;Reporting!$B$4),1,0)</x:f>
        <x:v>1</x:v>
      </x:c>
      <x:c r="K405" s="1" t="n">
        <x:f>IF(F405&lt;Reporting!$B$4,1,0)</x:f>
        <x:v>1</x:v>
      </x:c>
      <x:c r="L405" s="1" t="n">
        <x:f>IF(AND(K405=1,G405&lt;&gt;"",G405&lt;=F405),1,0)</x:f>
        <x:v>0</x:v>
      </x:c>
      <x:c r="M405" s="1" t="n">
        <x:f>IF(AND(G405&lt;&gt;"",G405&lt;Reporting!$B$4),1,0)</x:f>
        <x:v>0</x:v>
      </x:c>
      <x:c r="N405" s="16" t="str">
        <x:f>IF(M405=1,G405-E405,"")</x:f>
      </x:c>
      <x:c r="O405" s="1" t="str">
        <x:f>IF(E405&gt;=Reporting!$B$4,"Outside cutoff",IF(M405=1,"Closed",IF(J405=1,"Overdue","Open - within SLA")))</x:f>
        <x:v>Overdue</x:v>
      </x:c>
    </x:row>
    <x:row r="406">
      <x:c r="A406" s="14" t="str">
        <x:v>CASE-00401</x:v>
      </x:c>
      <x:c r="B406" s="14" t="str">
        <x:v>Customer Services</x:v>
      </x:c>
      <x:c r="C406" s="14" t="str">
        <x:v>Process deviation</x:v>
      </x:c>
      <x:c r="D406" s="14" t="str">
        <x:v>High</x:v>
      </x:c>
      <x:c r="E406" s="15" t="n">
        <x:v>46227.625</x:v>
      </x:c>
      <x:c r="F406" s="15" t="n">
        <x:v>46230.625</x:v>
      </x:c>
      <x:c r="G406" s="15" t="n">
        <x:v>46231.708333333336</x:v>
      </x:c>
      <x:c r="H406" s="14" t="n">
        <x:v>1</x:v>
      </x:c>
      <x:c r="I406" s="1" t="n">
        <x:f>IF(AND(E406&lt;Reporting!$B$4,OR(G406="",G406&gt;=Reporting!$B$4)),1,0)</x:f>
        <x:v>0</x:v>
      </x:c>
      <x:c r="J406" s="1" t="n">
        <x:f>IF(AND(I406=1,F406&lt;Reporting!$B$4),1,0)</x:f>
        <x:v>0</x:v>
      </x:c>
      <x:c r="K406" s="1" t="n">
        <x:f>IF(F406&lt;Reporting!$B$4,1,0)</x:f>
        <x:v>1</x:v>
      </x:c>
      <x:c r="L406" s="1" t="n">
        <x:f>IF(AND(K406=1,G406&lt;&gt;"",G406&lt;=F406),1,0)</x:f>
        <x:v>0</x:v>
      </x:c>
      <x:c r="M406" s="1" t="n">
        <x:f>IF(AND(G406&lt;&gt;"",G406&lt;Reporting!$B$4),1,0)</x:f>
        <x:v>1</x:v>
      </x:c>
      <x:c r="N406" s="16" t="n">
        <x:f>IF(M406=1,G406-E406,"")</x:f>
        <x:v>4.083333333335759</x:v>
      </x:c>
      <x:c r="O406" s="1" t="str">
        <x:f>IF(E406&gt;=Reporting!$B$4,"Outside cutoff",IF(M406=1,"Closed",IF(J406=1,"Overdue","Open - within SLA")))</x:f>
        <x:v>Closed</x:v>
      </x:c>
    </x:row>
    <x:row r="407">
      <x:c r="A407" s="14" t="str">
        <x:v>CASE-00402</x:v>
      </x:c>
      <x:c r="B407" s="14" t="str">
        <x:v>Customer Services</x:v>
      </x:c>
      <x:c r="C407" s="14" t="str">
        <x:v>Late review</x:v>
      </x:c>
      <x:c r="D407" s="14" t="str">
        <x:v>Low</x:v>
      </x:c>
      <x:c r="E407" s="15" t="n">
        <x:v>46225.5</x:v>
      </x:c>
      <x:c r="F407" s="15" t="n">
        <x:v>46239.5</x:v>
      </x:c>
      <x:c r="G407" s="15" t="n">
        <x:v>46241.5</x:v>
      </x:c>
      <x:c r="H407" s="14" t="n">
        <x:v>1</x:v>
      </x:c>
      <x:c r="I407" s="1" t="n">
        <x:f>IF(AND(E407&lt;Reporting!$B$4,OR(G407="",G407&gt;=Reporting!$B$4)),1,0)</x:f>
        <x:v>0</x:v>
      </x:c>
      <x:c r="J407" s="1" t="n">
        <x:f>IF(AND(I407=1,F407&lt;Reporting!$B$4),1,0)</x:f>
        <x:v>0</x:v>
      </x:c>
      <x:c r="K407" s="1" t="n">
        <x:f>IF(F407&lt;Reporting!$B$4,1,0)</x:f>
        <x:v>1</x:v>
      </x:c>
      <x:c r="L407" s="1" t="n">
        <x:f>IF(AND(K407=1,G407&lt;&gt;"",G407&lt;=F407),1,0)</x:f>
        <x:v>0</x:v>
      </x:c>
      <x:c r="M407" s="1" t="n">
        <x:f>IF(AND(G407&lt;&gt;"",G407&lt;Reporting!$B$4),1,0)</x:f>
        <x:v>1</x:v>
      </x:c>
      <x:c r="N407" s="16" t="n">
        <x:f>IF(M407=1,G407-E407,"")</x:f>
        <x:v>16</x:v>
      </x:c>
      <x:c r="O407" s="1" t="str">
        <x:f>IF(E407&gt;=Reporting!$B$4,"Outside cutoff",IF(M407=1,"Closed",IF(J407=1,"Overdue","Open - within SLA")))</x:f>
        <x:v>Closed</x:v>
      </x:c>
    </x:row>
    <x:row r="408">
      <x:c r="A408" s="14" t="str">
        <x:v>CASE-00403</x:v>
      </x:c>
      <x:c r="B408" s="14" t="str">
        <x:v>Warehouse</x:v>
      </x:c>
      <x:c r="C408" s="14" t="str">
        <x:v>Record mismatch</x:v>
      </x:c>
      <x:c r="D408" s="14" t="str">
        <x:v>Medium</x:v>
      </x:c>
      <x:c r="E408" s="15" t="n">
        <x:v>46225.666666666664</x:v>
      </x:c>
      <x:c r="F408" s="15" t="n">
        <x:v>46232.666666666664</x:v>
      </x:c>
      <x:c r="G408" s="15" t="n">
        <x:v>46243.75</x:v>
      </x:c>
      <x:c r="H408" s="14" t="n">
        <x:v>2</x:v>
      </x:c>
      <x:c r="I408" s="1" t="n">
        <x:f>IF(AND(E408&lt;Reporting!$B$4,OR(G408="",G408&gt;=Reporting!$B$4)),1,0)</x:f>
        <x:v>0</x:v>
      </x:c>
      <x:c r="J408" s="1" t="n">
        <x:f>IF(AND(I408=1,F408&lt;Reporting!$B$4),1,0)</x:f>
        <x:v>0</x:v>
      </x:c>
      <x:c r="K408" s="1" t="n">
        <x:f>IF(F408&lt;Reporting!$B$4,1,0)</x:f>
        <x:v>1</x:v>
      </x:c>
      <x:c r="L408" s="1" t="n">
        <x:f>IF(AND(K408=1,G408&lt;&gt;"",G408&lt;=F408),1,0)</x:f>
        <x:v>0</x:v>
      </x:c>
      <x:c r="M408" s="1" t="n">
        <x:f>IF(AND(G408&lt;&gt;"",G408&lt;Reporting!$B$4),1,0)</x:f>
        <x:v>1</x:v>
      </x:c>
      <x:c r="N408" s="16" t="n">
        <x:f>IF(M408=1,G408-E408,"")</x:f>
        <x:v>18.08333333333576</x:v>
      </x:c>
      <x:c r="O408" s="1" t="str">
        <x:f>IF(E408&gt;=Reporting!$B$4,"Outside cutoff",IF(M408=1,"Closed",IF(J408=1,"Overdue","Open - within SLA")))</x:f>
        <x:v>Closed</x:v>
      </x:c>
    </x:row>
    <x:row r="409">
      <x:c r="A409" s="14" t="str">
        <x:v>CASE-00404</x:v>
      </x:c>
      <x:c r="B409" s="14" t="str">
        <x:v>Warehouse</x:v>
      </x:c>
      <x:c r="C409" s="14" t="str">
        <x:v>Missing evidence</x:v>
      </x:c>
      <x:c r="D409" s="14" t="str">
        <x:v>Medium</x:v>
      </x:c>
      <x:c r="E409" s="15" t="n">
        <x:v>46247.541666666664</x:v>
      </x:c>
      <x:c r="F409" s="15" t="n">
        <x:v>46254.541666666664</x:v>
      </x:c>
      <x:c r="G409" s="15"/>
      <x:c r="H409" s="14" t="n">
        <x:v>2</x:v>
      </x:c>
      <x:c r="I409" s="1" t="n">
        <x:f>IF(AND(E409&lt;Reporting!$B$4,OR(G409="",G409&gt;=Reporting!$B$4)),1,0)</x:f>
        <x:v>1</x:v>
      </x:c>
      <x:c r="J409" s="1" t="n">
        <x:f>IF(AND(I409=1,F409&lt;Reporting!$B$4),1,0)</x:f>
        <x:v>1</x:v>
      </x:c>
      <x:c r="K409" s="1" t="n">
        <x:f>IF(F409&lt;Reporting!$B$4,1,0)</x:f>
        <x:v>1</x:v>
      </x:c>
      <x:c r="L409" s="1" t="n">
        <x:f>IF(AND(K409=1,G409&lt;&gt;"",G409&lt;=F409),1,0)</x:f>
        <x:v>0</x:v>
      </x:c>
      <x:c r="M409" s="1" t="n">
        <x:f>IF(AND(G409&lt;&gt;"",G409&lt;Reporting!$B$4),1,0)</x:f>
        <x:v>0</x:v>
      </x:c>
      <x:c r="N409" s="16" t="str">
        <x:f>IF(M409=1,G409-E409,"")</x:f>
      </x:c>
      <x:c r="O409" s="1" t="str">
        <x:f>IF(E409&gt;=Reporting!$B$4,"Outside cutoff",IF(M409=1,"Closed",IF(J409=1,"Overdue","Open - within SLA")))</x:f>
        <x:v>Overdue</x:v>
      </x:c>
    </x:row>
    <x:row r="410">
      <x:c r="A410" s="14" t="str">
        <x:v>CASE-00405</x:v>
      </x:c>
      <x:c r="B410" s="14" t="str">
        <x:v>Installation</x:v>
      </x:c>
      <x:c r="C410" s="14" t="str">
        <x:v>Record mismatch</x:v>
      </x:c>
      <x:c r="D410" s="14" t="str">
        <x:v>High</x:v>
      </x:c>
      <x:c r="E410" s="15" t="n">
        <x:v>46253.5</x:v>
      </x:c>
      <x:c r="F410" s="15" t="n">
        <x:v>46256.5</x:v>
      </x:c>
      <x:c r="G410" s="15"/>
      <x:c r="H410" s="14" t="n">
        <x:v>3</x:v>
      </x:c>
      <x:c r="I410" s="1" t="n">
        <x:f>IF(AND(E410&lt;Reporting!$B$4,OR(G410="",G410&gt;=Reporting!$B$4)),1,0)</x:f>
        <x:v>1</x:v>
      </x:c>
      <x:c r="J410" s="1" t="n">
        <x:f>IF(AND(I410=1,F410&lt;Reporting!$B$4),1,0)</x:f>
        <x:v>1</x:v>
      </x:c>
      <x:c r="K410" s="1" t="n">
        <x:f>IF(F410&lt;Reporting!$B$4,1,0)</x:f>
        <x:v>1</x:v>
      </x:c>
      <x:c r="L410" s="1" t="n">
        <x:f>IF(AND(K410=1,G410&lt;&gt;"",G410&lt;=F410),1,0)</x:f>
        <x:v>0</x:v>
      </x:c>
      <x:c r="M410" s="1" t="n">
        <x:f>IF(AND(G410&lt;&gt;"",G410&lt;Reporting!$B$4),1,0)</x:f>
        <x:v>0</x:v>
      </x:c>
      <x:c r="N410" s="16" t="str">
        <x:f>IF(M410=1,G410-E410,"")</x:f>
      </x:c>
      <x:c r="O410" s="1" t="str">
        <x:f>IF(E410&gt;=Reporting!$B$4,"Outside cutoff",IF(M410=1,"Closed",IF(J410=1,"Overdue","Open - within SLA")))</x:f>
        <x:v>Overdue</x:v>
      </x:c>
    </x:row>
    <x:row r="411">
      <x:c r="A411" s="14" t="str">
        <x:v>CASE-00406</x:v>
      </x:c>
      <x:c r="B411" s="14" t="str">
        <x:v>Warehouse</x:v>
      </x:c>
      <x:c r="C411" s="14" t="str">
        <x:v>Late review</x:v>
      </x:c>
      <x:c r="D411" s="14" t="str">
        <x:v>Medium</x:v>
      </x:c>
      <x:c r="E411" s="15" t="n">
        <x:v>46254.541666666664</x:v>
      </x:c>
      <x:c r="F411" s="15" t="n">
        <x:v>46261.541666666664</x:v>
      </x:c>
      <x:c r="G411" s="15" t="n">
        <x:v>46275.625</x:v>
      </x:c>
      <x:c r="H411" s="14" t="n">
        <x:v>2</x:v>
      </x:c>
      <x:c r="I411" s="1" t="n">
        <x:f>IF(AND(E411&lt;Reporting!$B$4,OR(G411="",G411&gt;=Reporting!$B$4)),1,0)</x:f>
        <x:v>0</x:v>
      </x:c>
      <x:c r="J411" s="1" t="n">
        <x:f>IF(AND(I411=1,F411&lt;Reporting!$B$4),1,0)</x:f>
        <x:v>0</x:v>
      </x:c>
      <x:c r="K411" s="1" t="n">
        <x:f>IF(F411&lt;Reporting!$B$4,1,0)</x:f>
        <x:v>1</x:v>
      </x:c>
      <x:c r="L411" s="1" t="n">
        <x:f>IF(AND(K411=1,G411&lt;&gt;"",G411&lt;=F411),1,0)</x:f>
        <x:v>0</x:v>
      </x:c>
      <x:c r="M411" s="1" t="n">
        <x:f>IF(AND(G411&lt;&gt;"",G411&lt;Reporting!$B$4),1,0)</x:f>
        <x:v>1</x:v>
      </x:c>
      <x:c r="N411" s="16" t="n">
        <x:f>IF(M411=1,G411-E411,"")</x:f>
        <x:v>21.08333333333576</x:v>
      </x:c>
      <x:c r="O411" s="1" t="str">
        <x:f>IF(E411&gt;=Reporting!$B$4,"Outside cutoff",IF(M411=1,"Closed",IF(J411=1,"Overdue","Open - within SLA")))</x:f>
        <x:v>Closed</x:v>
      </x:c>
    </x:row>
    <x:row r="412">
      <x:c r="A412" s="14" t="str">
        <x:v>CASE-00407</x:v>
      </x:c>
      <x:c r="B412" s="14" t="str">
        <x:v>Customer Services</x:v>
      </x:c>
      <x:c r="C412" s="14" t="str">
        <x:v>Late review</x:v>
      </x:c>
      <x:c r="D412" s="14" t="str">
        <x:v>Low</x:v>
      </x:c>
      <x:c r="E412" s="15" t="n">
        <x:v>46227.625</x:v>
      </x:c>
      <x:c r="F412" s="15" t="n">
        <x:v>46241.625</x:v>
      </x:c>
      <x:c r="G412" s="15" t="n">
        <x:v>46237.708333333336</x:v>
      </x:c>
      <x:c r="H412" s="14" t="n">
        <x:v>1</x:v>
      </x:c>
      <x:c r="I412" s="1" t="n">
        <x:f>IF(AND(E412&lt;Reporting!$B$4,OR(G412="",G412&gt;=Reporting!$B$4)),1,0)</x:f>
        <x:v>0</x:v>
      </x:c>
      <x:c r="J412" s="1" t="n">
        <x:f>IF(AND(I412=1,F412&lt;Reporting!$B$4),1,0)</x:f>
        <x:v>0</x:v>
      </x:c>
      <x:c r="K412" s="1" t="n">
        <x:f>IF(F412&lt;Reporting!$B$4,1,0)</x:f>
        <x:v>1</x:v>
      </x:c>
      <x:c r="L412" s="1" t="n">
        <x:f>IF(AND(K412=1,G412&lt;&gt;"",G412&lt;=F412),1,0)</x:f>
        <x:v>1</x:v>
      </x:c>
      <x:c r="M412" s="1" t="n">
        <x:f>IF(AND(G412&lt;&gt;"",G412&lt;Reporting!$B$4),1,0)</x:f>
        <x:v>1</x:v>
      </x:c>
      <x:c r="N412" s="16" t="n">
        <x:f>IF(M412=1,G412-E412,"")</x:f>
        <x:v>10.083333333335759</x:v>
      </x:c>
      <x:c r="O412" s="1" t="str">
        <x:f>IF(E412&gt;=Reporting!$B$4,"Outside cutoff",IF(M412=1,"Closed",IF(J412=1,"Overdue","Open - within SLA")))</x:f>
        <x:v>Closed</x:v>
      </x:c>
    </x:row>
    <x:row r="413">
      <x:c r="A413" s="14" t="str">
        <x:v>CASE-00408</x:v>
      </x:c>
      <x:c r="B413" s="14" t="str">
        <x:v>Customer Services</x:v>
      </x:c>
      <x:c r="C413" s="14" t="str">
        <x:v>Process deviation</x:v>
      </x:c>
      <x:c r="D413" s="14" t="str">
        <x:v>Medium</x:v>
      </x:c>
      <x:c r="E413" s="15" t="n">
        <x:v>46266.666666666664</x:v>
      </x:c>
      <x:c r="F413" s="15" t="n">
        <x:v>46273.666666666664</x:v>
      </x:c>
      <x:c r="G413" s="15" t="n">
        <x:v>46267.666666666664</x:v>
      </x:c>
      <x:c r="H413" s="14" t="n">
        <x:v>1</x:v>
      </x:c>
      <x:c r="I413" s="1" t="n">
        <x:f>IF(AND(E413&lt;Reporting!$B$4,OR(G413="",G413&gt;=Reporting!$B$4)),1,0)</x:f>
        <x:v>0</x:v>
      </x:c>
      <x:c r="J413" s="1" t="n">
        <x:f>IF(AND(I413=1,F413&lt;Reporting!$B$4),1,0)</x:f>
        <x:v>0</x:v>
      </x:c>
      <x:c r="K413" s="1" t="n">
        <x:f>IF(F413&lt;Reporting!$B$4,1,0)</x:f>
        <x:v>1</x:v>
      </x:c>
      <x:c r="L413" s="1" t="n">
        <x:f>IF(AND(K413=1,G413&lt;&gt;"",G413&lt;=F413),1,0)</x:f>
        <x:v>1</x:v>
      </x:c>
      <x:c r="M413" s="1" t="n">
        <x:f>IF(AND(G413&lt;&gt;"",G413&lt;Reporting!$B$4),1,0)</x:f>
        <x:v>1</x:v>
      </x:c>
      <x:c r="N413" s="16" t="n">
        <x:f>IF(M413=1,G413-E413,"")</x:f>
        <x:v>1</x:v>
      </x:c>
      <x:c r="O413" s="1" t="str">
        <x:f>IF(E413&gt;=Reporting!$B$4,"Outside cutoff",IF(M413=1,"Closed",IF(J413=1,"Overdue","Open - within SLA")))</x:f>
        <x:v>Closed</x:v>
      </x:c>
    </x:row>
    <x:row r="414">
      <x:c r="A414" s="14" t="str">
        <x:v>CASE-00409</x:v>
      </x:c>
      <x:c r="B414" s="14" t="str">
        <x:v>Customer Services</x:v>
      </x:c>
      <x:c r="C414" s="14" t="str">
        <x:v>Late review</x:v>
      </x:c>
      <x:c r="D414" s="14" t="str">
        <x:v>Low</x:v>
      </x:c>
      <x:c r="E414" s="15" t="n">
        <x:v>46237.541666666664</x:v>
      </x:c>
      <x:c r="F414" s="15" t="n">
        <x:v>46251.541666666664</x:v>
      </x:c>
      <x:c r="G414" s="15" t="n">
        <x:v>46246.625</x:v>
      </x:c>
      <x:c r="H414" s="14" t="n">
        <x:v>1</x:v>
      </x:c>
      <x:c r="I414" s="1" t="n">
        <x:f>IF(AND(E414&lt;Reporting!$B$4,OR(G414="",G414&gt;=Reporting!$B$4)),1,0)</x:f>
        <x:v>0</x:v>
      </x:c>
      <x:c r="J414" s="1" t="n">
        <x:f>IF(AND(I414=1,F414&lt;Reporting!$B$4),1,0)</x:f>
        <x:v>0</x:v>
      </x:c>
      <x:c r="K414" s="1" t="n">
        <x:f>IF(F414&lt;Reporting!$B$4,1,0)</x:f>
        <x:v>1</x:v>
      </x:c>
      <x:c r="L414" s="1" t="n">
        <x:f>IF(AND(K414=1,G414&lt;&gt;"",G414&lt;=F414),1,0)</x:f>
        <x:v>1</x:v>
      </x:c>
      <x:c r="M414" s="1" t="n">
        <x:f>IF(AND(G414&lt;&gt;"",G414&lt;Reporting!$B$4),1,0)</x:f>
        <x:v>1</x:v>
      </x:c>
      <x:c r="N414" s="16" t="n">
        <x:f>IF(M414=1,G414-E414,"")</x:f>
        <x:v>9.083333333335759</x:v>
      </x:c>
      <x:c r="O414" s="1" t="str">
        <x:f>IF(E414&gt;=Reporting!$B$4,"Outside cutoff",IF(M414=1,"Closed",IF(J414=1,"Overdue","Open - within SLA")))</x:f>
        <x:v>Closed</x:v>
      </x:c>
    </x:row>
    <x:row r="415">
      <x:c r="A415" s="14" t="str">
        <x:v>CASE-00410</x:v>
      </x:c>
      <x:c r="B415" s="14" t="str">
        <x:v>Customer Services</x:v>
      </x:c>
      <x:c r="C415" s="14" t="str">
        <x:v>Missing evidence</x:v>
      </x:c>
      <x:c r="D415" s="14" t="str">
        <x:v>Medium</x:v>
      </x:c>
      <x:c r="E415" s="15" t="n">
        <x:v>46270.666666666664</x:v>
      </x:c>
      <x:c r="F415" s="15" t="n">
        <x:v>46277.666666666664</x:v>
      </x:c>
      <x:c r="G415" s="15" t="n">
        <x:v>46282.75</x:v>
      </x:c>
      <x:c r="H415" s="14" t="n">
        <x:v>1</x:v>
      </x:c>
      <x:c r="I415" s="1" t="n">
        <x:f>IF(AND(E415&lt;Reporting!$B$4,OR(G415="",G415&gt;=Reporting!$B$4)),1,0)</x:f>
        <x:v>0</x:v>
      </x:c>
      <x:c r="J415" s="1" t="n">
        <x:f>IF(AND(I415=1,F415&lt;Reporting!$B$4),1,0)</x:f>
        <x:v>0</x:v>
      </x:c>
      <x:c r="K415" s="1" t="n">
        <x:f>IF(F415&lt;Reporting!$B$4,1,0)</x:f>
        <x:v>1</x:v>
      </x:c>
      <x:c r="L415" s="1" t="n">
        <x:f>IF(AND(K415=1,G415&lt;&gt;"",G415&lt;=F415),1,0)</x:f>
        <x:v>0</x:v>
      </x:c>
      <x:c r="M415" s="1" t="n">
        <x:f>IF(AND(G415&lt;&gt;"",G415&lt;Reporting!$B$4),1,0)</x:f>
        <x:v>1</x:v>
      </x:c>
      <x:c r="N415" s="16" t="n">
        <x:f>IF(M415=1,G415-E415,"")</x:f>
        <x:v>12.083333333335759</x:v>
      </x:c>
      <x:c r="O415" s="1" t="str">
        <x:f>IF(E415&gt;=Reporting!$B$4,"Outside cutoff",IF(M415=1,"Closed",IF(J415=1,"Overdue","Open - within SLA")))</x:f>
        <x:v>Closed</x:v>
      </x:c>
    </x:row>
    <x:row r="416">
      <x:c r="A416" s="14" t="str">
        <x:v>CASE-00411</x:v>
      </x:c>
      <x:c r="B416" s="14" t="str">
        <x:v>Customer Services</x:v>
      </x:c>
      <x:c r="C416" s="14" t="str">
        <x:v>Missing evidence</x:v>
      </x:c>
      <x:c r="D416" s="14" t="str">
        <x:v>Low</x:v>
      </x:c>
      <x:c r="E416" s="15" t="n">
        <x:v>46279.416666666664</x:v>
      </x:c>
      <x:c r="F416" s="15" t="n">
        <x:v>46293.416666666664</x:v>
      </x:c>
      <x:c r="G416" s="15"/>
      <x:c r="H416" s="14" t="n">
        <x:v>1</x:v>
      </x:c>
      <x:c r="I416" s="1" t="n">
        <x:f>IF(AND(E416&lt;Reporting!$B$4,OR(G416="",G416&gt;=Reporting!$B$4)),1,0)</x:f>
        <x:v>1</x:v>
      </x:c>
      <x:c r="J416" s="1" t="n">
        <x:f>IF(AND(I416=1,F416&lt;Reporting!$B$4),1,0)</x:f>
        <x:v>0</x:v>
      </x:c>
      <x:c r="K416" s="1" t="n">
        <x:f>IF(F416&lt;Reporting!$B$4,1,0)</x:f>
        <x:v>0</x:v>
      </x:c>
      <x:c r="L416" s="1" t="n">
        <x:f>IF(AND(K416=1,G416&lt;&gt;"",G416&lt;=F416),1,0)</x:f>
        <x:v>0</x:v>
      </x:c>
      <x:c r="M416" s="1" t="n">
        <x:f>IF(AND(G416&lt;&gt;"",G416&lt;Reporting!$B$4),1,0)</x:f>
        <x:v>0</x:v>
      </x:c>
      <x:c r="N416" s="16" t="str">
        <x:f>IF(M416=1,G416-E416,"")</x:f>
      </x:c>
      <x:c r="O416" s="1" t="str">
        <x:f>IF(E416&gt;=Reporting!$B$4,"Outside cutoff",IF(M416=1,"Closed",IF(J416=1,"Overdue","Open - within SLA")))</x:f>
        <x:v>Open - within SLA</x:v>
      </x:c>
    </x:row>
    <x:row r="417">
      <x:c r="A417" s="14" t="str">
        <x:v>CASE-00412</x:v>
      </x:c>
      <x:c r="B417" s="14" t="str">
        <x:v>Warehouse</x:v>
      </x:c>
      <x:c r="C417" s="14" t="str">
        <x:v>Late review</x:v>
      </x:c>
      <x:c r="D417" s="14" t="str">
        <x:v>Medium</x:v>
      </x:c>
      <x:c r="E417" s="15" t="n">
        <x:v>46276.5</x:v>
      </x:c>
      <x:c r="F417" s="15" t="n">
        <x:v>46283.5</x:v>
      </x:c>
      <x:c r="G417" s="15"/>
      <x:c r="H417" s="14" t="n">
        <x:v>2</x:v>
      </x:c>
      <x:c r="I417" s="1" t="n">
        <x:f>IF(AND(E417&lt;Reporting!$B$4,OR(G417="",G417&gt;=Reporting!$B$4)),1,0)</x:f>
        <x:v>1</x:v>
      </x:c>
      <x:c r="J417" s="1" t="n">
        <x:f>IF(AND(I417=1,F417&lt;Reporting!$B$4),1,0)</x:f>
        <x:v>1</x:v>
      </x:c>
      <x:c r="K417" s="1" t="n">
        <x:f>IF(F417&lt;Reporting!$B$4,1,0)</x:f>
        <x:v>1</x:v>
      </x:c>
      <x:c r="L417" s="1" t="n">
        <x:f>IF(AND(K417=1,G417&lt;&gt;"",G417&lt;=F417),1,0)</x:f>
        <x:v>0</x:v>
      </x:c>
      <x:c r="M417" s="1" t="n">
        <x:f>IF(AND(G417&lt;&gt;"",G417&lt;Reporting!$B$4),1,0)</x:f>
        <x:v>0</x:v>
      </x:c>
      <x:c r="N417" s="16" t="str">
        <x:f>IF(M417=1,G417-E417,"")</x:f>
      </x:c>
      <x:c r="O417" s="1" t="str">
        <x:f>IF(E417&gt;=Reporting!$B$4,"Outside cutoff",IF(M417=1,"Closed",IF(J417=1,"Overdue","Open - within SLA")))</x:f>
        <x:v>Overdue</x:v>
      </x:c>
    </x:row>
    <x:row r="418">
      <x:c r="A418" s="14" t="str">
        <x:v>CASE-00413</x:v>
      </x:c>
      <x:c r="B418" s="14" t="str">
        <x:v>Warehouse</x:v>
      </x:c>
      <x:c r="C418" s="14" t="str">
        <x:v>Process deviation</x:v>
      </x:c>
      <x:c r="D418" s="14" t="str">
        <x:v>Low</x:v>
      </x:c>
      <x:c r="E418" s="15" t="n">
        <x:v>46253.333333333336</x:v>
      </x:c>
      <x:c r="F418" s="15" t="n">
        <x:v>46267.333333333336</x:v>
      </x:c>
      <x:c r="G418" s="15" t="n">
        <x:v>46267.375</x:v>
      </x:c>
      <x:c r="H418" s="14" t="n">
        <x:v>2</x:v>
      </x:c>
      <x:c r="I418" s="1" t="n">
        <x:f>IF(AND(E418&lt;Reporting!$B$4,OR(G418="",G418&gt;=Reporting!$B$4)),1,0)</x:f>
        <x:v>0</x:v>
      </x:c>
      <x:c r="J418" s="1" t="n">
        <x:f>IF(AND(I418=1,F418&lt;Reporting!$B$4),1,0)</x:f>
        <x:v>0</x:v>
      </x:c>
      <x:c r="K418" s="1" t="n">
        <x:f>IF(F418&lt;Reporting!$B$4,1,0)</x:f>
        <x:v>1</x:v>
      </x:c>
      <x:c r="L418" s="1" t="n">
        <x:f>IF(AND(K418=1,G418&lt;&gt;"",G418&lt;=F418),1,0)</x:f>
        <x:v>0</x:v>
      </x:c>
      <x:c r="M418" s="1" t="n">
        <x:f>IF(AND(G418&lt;&gt;"",G418&lt;Reporting!$B$4),1,0)</x:f>
        <x:v>1</x:v>
      </x:c>
      <x:c r="N418" s="16" t="n">
        <x:f>IF(M418=1,G418-E418,"")</x:f>
        <x:v>14.041666666664241</x:v>
      </x:c>
      <x:c r="O418" s="1" t="str">
        <x:f>IF(E418&gt;=Reporting!$B$4,"Outside cutoff",IF(M418=1,"Closed",IF(J418=1,"Overdue","Open - within SLA")))</x:f>
        <x:v>Closed</x:v>
      </x:c>
    </x:row>
    <x:row r="419">
      <x:c r="A419" s="14" t="str">
        <x:v>CASE-00414</x:v>
      </x:c>
      <x:c r="B419" s="14" t="str">
        <x:v>Customer Services</x:v>
      </x:c>
      <x:c r="C419" s="14" t="str">
        <x:v>Missing evidence</x:v>
      </x:c>
      <x:c r="D419" s="14" t="str">
        <x:v>High</x:v>
      </x:c>
      <x:c r="E419" s="15" t="n">
        <x:v>46275.5</x:v>
      </x:c>
      <x:c r="F419" s="15" t="n">
        <x:v>46278.5</x:v>
      </x:c>
      <x:c r="G419" s="15" t="n">
        <x:v>46282.5</x:v>
      </x:c>
      <x:c r="H419" s="14" t="n">
        <x:v>1</x:v>
      </x:c>
      <x:c r="I419" s="1" t="n">
        <x:f>IF(AND(E419&lt;Reporting!$B$4,OR(G419="",G419&gt;=Reporting!$B$4)),1,0)</x:f>
        <x:v>0</x:v>
      </x:c>
      <x:c r="J419" s="1" t="n">
        <x:f>IF(AND(I419=1,F419&lt;Reporting!$B$4),1,0)</x:f>
        <x:v>0</x:v>
      </x:c>
      <x:c r="K419" s="1" t="n">
        <x:f>IF(F419&lt;Reporting!$B$4,1,0)</x:f>
        <x:v>1</x:v>
      </x:c>
      <x:c r="L419" s="1" t="n">
        <x:f>IF(AND(K419=1,G419&lt;&gt;"",G419&lt;=F419),1,0)</x:f>
        <x:v>0</x:v>
      </x:c>
      <x:c r="M419" s="1" t="n">
        <x:f>IF(AND(G419&lt;&gt;"",G419&lt;Reporting!$B$4),1,0)</x:f>
        <x:v>1</x:v>
      </x:c>
      <x:c r="N419" s="16" t="n">
        <x:f>IF(M419=1,G419-E419,"")</x:f>
        <x:v>7</x:v>
      </x:c>
      <x:c r="O419" s="1" t="str">
        <x:f>IF(E419&gt;=Reporting!$B$4,"Outside cutoff",IF(M419=1,"Closed",IF(J419=1,"Overdue","Open - within SLA")))</x:f>
        <x:v>Closed</x:v>
      </x:c>
    </x:row>
    <x:row r="420">
      <x:c r="A420" s="14" t="str">
        <x:v>CASE-00415</x:v>
      </x:c>
      <x:c r="B420" s="14" t="str">
        <x:v>Customer Services</x:v>
      </x:c>
      <x:c r="C420" s="14" t="str">
        <x:v>Process deviation</x:v>
      </x:c>
      <x:c r="D420" s="14" t="str">
        <x:v>Medium</x:v>
      </x:c>
      <x:c r="E420" s="15" t="n">
        <x:v>46202.583333333336</x:v>
      </x:c>
      <x:c r="F420" s="15" t="n">
        <x:v>46209.583333333336</x:v>
      </x:c>
      <x:c r="G420" s="15" t="n">
        <x:v>46205.666666666664</x:v>
      </x:c>
      <x:c r="H420" s="14" t="n">
        <x:v>1</x:v>
      </x:c>
      <x:c r="I420" s="1" t="n">
        <x:f>IF(AND(E420&lt;Reporting!$B$4,OR(G420="",G420&gt;=Reporting!$B$4)),1,0)</x:f>
        <x:v>0</x:v>
      </x:c>
      <x:c r="J420" s="1" t="n">
        <x:f>IF(AND(I420=1,F420&lt;Reporting!$B$4),1,0)</x:f>
        <x:v>0</x:v>
      </x:c>
      <x:c r="K420" s="1" t="n">
        <x:f>IF(F420&lt;Reporting!$B$4,1,0)</x:f>
        <x:v>1</x:v>
      </x:c>
      <x:c r="L420" s="1" t="n">
        <x:f>IF(AND(K420=1,G420&lt;&gt;"",G420&lt;=F420),1,0)</x:f>
        <x:v>1</x:v>
      </x:c>
      <x:c r="M420" s="1" t="n">
        <x:f>IF(AND(G420&lt;&gt;"",G420&lt;Reporting!$B$4),1,0)</x:f>
        <x:v>1</x:v>
      </x:c>
      <x:c r="N420" s="16" t="n">
        <x:f>IF(M420=1,G420-E420,"")</x:f>
        <x:v>3.0833333333284827</x:v>
      </x:c>
      <x:c r="O420" s="1" t="str">
        <x:f>IF(E420&gt;=Reporting!$B$4,"Outside cutoff",IF(M420=1,"Closed",IF(J420=1,"Overdue","Open - within SLA")))</x:f>
        <x:v>Closed</x:v>
      </x:c>
    </x:row>
    <x:row r="421">
      <x:c r="A421" s="14" t="str">
        <x:v>CASE-00416</x:v>
      </x:c>
      <x:c r="B421" s="14" t="str">
        <x:v>Warehouse</x:v>
      </x:c>
      <x:c r="C421" s="14" t="str">
        <x:v>Process deviation</x:v>
      </x:c>
      <x:c r="D421" s="14" t="str">
        <x:v>Medium</x:v>
      </x:c>
      <x:c r="E421" s="15" t="n">
        <x:v>46235.541666666664</x:v>
      </x:c>
      <x:c r="F421" s="15" t="n">
        <x:v>46242.541666666664</x:v>
      </x:c>
      <x:c r="G421" s="15" t="n">
        <x:v>46242.541666666664</x:v>
      </x:c>
      <x:c r="H421" s="14" t="n">
        <x:v>2</x:v>
      </x:c>
      <x:c r="I421" s="1" t="n">
        <x:f>IF(AND(E421&lt;Reporting!$B$4,OR(G421="",G421&gt;=Reporting!$B$4)),1,0)</x:f>
        <x:v>0</x:v>
      </x:c>
      <x:c r="J421" s="1" t="n">
        <x:f>IF(AND(I421=1,F421&lt;Reporting!$B$4),1,0)</x:f>
        <x:v>0</x:v>
      </x:c>
      <x:c r="K421" s="1" t="n">
        <x:f>IF(F421&lt;Reporting!$B$4,1,0)</x:f>
        <x:v>1</x:v>
      </x:c>
      <x:c r="L421" s="1" t="n">
        <x:f>IF(AND(K421=1,G421&lt;&gt;"",G421&lt;=F421),1,0)</x:f>
        <x:v>1</x:v>
      </x:c>
      <x:c r="M421" s="1" t="n">
        <x:f>IF(AND(G421&lt;&gt;"",G421&lt;Reporting!$B$4),1,0)</x:f>
        <x:v>1</x:v>
      </x:c>
      <x:c r="N421" s="16" t="n">
        <x:f>IF(M421=1,G421-E421,"")</x:f>
        <x:v>7</x:v>
      </x:c>
      <x:c r="O421" s="1" t="str">
        <x:f>IF(E421&gt;=Reporting!$B$4,"Outside cutoff",IF(M421=1,"Closed",IF(J421=1,"Overdue","Open - within SLA")))</x:f>
        <x:v>Closed</x:v>
      </x:c>
    </x:row>
    <x:row r="422">
      <x:c r="A422" s="14" t="str">
        <x:v>CASE-00417</x:v>
      </x:c>
      <x:c r="B422" s="14" t="str">
        <x:v>Installation</x:v>
      </x:c>
      <x:c r="C422" s="14" t="str">
        <x:v>Process deviation</x:v>
      </x:c>
      <x:c r="D422" s="14" t="str">
        <x:v>Medium</x:v>
      </x:c>
      <x:c r="E422" s="15" t="n">
        <x:v>46247.416666666664</x:v>
      </x:c>
      <x:c r="F422" s="15" t="n">
        <x:v>46254.416666666664</x:v>
      </x:c>
      <x:c r="G422" s="15" t="n">
        <x:v>46264.416666666664</x:v>
      </x:c>
      <x:c r="H422" s="14" t="n">
        <x:v>3</x:v>
      </x:c>
      <x:c r="I422" s="1" t="n">
        <x:f>IF(AND(E422&lt;Reporting!$B$4,OR(G422="",G422&gt;=Reporting!$B$4)),1,0)</x:f>
        <x:v>0</x:v>
      </x:c>
      <x:c r="J422" s="1" t="n">
        <x:f>IF(AND(I422=1,F422&lt;Reporting!$B$4),1,0)</x:f>
        <x:v>0</x:v>
      </x:c>
      <x:c r="K422" s="1" t="n">
        <x:f>IF(F422&lt;Reporting!$B$4,1,0)</x:f>
        <x:v>1</x:v>
      </x:c>
      <x:c r="L422" s="1" t="n">
        <x:f>IF(AND(K422=1,G422&lt;&gt;"",G422&lt;=F422),1,0)</x:f>
        <x:v>0</x:v>
      </x:c>
      <x:c r="M422" s="1" t="n">
        <x:f>IF(AND(G422&lt;&gt;"",G422&lt;Reporting!$B$4),1,0)</x:f>
        <x:v>1</x:v>
      </x:c>
      <x:c r="N422" s="16" t="n">
        <x:f>IF(M422=1,G422-E422,"")</x:f>
        <x:v>17</x:v>
      </x:c>
      <x:c r="O422" s="1" t="str">
        <x:f>IF(E422&gt;=Reporting!$B$4,"Outside cutoff",IF(M422=1,"Closed",IF(J422=1,"Overdue","Open - within SLA")))</x:f>
        <x:v>Closed</x:v>
      </x:c>
    </x:row>
    <x:row r="423">
      <x:c r="A423" s="14" t="str">
        <x:v>CASE-00418</x:v>
      </x:c>
      <x:c r="B423" s="14" t="str">
        <x:v>Customer Services</x:v>
      </x:c>
      <x:c r="C423" s="14" t="str">
        <x:v>Missing evidence</x:v>
      </x:c>
      <x:c r="D423" s="14" t="str">
        <x:v>Medium</x:v>
      </x:c>
      <x:c r="E423" s="15" t="n">
        <x:v>46224.416666666664</x:v>
      </x:c>
      <x:c r="F423" s="15" t="n">
        <x:v>46231.416666666664</x:v>
      </x:c>
      <x:c r="G423" s="15" t="n">
        <x:v>46227.416666666664</x:v>
      </x:c>
      <x:c r="H423" s="14" t="n">
        <x:v>1</x:v>
      </x:c>
      <x:c r="I423" s="1" t="n">
        <x:f>IF(AND(E423&lt;Reporting!$B$4,OR(G423="",G423&gt;=Reporting!$B$4)),1,0)</x:f>
        <x:v>0</x:v>
      </x:c>
      <x:c r="J423" s="1" t="n">
        <x:f>IF(AND(I423=1,F423&lt;Reporting!$B$4),1,0)</x:f>
        <x:v>0</x:v>
      </x:c>
      <x:c r="K423" s="1" t="n">
        <x:f>IF(F423&lt;Reporting!$B$4,1,0)</x:f>
        <x:v>1</x:v>
      </x:c>
      <x:c r="L423" s="1" t="n">
        <x:f>IF(AND(K423=1,G423&lt;&gt;"",G423&lt;=F423),1,0)</x:f>
        <x:v>1</x:v>
      </x:c>
      <x:c r="M423" s="1" t="n">
        <x:f>IF(AND(G423&lt;&gt;"",G423&lt;Reporting!$B$4),1,0)</x:f>
        <x:v>1</x:v>
      </x:c>
      <x:c r="N423" s="16" t="n">
        <x:f>IF(M423=1,G423-E423,"")</x:f>
        <x:v>3</x:v>
      </x:c>
      <x:c r="O423" s="1" t="str">
        <x:f>IF(E423&gt;=Reporting!$B$4,"Outside cutoff",IF(M423=1,"Closed",IF(J423=1,"Overdue","Open - within SLA")))</x:f>
        <x:v>Closed</x:v>
      </x:c>
    </x:row>
    <x:row r="424">
      <x:c r="A424" s="14" t="str">
        <x:v>CASE-00419</x:v>
      </x:c>
      <x:c r="B424" s="14" t="str">
        <x:v>Installation</x:v>
      </x:c>
      <x:c r="C424" s="14" t="str">
        <x:v>Missing evidence</x:v>
      </x:c>
      <x:c r="D424" s="14" t="str">
        <x:v>High</x:v>
      </x:c>
      <x:c r="E424" s="15" t="n">
        <x:v>46232.416666666664</x:v>
      </x:c>
      <x:c r="F424" s="15" t="n">
        <x:v>46235.416666666664</x:v>
      </x:c>
      <x:c r="G424" s="15" t="n">
        <x:v>46239.458333333336</x:v>
      </x:c>
      <x:c r="H424" s="14" t="n">
        <x:v>3</x:v>
      </x:c>
      <x:c r="I424" s="1" t="n">
        <x:f>IF(AND(E424&lt;Reporting!$B$4,OR(G424="",G424&gt;=Reporting!$B$4)),1,0)</x:f>
        <x:v>0</x:v>
      </x:c>
      <x:c r="J424" s="1" t="n">
        <x:f>IF(AND(I424=1,F424&lt;Reporting!$B$4),1,0)</x:f>
        <x:v>0</x:v>
      </x:c>
      <x:c r="K424" s="1" t="n">
        <x:f>IF(F424&lt;Reporting!$B$4,1,0)</x:f>
        <x:v>1</x:v>
      </x:c>
      <x:c r="L424" s="1" t="n">
        <x:f>IF(AND(K424=1,G424&lt;&gt;"",G424&lt;=F424),1,0)</x:f>
        <x:v>0</x:v>
      </x:c>
      <x:c r="M424" s="1" t="n">
        <x:f>IF(AND(G424&lt;&gt;"",G424&lt;Reporting!$B$4),1,0)</x:f>
        <x:v>1</x:v>
      </x:c>
      <x:c r="N424" s="16" t="n">
        <x:f>IF(M424=1,G424-E424,"")</x:f>
        <x:v>7.041666666671517</x:v>
      </x:c>
      <x:c r="O424" s="1" t="str">
        <x:f>IF(E424&gt;=Reporting!$B$4,"Outside cutoff",IF(M424=1,"Closed",IF(J424=1,"Overdue","Open - within SLA")))</x:f>
        <x:v>Closed</x:v>
      </x:c>
    </x:row>
    <x:row r="425">
      <x:c r="A425" s="14" t="str">
        <x:v>CASE-00420</x:v>
      </x:c>
      <x:c r="B425" s="14" t="str">
        <x:v>Warehouse</x:v>
      </x:c>
      <x:c r="C425" s="14" t="str">
        <x:v>Record mismatch</x:v>
      </x:c>
      <x:c r="D425" s="14" t="str">
        <x:v>Medium</x:v>
      </x:c>
      <x:c r="E425" s="15" t="n">
        <x:v>46229.375</x:v>
      </x:c>
      <x:c r="F425" s="15" t="n">
        <x:v>46236.375</x:v>
      </x:c>
      <x:c r="G425" s="15" t="n">
        <x:v>46243.458333333336</x:v>
      </x:c>
      <x:c r="H425" s="14" t="n">
        <x:v>2</x:v>
      </x:c>
      <x:c r="I425" s="1" t="n">
        <x:f>IF(AND(E425&lt;Reporting!$B$4,OR(G425="",G425&gt;=Reporting!$B$4)),1,0)</x:f>
        <x:v>0</x:v>
      </x:c>
      <x:c r="J425" s="1" t="n">
        <x:f>IF(AND(I425=1,F425&lt;Reporting!$B$4),1,0)</x:f>
        <x:v>0</x:v>
      </x:c>
      <x:c r="K425" s="1" t="n">
        <x:f>IF(F425&lt;Reporting!$B$4,1,0)</x:f>
        <x:v>1</x:v>
      </x:c>
      <x:c r="L425" s="1" t="n">
        <x:f>IF(AND(K425=1,G425&lt;&gt;"",G425&lt;=F425),1,0)</x:f>
        <x:v>0</x:v>
      </x:c>
      <x:c r="M425" s="1" t="n">
        <x:f>IF(AND(G425&lt;&gt;"",G425&lt;Reporting!$B$4),1,0)</x:f>
        <x:v>1</x:v>
      </x:c>
      <x:c r="N425" s="16" t="n">
        <x:f>IF(M425=1,G425-E425,"")</x:f>
        <x:v>14.083333333335759</x:v>
      </x:c>
      <x:c r="O425" s="1" t="str">
        <x:f>IF(E425&gt;=Reporting!$B$4,"Outside cutoff",IF(M425=1,"Closed",IF(J425=1,"Overdue","Open - within SLA")))</x:f>
        <x:v>Closed</x:v>
      </x:c>
    </x:row>
    <x:row r="426">
      <x:c r="A426" s="14" t="str">
        <x:v>CASE-00421</x:v>
      </x:c>
      <x:c r="B426" s="14" t="str">
        <x:v>Customer Services</x:v>
      </x:c>
      <x:c r="C426" s="14" t="str">
        <x:v>Process deviation</x:v>
      </x:c>
      <x:c r="D426" s="14" t="str">
        <x:v>Medium</x:v>
      </x:c>
      <x:c r="E426" s="15" t="n">
        <x:v>46203.458333333336</x:v>
      </x:c>
      <x:c r="F426" s="15" t="n">
        <x:v>46210.458333333336</x:v>
      </x:c>
      <x:c r="G426" s="15" t="n">
        <x:v>46215.541666666664</x:v>
      </x:c>
      <x:c r="H426" s="14" t="n">
        <x:v>1</x:v>
      </x:c>
      <x:c r="I426" s="1" t="n">
        <x:f>IF(AND(E426&lt;Reporting!$B$4,OR(G426="",G426&gt;=Reporting!$B$4)),1,0)</x:f>
        <x:v>0</x:v>
      </x:c>
      <x:c r="J426" s="1" t="n">
        <x:f>IF(AND(I426=1,F426&lt;Reporting!$B$4),1,0)</x:f>
        <x:v>0</x:v>
      </x:c>
      <x:c r="K426" s="1" t="n">
        <x:f>IF(F426&lt;Reporting!$B$4,1,0)</x:f>
        <x:v>1</x:v>
      </x:c>
      <x:c r="L426" s="1" t="n">
        <x:f>IF(AND(K426=1,G426&lt;&gt;"",G426&lt;=F426),1,0)</x:f>
        <x:v>0</x:v>
      </x:c>
      <x:c r="M426" s="1" t="n">
        <x:f>IF(AND(G426&lt;&gt;"",G426&lt;Reporting!$B$4),1,0)</x:f>
        <x:v>1</x:v>
      </x:c>
      <x:c r="N426" s="16" t="n">
        <x:f>IF(M426=1,G426-E426,"")</x:f>
        <x:v>12.083333333328483</x:v>
      </x:c>
      <x:c r="O426" s="1" t="str">
        <x:f>IF(E426&gt;=Reporting!$B$4,"Outside cutoff",IF(M426=1,"Closed",IF(J426=1,"Overdue","Open - within SLA")))</x:f>
        <x:v>Closed</x:v>
      </x:c>
    </x:row>
    <x:row r="427">
      <x:c r="A427" s="14" t="str">
        <x:v>CASE-00422</x:v>
      </x:c>
      <x:c r="B427" s="14" t="str">
        <x:v>Warehouse</x:v>
      </x:c>
      <x:c r="C427" s="14" t="str">
        <x:v>Late review</x:v>
      </x:c>
      <x:c r="D427" s="14" t="str">
        <x:v>Medium</x:v>
      </x:c>
      <x:c r="E427" s="15" t="n">
        <x:v>46270.5</x:v>
      </x:c>
      <x:c r="F427" s="15" t="n">
        <x:v>46277.5</x:v>
      </x:c>
      <x:c r="G427" s="15"/>
      <x:c r="H427" s="14" t="n">
        <x:v>2</x:v>
      </x:c>
      <x:c r="I427" s="1" t="n">
        <x:f>IF(AND(E427&lt;Reporting!$B$4,OR(G427="",G427&gt;=Reporting!$B$4)),1,0)</x:f>
        <x:v>1</x:v>
      </x:c>
      <x:c r="J427" s="1" t="n">
        <x:f>IF(AND(I427=1,F427&lt;Reporting!$B$4),1,0)</x:f>
        <x:v>1</x:v>
      </x:c>
      <x:c r="K427" s="1" t="n">
        <x:f>IF(F427&lt;Reporting!$B$4,1,0)</x:f>
        <x:v>1</x:v>
      </x:c>
      <x:c r="L427" s="1" t="n">
        <x:f>IF(AND(K427=1,G427&lt;&gt;"",G427&lt;=F427),1,0)</x:f>
        <x:v>0</x:v>
      </x:c>
      <x:c r="M427" s="1" t="n">
        <x:f>IF(AND(G427&lt;&gt;"",G427&lt;Reporting!$B$4),1,0)</x:f>
        <x:v>0</x:v>
      </x:c>
      <x:c r="N427" s="16" t="str">
        <x:f>IF(M427=1,G427-E427,"")</x:f>
      </x:c>
      <x:c r="O427" s="1" t="str">
        <x:f>IF(E427&gt;=Reporting!$B$4,"Outside cutoff",IF(M427=1,"Closed",IF(J427=1,"Overdue","Open - within SLA")))</x:f>
        <x:v>Overdue</x:v>
      </x:c>
    </x:row>
    <x:row r="428">
      <x:c r="A428" s="14" t="str">
        <x:v>CASE-00423</x:v>
      </x:c>
      <x:c r="B428" s="14" t="str">
        <x:v>Customer Services</x:v>
      </x:c>
      <x:c r="C428" s="14" t="str">
        <x:v>Record mismatch</x:v>
      </x:c>
      <x:c r="D428" s="14" t="str">
        <x:v>Medium</x:v>
      </x:c>
      <x:c r="E428" s="15" t="n">
        <x:v>46273.583333333336</x:v>
      </x:c>
      <x:c r="F428" s="15" t="n">
        <x:v>46280.583333333336</x:v>
      </x:c>
      <x:c r="G428" s="15"/>
      <x:c r="H428" s="14" t="n">
        <x:v>1</x:v>
      </x:c>
      <x:c r="I428" s="1" t="n">
        <x:f>IF(AND(E428&lt;Reporting!$B$4,OR(G428="",G428&gt;=Reporting!$B$4)),1,0)</x:f>
        <x:v>1</x:v>
      </x:c>
      <x:c r="J428" s="1" t="n">
        <x:f>IF(AND(I428=1,F428&lt;Reporting!$B$4),1,0)</x:f>
        <x:v>1</x:v>
      </x:c>
      <x:c r="K428" s="1" t="n">
        <x:f>IF(F428&lt;Reporting!$B$4,1,0)</x:f>
        <x:v>1</x:v>
      </x:c>
      <x:c r="L428" s="1" t="n">
        <x:f>IF(AND(K428=1,G428&lt;&gt;"",G428&lt;=F428),1,0)</x:f>
        <x:v>0</x:v>
      </x:c>
      <x:c r="M428" s="1" t="n">
        <x:f>IF(AND(G428&lt;&gt;"",G428&lt;Reporting!$B$4),1,0)</x:f>
        <x:v>0</x:v>
      </x:c>
      <x:c r="N428" s="16" t="str">
        <x:f>IF(M428=1,G428-E428,"")</x:f>
      </x:c>
      <x:c r="O428" s="1" t="str">
        <x:f>IF(E428&gt;=Reporting!$B$4,"Outside cutoff",IF(M428=1,"Closed",IF(J428=1,"Overdue","Open - within SLA")))</x:f>
        <x:v>Overdue</x:v>
      </x:c>
    </x:row>
    <x:row r="429">
      <x:c r="A429" s="14" t="str">
        <x:v>CASE-00424</x:v>
      </x:c>
      <x:c r="B429" s="14" t="str">
        <x:v>Customer Services</x:v>
      </x:c>
      <x:c r="C429" s="14" t="str">
        <x:v>Late review</x:v>
      </x:c>
      <x:c r="D429" s="14" t="str">
        <x:v>Low</x:v>
      </x:c>
      <x:c r="E429" s="15" t="n">
        <x:v>46230.375</x:v>
      </x:c>
      <x:c r="F429" s="15" t="n">
        <x:v>46244.375</x:v>
      </x:c>
      <x:c r="G429" s="15" t="n">
        <x:v>46241.458333333336</x:v>
      </x:c>
      <x:c r="H429" s="14" t="n">
        <x:v>1</x:v>
      </x:c>
      <x:c r="I429" s="1" t="n">
        <x:f>IF(AND(E429&lt;Reporting!$B$4,OR(G429="",G429&gt;=Reporting!$B$4)),1,0)</x:f>
        <x:v>0</x:v>
      </x:c>
      <x:c r="J429" s="1" t="n">
        <x:f>IF(AND(I429=1,F429&lt;Reporting!$B$4),1,0)</x:f>
        <x:v>0</x:v>
      </x:c>
      <x:c r="K429" s="1" t="n">
        <x:f>IF(F429&lt;Reporting!$B$4,1,0)</x:f>
        <x:v>1</x:v>
      </x:c>
      <x:c r="L429" s="1" t="n">
        <x:f>IF(AND(K429=1,G429&lt;&gt;"",G429&lt;=F429),1,0)</x:f>
        <x:v>1</x:v>
      </x:c>
      <x:c r="M429" s="1" t="n">
        <x:f>IF(AND(G429&lt;&gt;"",G429&lt;Reporting!$B$4),1,0)</x:f>
        <x:v>1</x:v>
      </x:c>
      <x:c r="N429" s="16" t="n">
        <x:f>IF(M429=1,G429-E429,"")</x:f>
        <x:v>11.083333333335759</x:v>
      </x:c>
      <x:c r="O429" s="1" t="str">
        <x:f>IF(E429&gt;=Reporting!$B$4,"Outside cutoff",IF(M429=1,"Closed",IF(J429=1,"Overdue","Open - within SLA")))</x:f>
        <x:v>Closed</x:v>
      </x:c>
    </x:row>
    <x:row r="430">
      <x:c r="A430" s="14" t="str">
        <x:v>CASE-00425</x:v>
      </x:c>
      <x:c r="B430" s="14" t="str">
        <x:v>Customer Services</x:v>
      </x:c>
      <x:c r="C430" s="14" t="str">
        <x:v>Missing evidence</x:v>
      </x:c>
      <x:c r="D430" s="14" t="str">
        <x:v>Medium</x:v>
      </x:c>
      <x:c r="E430" s="15" t="n">
        <x:v>46276.583333333336</x:v>
      </x:c>
      <x:c r="F430" s="15" t="n">
        <x:v>46283.583333333336</x:v>
      </x:c>
      <x:c r="G430" s="15"/>
      <x:c r="H430" s="14" t="n">
        <x:v>1</x:v>
      </x:c>
      <x:c r="I430" s="1" t="n">
        <x:f>IF(AND(E430&lt;Reporting!$B$4,OR(G430="",G430&gt;=Reporting!$B$4)),1,0)</x:f>
        <x:v>1</x:v>
      </x:c>
      <x:c r="J430" s="1" t="n">
        <x:f>IF(AND(I430=1,F430&lt;Reporting!$B$4),1,0)</x:f>
        <x:v>1</x:v>
      </x:c>
      <x:c r="K430" s="1" t="n">
        <x:f>IF(F430&lt;Reporting!$B$4,1,0)</x:f>
        <x:v>1</x:v>
      </x:c>
      <x:c r="L430" s="1" t="n">
        <x:f>IF(AND(K430=1,G430&lt;&gt;"",G430&lt;=F430),1,0)</x:f>
        <x:v>0</x:v>
      </x:c>
      <x:c r="M430" s="1" t="n">
        <x:f>IF(AND(G430&lt;&gt;"",G430&lt;Reporting!$B$4),1,0)</x:f>
        <x:v>0</x:v>
      </x:c>
      <x:c r="N430" s="16" t="str">
        <x:f>IF(M430=1,G430-E430,"")</x:f>
      </x:c>
      <x:c r="O430" s="1" t="str">
        <x:f>IF(E430&gt;=Reporting!$B$4,"Outside cutoff",IF(M430=1,"Closed",IF(J430=1,"Overdue","Open - within SLA")))</x:f>
        <x:v>Overdue</x:v>
      </x:c>
    </x:row>
    <x:row r="431">
      <x:c r="A431" s="14" t="str">
        <x:v>CASE-00426</x:v>
      </x:c>
      <x:c r="B431" s="14" t="str">
        <x:v>Warehouse</x:v>
      </x:c>
      <x:c r="C431" s="14" t="str">
        <x:v>Record mismatch</x:v>
      </x:c>
      <x:c r="D431" s="14" t="str">
        <x:v>High</x:v>
      </x:c>
      <x:c r="E431" s="15" t="n">
        <x:v>46241.333333333336</x:v>
      </x:c>
      <x:c r="F431" s="15" t="n">
        <x:v>46244.333333333336</x:v>
      </x:c>
      <x:c r="G431" s="15" t="n">
        <x:v>46255.375</x:v>
      </x:c>
      <x:c r="H431" s="14" t="n">
        <x:v>2</x:v>
      </x:c>
      <x:c r="I431" s="1" t="n">
        <x:f>IF(AND(E431&lt;Reporting!$B$4,OR(G431="",G431&gt;=Reporting!$B$4)),1,0)</x:f>
        <x:v>0</x:v>
      </x:c>
      <x:c r="J431" s="1" t="n">
        <x:f>IF(AND(I431=1,F431&lt;Reporting!$B$4),1,0)</x:f>
        <x:v>0</x:v>
      </x:c>
      <x:c r="K431" s="1" t="n">
        <x:f>IF(F431&lt;Reporting!$B$4,1,0)</x:f>
        <x:v>1</x:v>
      </x:c>
      <x:c r="L431" s="1" t="n">
        <x:f>IF(AND(K431=1,G431&lt;&gt;"",G431&lt;=F431),1,0)</x:f>
        <x:v>0</x:v>
      </x:c>
      <x:c r="M431" s="1" t="n">
        <x:f>IF(AND(G431&lt;&gt;"",G431&lt;Reporting!$B$4),1,0)</x:f>
        <x:v>1</x:v>
      </x:c>
      <x:c r="N431" s="16" t="n">
        <x:f>IF(M431=1,G431-E431,"")</x:f>
        <x:v>14.041666666664241</x:v>
      </x:c>
      <x:c r="O431" s="1" t="str">
        <x:f>IF(E431&gt;=Reporting!$B$4,"Outside cutoff",IF(M431=1,"Closed",IF(J431=1,"Overdue","Open - within SLA")))</x:f>
        <x:v>Closed</x:v>
      </x:c>
    </x:row>
    <x:row r="432">
      <x:c r="A432" s="14" t="str">
        <x:v>CASE-00427</x:v>
      </x:c>
      <x:c r="B432" s="14" t="str">
        <x:v>Warehouse</x:v>
      </x:c>
      <x:c r="C432" s="14" t="str">
        <x:v>Late review</x:v>
      </x:c>
      <x:c r="D432" s="14" t="str">
        <x:v>Medium</x:v>
      </x:c>
      <x:c r="E432" s="15" t="n">
        <x:v>46236.541666666664</x:v>
      </x:c>
      <x:c r="F432" s="15" t="n">
        <x:v>46243.541666666664</x:v>
      </x:c>
      <x:c r="G432" s="15" t="n">
        <x:v>46248.541666666664</x:v>
      </x:c>
      <x:c r="H432" s="14" t="n">
        <x:v>2</x:v>
      </x:c>
      <x:c r="I432" s="1" t="n">
        <x:f>IF(AND(E432&lt;Reporting!$B$4,OR(G432="",G432&gt;=Reporting!$B$4)),1,0)</x:f>
        <x:v>0</x:v>
      </x:c>
      <x:c r="J432" s="1" t="n">
        <x:f>IF(AND(I432=1,F432&lt;Reporting!$B$4),1,0)</x:f>
        <x:v>0</x:v>
      </x:c>
      <x:c r="K432" s="1" t="n">
        <x:f>IF(F432&lt;Reporting!$B$4,1,0)</x:f>
        <x:v>1</x:v>
      </x:c>
      <x:c r="L432" s="1" t="n">
        <x:f>IF(AND(K432=1,G432&lt;&gt;"",G432&lt;=F432),1,0)</x:f>
        <x:v>0</x:v>
      </x:c>
      <x:c r="M432" s="1" t="n">
        <x:f>IF(AND(G432&lt;&gt;"",G432&lt;Reporting!$B$4),1,0)</x:f>
        <x:v>1</x:v>
      </x:c>
      <x:c r="N432" s="16" t="n">
        <x:f>IF(M432=1,G432-E432,"")</x:f>
        <x:v>12</x:v>
      </x:c>
      <x:c r="O432" s="1" t="str">
        <x:f>IF(E432&gt;=Reporting!$B$4,"Outside cutoff",IF(M432=1,"Closed",IF(J432=1,"Overdue","Open - within SLA")))</x:f>
        <x:v>Closed</x:v>
      </x:c>
    </x:row>
    <x:row r="433">
      <x:c r="A433" s="14" t="str">
        <x:v>CASE-00428</x:v>
      </x:c>
      <x:c r="B433" s="14" t="str">
        <x:v>Customer Services</x:v>
      </x:c>
      <x:c r="C433" s="14" t="str">
        <x:v>Record mismatch</x:v>
      </x:c>
      <x:c r="D433" s="14" t="str">
        <x:v>Medium</x:v>
      </x:c>
      <x:c r="E433" s="15" t="n">
        <x:v>46223.541666666664</x:v>
      </x:c>
      <x:c r="F433" s="15" t="n">
        <x:v>46230.541666666664</x:v>
      </x:c>
      <x:c r="G433" s="15" t="n">
        <x:v>46225.625</x:v>
      </x:c>
      <x:c r="H433" s="14" t="n">
        <x:v>1</x:v>
      </x:c>
      <x:c r="I433" s="1" t="n">
        <x:f>IF(AND(E433&lt;Reporting!$B$4,OR(G433="",G433&gt;=Reporting!$B$4)),1,0)</x:f>
        <x:v>0</x:v>
      </x:c>
      <x:c r="J433" s="1" t="n">
        <x:f>IF(AND(I433=1,F433&lt;Reporting!$B$4),1,0)</x:f>
        <x:v>0</x:v>
      </x:c>
      <x:c r="K433" s="1" t="n">
        <x:f>IF(F433&lt;Reporting!$B$4,1,0)</x:f>
        <x:v>1</x:v>
      </x:c>
      <x:c r="L433" s="1" t="n">
        <x:f>IF(AND(K433=1,G433&lt;&gt;"",G433&lt;=F433),1,0)</x:f>
        <x:v>1</x:v>
      </x:c>
      <x:c r="M433" s="1" t="n">
        <x:f>IF(AND(G433&lt;&gt;"",G433&lt;Reporting!$B$4),1,0)</x:f>
        <x:v>1</x:v>
      </x:c>
      <x:c r="N433" s="16" t="n">
        <x:f>IF(M433=1,G433-E433,"")</x:f>
        <x:v>2.0833333333357587</x:v>
      </x:c>
      <x:c r="O433" s="1" t="str">
        <x:f>IF(E433&gt;=Reporting!$B$4,"Outside cutoff",IF(M433=1,"Closed",IF(J433=1,"Overdue","Open - within SLA")))</x:f>
        <x:v>Closed</x:v>
      </x:c>
    </x:row>
    <x:row r="434">
      <x:c r="A434" s="14" t="str">
        <x:v>CASE-00429</x:v>
      </x:c>
      <x:c r="B434" s="14" t="str">
        <x:v>Installation</x:v>
      </x:c>
      <x:c r="C434" s="14" t="str">
        <x:v>Record mismatch</x:v>
      </x:c>
      <x:c r="D434" s="14" t="str">
        <x:v>Low</x:v>
      </x:c>
      <x:c r="E434" s="15" t="n">
        <x:v>46215.5</x:v>
      </x:c>
      <x:c r="F434" s="15" t="n">
        <x:v>46229.5</x:v>
      </x:c>
      <x:c r="G434" s="15" t="n">
        <x:v>46230.541666666664</x:v>
      </x:c>
      <x:c r="H434" s="14" t="n">
        <x:v>3</x:v>
      </x:c>
      <x:c r="I434" s="1" t="n">
        <x:f>IF(AND(E434&lt;Reporting!$B$4,OR(G434="",G434&gt;=Reporting!$B$4)),1,0)</x:f>
        <x:v>0</x:v>
      </x:c>
      <x:c r="J434" s="1" t="n">
        <x:f>IF(AND(I434=1,F434&lt;Reporting!$B$4),1,0)</x:f>
        <x:v>0</x:v>
      </x:c>
      <x:c r="K434" s="1" t="n">
        <x:f>IF(F434&lt;Reporting!$B$4,1,0)</x:f>
        <x:v>1</x:v>
      </x:c>
      <x:c r="L434" s="1" t="n">
        <x:f>IF(AND(K434=1,G434&lt;&gt;"",G434&lt;=F434),1,0)</x:f>
        <x:v>0</x:v>
      </x:c>
      <x:c r="M434" s="1" t="n">
        <x:f>IF(AND(G434&lt;&gt;"",G434&lt;Reporting!$B$4),1,0)</x:f>
        <x:v>1</x:v>
      </x:c>
      <x:c r="N434" s="16" t="n">
        <x:f>IF(M434=1,G434-E434,"")</x:f>
        <x:v>15.041666666664241</x:v>
      </x:c>
      <x:c r="O434" s="1" t="str">
        <x:f>IF(E434&gt;=Reporting!$B$4,"Outside cutoff",IF(M434=1,"Closed",IF(J434=1,"Overdue","Open - within SLA")))</x:f>
        <x:v>Closed</x:v>
      </x:c>
    </x:row>
    <x:row r="435">
      <x:c r="A435" s="14" t="str">
        <x:v>CASE-00430</x:v>
      </x:c>
      <x:c r="B435" s="14" t="str">
        <x:v>Customer Services</x:v>
      </x:c>
      <x:c r="C435" s="14" t="str">
        <x:v>Late review</x:v>
      </x:c>
      <x:c r="D435" s="14" t="str">
        <x:v>Medium</x:v>
      </x:c>
      <x:c r="E435" s="15" t="n">
        <x:v>46229.583333333336</x:v>
      </x:c>
      <x:c r="F435" s="15" t="n">
        <x:v>46236.583333333336</x:v>
      </x:c>
      <x:c r="G435" s="15" t="n">
        <x:v>46234.625</x:v>
      </x:c>
      <x:c r="H435" s="14" t="n">
        <x:v>1</x:v>
      </x:c>
      <x:c r="I435" s="1" t="n">
        <x:f>IF(AND(E435&lt;Reporting!$B$4,OR(G435="",G435&gt;=Reporting!$B$4)),1,0)</x:f>
        <x:v>0</x:v>
      </x:c>
      <x:c r="J435" s="1" t="n">
        <x:f>IF(AND(I435=1,F435&lt;Reporting!$B$4),1,0)</x:f>
        <x:v>0</x:v>
      </x:c>
      <x:c r="K435" s="1" t="n">
        <x:f>IF(F435&lt;Reporting!$B$4,1,0)</x:f>
        <x:v>1</x:v>
      </x:c>
      <x:c r="L435" s="1" t="n">
        <x:f>IF(AND(K435=1,G435&lt;&gt;"",G435&lt;=F435),1,0)</x:f>
        <x:v>1</x:v>
      </x:c>
      <x:c r="M435" s="1" t="n">
        <x:f>IF(AND(G435&lt;&gt;"",G435&lt;Reporting!$B$4),1,0)</x:f>
        <x:v>1</x:v>
      </x:c>
      <x:c r="N435" s="16" t="n">
        <x:f>IF(M435=1,G435-E435,"")</x:f>
        <x:v>5.041666666664241</x:v>
      </x:c>
      <x:c r="O435" s="1" t="str">
        <x:f>IF(E435&gt;=Reporting!$B$4,"Outside cutoff",IF(M435=1,"Closed",IF(J435=1,"Overdue","Open - within SLA")))</x:f>
        <x:v>Closed</x:v>
      </x:c>
    </x:row>
    <x:row r="436">
      <x:c r="A436" s="14" t="str">
        <x:v>CASE-00431</x:v>
      </x:c>
      <x:c r="B436" s="14" t="str">
        <x:v>Warehouse</x:v>
      </x:c>
      <x:c r="C436" s="14" t="str">
        <x:v>Process deviation</x:v>
      </x:c>
      <x:c r="D436" s="14" t="str">
        <x:v>Medium</x:v>
      </x:c>
      <x:c r="E436" s="15" t="n">
        <x:v>46238.5</x:v>
      </x:c>
      <x:c r="F436" s="15" t="n">
        <x:v>46245.5</x:v>
      </x:c>
      <x:c r="G436" s="15" t="n">
        <x:v>46252.541666666664</x:v>
      </x:c>
      <x:c r="H436" s="14" t="n">
        <x:v>2</x:v>
      </x:c>
      <x:c r="I436" s="1" t="n">
        <x:f>IF(AND(E436&lt;Reporting!$B$4,OR(G436="",G436&gt;=Reporting!$B$4)),1,0)</x:f>
        <x:v>0</x:v>
      </x:c>
      <x:c r="J436" s="1" t="n">
        <x:f>IF(AND(I436=1,F436&lt;Reporting!$B$4),1,0)</x:f>
        <x:v>0</x:v>
      </x:c>
      <x:c r="K436" s="1" t="n">
        <x:f>IF(F436&lt;Reporting!$B$4,1,0)</x:f>
        <x:v>1</x:v>
      </x:c>
      <x:c r="L436" s="1" t="n">
        <x:f>IF(AND(K436=1,G436&lt;&gt;"",G436&lt;=F436),1,0)</x:f>
        <x:v>0</x:v>
      </x:c>
      <x:c r="M436" s="1" t="n">
        <x:f>IF(AND(G436&lt;&gt;"",G436&lt;Reporting!$B$4),1,0)</x:f>
        <x:v>1</x:v>
      </x:c>
      <x:c r="N436" s="16" t="n">
        <x:f>IF(M436=1,G436-E436,"")</x:f>
        <x:v>14.041666666664241</x:v>
      </x:c>
      <x:c r="O436" s="1" t="str">
        <x:f>IF(E436&gt;=Reporting!$B$4,"Outside cutoff",IF(M436=1,"Closed",IF(J436=1,"Overdue","Open - within SLA")))</x:f>
        <x:v>Closed</x:v>
      </x:c>
    </x:row>
    <x:row r="437">
      <x:c r="A437" s="14" t="str">
        <x:v>CASE-00432</x:v>
      </x:c>
      <x:c r="B437" s="14" t="str">
        <x:v>Customer Services</x:v>
      </x:c>
      <x:c r="C437" s="14" t="str">
        <x:v>Process deviation</x:v>
      </x:c>
      <x:c r="D437" s="14" t="str">
        <x:v>High</x:v>
      </x:c>
      <x:c r="E437" s="15" t="n">
        <x:v>46236.583333333336</x:v>
      </x:c>
      <x:c r="F437" s="15" t="n">
        <x:v>46239.583333333336</x:v>
      </x:c>
      <x:c r="G437" s="15" t="n">
        <x:v>46240.666666666664</x:v>
      </x:c>
      <x:c r="H437" s="14" t="n">
        <x:v>1</x:v>
      </x:c>
      <x:c r="I437" s="1" t="n">
        <x:f>IF(AND(E437&lt;Reporting!$B$4,OR(G437="",G437&gt;=Reporting!$B$4)),1,0)</x:f>
        <x:v>0</x:v>
      </x:c>
      <x:c r="J437" s="1" t="n">
        <x:f>IF(AND(I437=1,F437&lt;Reporting!$B$4),1,0)</x:f>
        <x:v>0</x:v>
      </x:c>
      <x:c r="K437" s="1" t="n">
        <x:f>IF(F437&lt;Reporting!$B$4,1,0)</x:f>
        <x:v>1</x:v>
      </x:c>
      <x:c r="L437" s="1" t="n">
        <x:f>IF(AND(K437=1,G437&lt;&gt;"",G437&lt;=F437),1,0)</x:f>
        <x:v>0</x:v>
      </x:c>
      <x:c r="M437" s="1" t="n">
        <x:f>IF(AND(G437&lt;&gt;"",G437&lt;Reporting!$B$4),1,0)</x:f>
        <x:v>1</x:v>
      </x:c>
      <x:c r="N437" s="16" t="n">
        <x:f>IF(M437=1,G437-E437,"")</x:f>
        <x:v>4.083333333328483</x:v>
      </x:c>
      <x:c r="O437" s="1" t="str">
        <x:f>IF(E437&gt;=Reporting!$B$4,"Outside cutoff",IF(M437=1,"Closed",IF(J437=1,"Overdue","Open - within SLA")))</x:f>
        <x:v>Closed</x:v>
      </x:c>
    </x:row>
    <x:row r="438">
      <x:c r="A438" s="14" t="str">
        <x:v>CASE-00433</x:v>
      </x:c>
      <x:c r="B438" s="14" t="str">
        <x:v>Customer Services</x:v>
      </x:c>
      <x:c r="C438" s="14" t="str">
        <x:v>Late review</x:v>
      </x:c>
      <x:c r="D438" s="14" t="str">
        <x:v>Medium</x:v>
      </x:c>
      <x:c r="E438" s="15" t="n">
        <x:v>46239.625</x:v>
      </x:c>
      <x:c r="F438" s="15" t="n">
        <x:v>46246.625</x:v>
      </x:c>
      <x:c r="G438" s="15" t="n">
        <x:v>46240.708333333336</x:v>
      </x:c>
      <x:c r="H438" s="14" t="n">
        <x:v>1</x:v>
      </x:c>
      <x:c r="I438" s="1" t="n">
        <x:f>IF(AND(E438&lt;Reporting!$B$4,OR(G438="",G438&gt;=Reporting!$B$4)),1,0)</x:f>
        <x:v>0</x:v>
      </x:c>
      <x:c r="J438" s="1" t="n">
        <x:f>IF(AND(I438=1,F438&lt;Reporting!$B$4),1,0)</x:f>
        <x:v>0</x:v>
      </x:c>
      <x:c r="K438" s="1" t="n">
        <x:f>IF(F438&lt;Reporting!$B$4,1,0)</x:f>
        <x:v>1</x:v>
      </x:c>
      <x:c r="L438" s="1" t="n">
        <x:f>IF(AND(K438=1,G438&lt;&gt;"",G438&lt;=F438),1,0)</x:f>
        <x:v>1</x:v>
      </x:c>
      <x:c r="M438" s="1" t="n">
        <x:f>IF(AND(G438&lt;&gt;"",G438&lt;Reporting!$B$4),1,0)</x:f>
        <x:v>1</x:v>
      </x:c>
      <x:c r="N438" s="16" t="n">
        <x:f>IF(M438=1,G438-E438,"")</x:f>
        <x:v>1.0833333333357587</x:v>
      </x:c>
      <x:c r="O438" s="1" t="str">
        <x:f>IF(E438&gt;=Reporting!$B$4,"Outside cutoff",IF(M438=1,"Closed",IF(J438=1,"Overdue","Open - within SLA")))</x:f>
        <x:v>Closed</x:v>
      </x:c>
    </x:row>
    <x:row r="439">
      <x:c r="A439" s="14" t="str">
        <x:v>CASE-00434</x:v>
      </x:c>
      <x:c r="B439" s="14" t="str">
        <x:v>Installation</x:v>
      </x:c>
      <x:c r="C439" s="14" t="str">
        <x:v>Process deviation</x:v>
      </x:c>
      <x:c r="D439" s="14" t="str">
        <x:v>Low</x:v>
      </x:c>
      <x:c r="E439" s="15" t="n">
        <x:v>46244.375</x:v>
      </x:c>
      <x:c r="F439" s="15" t="n">
        <x:v>46258.375</x:v>
      </x:c>
      <x:c r="G439" s="15" t="n">
        <x:v>46254.375</x:v>
      </x:c>
      <x:c r="H439" s="14" t="n">
        <x:v>3</x:v>
      </x:c>
      <x:c r="I439" s="1" t="n">
        <x:f>IF(AND(E439&lt;Reporting!$B$4,OR(G439="",G439&gt;=Reporting!$B$4)),1,0)</x:f>
        <x:v>0</x:v>
      </x:c>
      <x:c r="J439" s="1" t="n">
        <x:f>IF(AND(I439=1,F439&lt;Reporting!$B$4),1,0)</x:f>
        <x:v>0</x:v>
      </x:c>
      <x:c r="K439" s="1" t="n">
        <x:f>IF(F439&lt;Reporting!$B$4,1,0)</x:f>
        <x:v>1</x:v>
      </x:c>
      <x:c r="L439" s="1" t="n">
        <x:f>IF(AND(K439=1,G439&lt;&gt;"",G439&lt;=F439),1,0)</x:f>
        <x:v>1</x:v>
      </x:c>
      <x:c r="M439" s="1" t="n">
        <x:f>IF(AND(G439&lt;&gt;"",G439&lt;Reporting!$B$4),1,0)</x:f>
        <x:v>1</x:v>
      </x:c>
      <x:c r="N439" s="16" t="n">
        <x:f>IF(M439=1,G439-E439,"")</x:f>
        <x:v>10</x:v>
      </x:c>
      <x:c r="O439" s="1" t="str">
        <x:f>IF(E439&gt;=Reporting!$B$4,"Outside cutoff",IF(M439=1,"Closed",IF(J439=1,"Overdue","Open - within SLA")))</x:f>
        <x:v>Closed</x:v>
      </x:c>
    </x:row>
    <x:row r="440">
      <x:c r="A440" s="14" t="str">
        <x:v>CASE-00435</x:v>
      </x:c>
      <x:c r="B440" s="14" t="str">
        <x:v>Installation</x:v>
      </x:c>
      <x:c r="C440" s="14" t="str">
        <x:v>Record mismatch</x:v>
      </x:c>
      <x:c r="D440" s="14" t="str">
        <x:v>High</x:v>
      </x:c>
      <x:c r="E440" s="15" t="n">
        <x:v>46212.625</x:v>
      </x:c>
      <x:c r="F440" s="15" t="n">
        <x:v>46215.625</x:v>
      </x:c>
      <x:c r="G440" s="15"/>
      <x:c r="H440" s="14" t="n">
        <x:v>3</x:v>
      </x:c>
      <x:c r="I440" s="1" t="n">
        <x:f>IF(AND(E440&lt;Reporting!$B$4,OR(G440="",G440&gt;=Reporting!$B$4)),1,0)</x:f>
        <x:v>1</x:v>
      </x:c>
      <x:c r="J440" s="1" t="n">
        <x:f>IF(AND(I440=1,F440&lt;Reporting!$B$4),1,0)</x:f>
        <x:v>1</x:v>
      </x:c>
      <x:c r="K440" s="1" t="n">
        <x:f>IF(F440&lt;Reporting!$B$4,1,0)</x:f>
        <x:v>1</x:v>
      </x:c>
      <x:c r="L440" s="1" t="n">
        <x:f>IF(AND(K440=1,G440&lt;&gt;"",G440&lt;=F440),1,0)</x:f>
        <x:v>0</x:v>
      </x:c>
      <x:c r="M440" s="1" t="n">
        <x:f>IF(AND(G440&lt;&gt;"",G440&lt;Reporting!$B$4),1,0)</x:f>
        <x:v>0</x:v>
      </x:c>
      <x:c r="N440" s="16" t="str">
        <x:f>IF(M440=1,G440-E440,"")</x:f>
      </x:c>
      <x:c r="O440" s="1" t="str">
        <x:f>IF(E440&gt;=Reporting!$B$4,"Outside cutoff",IF(M440=1,"Closed",IF(J440=1,"Overdue","Open - within SLA")))</x:f>
        <x:v>Overdue</x:v>
      </x:c>
    </x:row>
    <x:row r="441">
      <x:c r="A441" s="14" t="str">
        <x:v>CASE-00436</x:v>
      </x:c>
      <x:c r="B441" s="14" t="str">
        <x:v>Warehouse</x:v>
      </x:c>
      <x:c r="C441" s="14" t="str">
        <x:v>Late review</x:v>
      </x:c>
      <x:c r="D441" s="14" t="str">
        <x:v>Low</x:v>
      </x:c>
      <x:c r="E441" s="15" t="n">
        <x:v>46265.625</x:v>
      </x:c>
      <x:c r="F441" s="15" t="n">
        <x:v>46279.625</x:v>
      </x:c>
      <x:c r="G441" s="15" t="n">
        <x:v>46281.625</x:v>
      </x:c>
      <x:c r="H441" s="14" t="n">
        <x:v>2</x:v>
      </x:c>
      <x:c r="I441" s="1" t="n">
        <x:f>IF(AND(E441&lt;Reporting!$B$4,OR(G441="",G441&gt;=Reporting!$B$4)),1,0)</x:f>
        <x:v>0</x:v>
      </x:c>
      <x:c r="J441" s="1" t="n">
        <x:f>IF(AND(I441=1,F441&lt;Reporting!$B$4),1,0)</x:f>
        <x:v>0</x:v>
      </x:c>
      <x:c r="K441" s="1" t="n">
        <x:f>IF(F441&lt;Reporting!$B$4,1,0)</x:f>
        <x:v>1</x:v>
      </x:c>
      <x:c r="L441" s="1" t="n">
        <x:f>IF(AND(K441=1,G441&lt;&gt;"",G441&lt;=F441),1,0)</x:f>
        <x:v>0</x:v>
      </x:c>
      <x:c r="M441" s="1" t="n">
        <x:f>IF(AND(G441&lt;&gt;"",G441&lt;Reporting!$B$4),1,0)</x:f>
        <x:v>1</x:v>
      </x:c>
      <x:c r="N441" s="16" t="n">
        <x:f>IF(M441=1,G441-E441,"")</x:f>
        <x:v>16</x:v>
      </x:c>
      <x:c r="O441" s="1" t="str">
        <x:f>IF(E441&gt;=Reporting!$B$4,"Outside cutoff",IF(M441=1,"Closed",IF(J441=1,"Overdue","Open - within SLA")))</x:f>
        <x:v>Closed</x:v>
      </x:c>
    </x:row>
    <x:row r="442">
      <x:c r="A442" s="14" t="str">
        <x:v>CASE-00437</x:v>
      </x:c>
      <x:c r="B442" s="14" t="str">
        <x:v>Customer Services</x:v>
      </x:c>
      <x:c r="C442" s="14" t="str">
        <x:v>Process deviation</x:v>
      </x:c>
      <x:c r="D442" s="14" t="str">
        <x:v>High</x:v>
      </x:c>
      <x:c r="E442" s="15" t="n">
        <x:v>46271.416666666664</x:v>
      </x:c>
      <x:c r="F442" s="15" t="n">
        <x:v>46274.416666666664</x:v>
      </x:c>
      <x:c r="G442" s="15" t="n">
        <x:v>46278.416666666664</x:v>
      </x:c>
      <x:c r="H442" s="14" t="n">
        <x:v>1</x:v>
      </x:c>
      <x:c r="I442" s="1" t="n">
        <x:f>IF(AND(E442&lt;Reporting!$B$4,OR(G442="",G442&gt;=Reporting!$B$4)),1,0)</x:f>
        <x:v>0</x:v>
      </x:c>
      <x:c r="J442" s="1" t="n">
        <x:f>IF(AND(I442=1,F442&lt;Reporting!$B$4),1,0)</x:f>
        <x:v>0</x:v>
      </x:c>
      <x:c r="K442" s="1" t="n">
        <x:f>IF(F442&lt;Reporting!$B$4,1,0)</x:f>
        <x:v>1</x:v>
      </x:c>
      <x:c r="L442" s="1" t="n">
        <x:f>IF(AND(K442=1,G442&lt;&gt;"",G442&lt;=F442),1,0)</x:f>
        <x:v>0</x:v>
      </x:c>
      <x:c r="M442" s="1" t="n">
        <x:f>IF(AND(G442&lt;&gt;"",G442&lt;Reporting!$B$4),1,0)</x:f>
        <x:v>1</x:v>
      </x:c>
      <x:c r="N442" s="16" t="n">
        <x:f>IF(M442=1,G442-E442,"")</x:f>
        <x:v>7</x:v>
      </x:c>
      <x:c r="O442" s="1" t="str">
        <x:f>IF(E442&gt;=Reporting!$B$4,"Outside cutoff",IF(M442=1,"Closed",IF(J442=1,"Overdue","Open - within SLA")))</x:f>
        <x:v>Closed</x:v>
      </x:c>
    </x:row>
    <x:row r="443">
      <x:c r="A443" s="14" t="str">
        <x:v>CASE-00438</x:v>
      </x:c>
      <x:c r="B443" s="14" t="str">
        <x:v>Customer Services</x:v>
      </x:c>
      <x:c r="C443" s="14" t="str">
        <x:v>Process deviation</x:v>
      </x:c>
      <x:c r="D443" s="14" t="str">
        <x:v>Low</x:v>
      </x:c>
      <x:c r="E443" s="15" t="n">
        <x:v>46246.333333333336</x:v>
      </x:c>
      <x:c r="F443" s="15" t="n">
        <x:v>46260.333333333336</x:v>
      </x:c>
      <x:c r="G443" s="15" t="n">
        <x:v>46247.333333333336</x:v>
      </x:c>
      <x:c r="H443" s="14" t="n">
        <x:v>1</x:v>
      </x:c>
      <x:c r="I443" s="1" t="n">
        <x:f>IF(AND(E443&lt;Reporting!$B$4,OR(G443="",G443&gt;=Reporting!$B$4)),1,0)</x:f>
        <x:v>0</x:v>
      </x:c>
      <x:c r="J443" s="1" t="n">
        <x:f>IF(AND(I443=1,F443&lt;Reporting!$B$4),1,0)</x:f>
        <x:v>0</x:v>
      </x:c>
      <x:c r="K443" s="1" t="n">
        <x:f>IF(F443&lt;Reporting!$B$4,1,0)</x:f>
        <x:v>1</x:v>
      </x:c>
      <x:c r="L443" s="1" t="n">
        <x:f>IF(AND(K443=1,G443&lt;&gt;"",G443&lt;=F443),1,0)</x:f>
        <x:v>1</x:v>
      </x:c>
      <x:c r="M443" s="1" t="n">
        <x:f>IF(AND(G443&lt;&gt;"",G443&lt;Reporting!$B$4),1,0)</x:f>
        <x:v>1</x:v>
      </x:c>
      <x:c r="N443" s="16" t="n">
        <x:f>IF(M443=1,G443-E443,"")</x:f>
        <x:v>1</x:v>
      </x:c>
      <x:c r="O443" s="1" t="str">
        <x:f>IF(E443&gt;=Reporting!$B$4,"Outside cutoff",IF(M443=1,"Closed",IF(J443=1,"Overdue","Open - within SLA")))</x:f>
        <x:v>Closed</x:v>
      </x:c>
    </x:row>
    <x:row r="444">
      <x:c r="A444" s="14" t="str">
        <x:v>CASE-00439</x:v>
      </x:c>
      <x:c r="B444" s="14" t="str">
        <x:v>Customer Services</x:v>
      </x:c>
      <x:c r="C444" s="14" t="str">
        <x:v>Late review</x:v>
      </x:c>
      <x:c r="D444" s="14" t="str">
        <x:v>Medium</x:v>
      </x:c>
      <x:c r="E444" s="15" t="n">
        <x:v>46251.5</x:v>
      </x:c>
      <x:c r="F444" s="15" t="n">
        <x:v>46258.5</x:v>
      </x:c>
      <x:c r="G444" s="15" t="n">
        <x:v>46268.5</x:v>
      </x:c>
      <x:c r="H444" s="14" t="n">
        <x:v>1</x:v>
      </x:c>
      <x:c r="I444" s="1" t="n">
        <x:f>IF(AND(E444&lt;Reporting!$B$4,OR(G444="",G444&gt;=Reporting!$B$4)),1,0)</x:f>
        <x:v>0</x:v>
      </x:c>
      <x:c r="J444" s="1" t="n">
        <x:f>IF(AND(I444=1,F444&lt;Reporting!$B$4),1,0)</x:f>
        <x:v>0</x:v>
      </x:c>
      <x:c r="K444" s="1" t="n">
        <x:f>IF(F444&lt;Reporting!$B$4,1,0)</x:f>
        <x:v>1</x:v>
      </x:c>
      <x:c r="L444" s="1" t="n">
        <x:f>IF(AND(K444=1,G444&lt;&gt;"",G444&lt;=F444),1,0)</x:f>
        <x:v>0</x:v>
      </x:c>
      <x:c r="M444" s="1" t="n">
        <x:f>IF(AND(G444&lt;&gt;"",G444&lt;Reporting!$B$4),1,0)</x:f>
        <x:v>1</x:v>
      </x:c>
      <x:c r="N444" s="16" t="n">
        <x:f>IF(M444=1,G444-E444,"")</x:f>
        <x:v>17</x:v>
      </x:c>
      <x:c r="O444" s="1" t="str">
        <x:f>IF(E444&gt;=Reporting!$B$4,"Outside cutoff",IF(M444=1,"Closed",IF(J444=1,"Overdue","Open - within SLA")))</x:f>
        <x:v>Closed</x:v>
      </x:c>
    </x:row>
    <x:row r="445">
      <x:c r="A445" s="14" t="str">
        <x:v>CASE-00440</x:v>
      </x:c>
      <x:c r="B445" s="14" t="str">
        <x:v>Warehouse</x:v>
      </x:c>
      <x:c r="C445" s="14" t="str">
        <x:v>Late review</x:v>
      </x:c>
      <x:c r="D445" s="14" t="str">
        <x:v>Low</x:v>
      </x:c>
      <x:c r="E445" s="15" t="n">
        <x:v>46210.5</x:v>
      </x:c>
      <x:c r="F445" s="15" t="n">
        <x:v>46224.5</x:v>
      </x:c>
      <x:c r="G445" s="15" t="n">
        <x:v>46225.5</x:v>
      </x:c>
      <x:c r="H445" s="14" t="n">
        <x:v>2</x:v>
      </x:c>
      <x:c r="I445" s="1" t="n">
        <x:f>IF(AND(E445&lt;Reporting!$B$4,OR(G445="",G445&gt;=Reporting!$B$4)),1,0)</x:f>
        <x:v>0</x:v>
      </x:c>
      <x:c r="J445" s="1" t="n">
        <x:f>IF(AND(I445=1,F445&lt;Reporting!$B$4),1,0)</x:f>
        <x:v>0</x:v>
      </x:c>
      <x:c r="K445" s="1" t="n">
        <x:f>IF(F445&lt;Reporting!$B$4,1,0)</x:f>
        <x:v>1</x:v>
      </x:c>
      <x:c r="L445" s="1" t="n">
        <x:f>IF(AND(K445=1,G445&lt;&gt;"",G445&lt;=F445),1,0)</x:f>
        <x:v>0</x:v>
      </x:c>
      <x:c r="M445" s="1" t="n">
        <x:f>IF(AND(G445&lt;&gt;"",G445&lt;Reporting!$B$4),1,0)</x:f>
        <x:v>1</x:v>
      </x:c>
      <x:c r="N445" s="16" t="n">
        <x:f>IF(M445=1,G445-E445,"")</x:f>
        <x:v>15</x:v>
      </x:c>
      <x:c r="O445" s="1" t="str">
        <x:f>IF(E445&gt;=Reporting!$B$4,"Outside cutoff",IF(M445=1,"Closed",IF(J445=1,"Overdue","Open - within SLA")))</x:f>
        <x:v>Closed</x:v>
      </x:c>
    </x:row>
    <x:row r="446">
      <x:c r="A446" s="14" t="str">
        <x:v>CASE-00441</x:v>
      </x:c>
      <x:c r="B446" s="14" t="str">
        <x:v>Customer Services</x:v>
      </x:c>
      <x:c r="C446" s="14" t="str">
        <x:v>Record mismatch</x:v>
      </x:c>
      <x:c r="D446" s="14" t="str">
        <x:v>Medium</x:v>
      </x:c>
      <x:c r="E446" s="15" t="n">
        <x:v>46278.583333333336</x:v>
      </x:c>
      <x:c r="F446" s="15" t="n">
        <x:v>46285.583333333336</x:v>
      </x:c>
      <x:c r="G446" s="15"/>
      <x:c r="H446" s="14" t="n">
        <x:v>1</x:v>
      </x:c>
      <x:c r="I446" s="1" t="n">
        <x:f>IF(AND(E446&lt;Reporting!$B$4,OR(G446="",G446&gt;=Reporting!$B$4)),1,0)</x:f>
        <x:v>1</x:v>
      </x:c>
      <x:c r="J446" s="1" t="n">
        <x:f>IF(AND(I446=1,F446&lt;Reporting!$B$4),1,0)</x:f>
        <x:v>1</x:v>
      </x:c>
      <x:c r="K446" s="1" t="n">
        <x:f>IF(F446&lt;Reporting!$B$4,1,0)</x:f>
        <x:v>1</x:v>
      </x:c>
      <x:c r="L446" s="1" t="n">
        <x:f>IF(AND(K446=1,G446&lt;&gt;"",G446&lt;=F446),1,0)</x:f>
        <x:v>0</x:v>
      </x:c>
      <x:c r="M446" s="1" t="n">
        <x:f>IF(AND(G446&lt;&gt;"",G446&lt;Reporting!$B$4),1,0)</x:f>
        <x:v>0</x:v>
      </x:c>
      <x:c r="N446" s="16" t="str">
        <x:f>IF(M446=1,G446-E446,"")</x:f>
      </x:c>
      <x:c r="O446" s="1" t="str">
        <x:f>IF(E446&gt;=Reporting!$B$4,"Outside cutoff",IF(M446=1,"Closed",IF(J446=1,"Overdue","Open - within SLA")))</x:f>
        <x:v>Overdue</x:v>
      </x:c>
    </x:row>
    <x:row r="447">
      <x:c r="A447" s="14" t="str">
        <x:v>CASE-00442</x:v>
      </x:c>
      <x:c r="B447" s="14" t="str">
        <x:v>Customer Services</x:v>
      </x:c>
      <x:c r="C447" s="14" t="str">
        <x:v>Record mismatch</x:v>
      </x:c>
      <x:c r="D447" s="14" t="str">
        <x:v>Medium</x:v>
      </x:c>
      <x:c r="E447" s="15" t="n">
        <x:v>46207.666666666664</x:v>
      </x:c>
      <x:c r="F447" s="15" t="n">
        <x:v>46214.666666666664</x:v>
      </x:c>
      <x:c r="G447" s="15" t="n">
        <x:v>46212.666666666664</x:v>
      </x:c>
      <x:c r="H447" s="14" t="n">
        <x:v>1</x:v>
      </x:c>
      <x:c r="I447" s="1" t="n">
        <x:f>IF(AND(E447&lt;Reporting!$B$4,OR(G447="",G447&gt;=Reporting!$B$4)),1,0)</x:f>
        <x:v>0</x:v>
      </x:c>
      <x:c r="J447" s="1" t="n">
        <x:f>IF(AND(I447=1,F447&lt;Reporting!$B$4),1,0)</x:f>
        <x:v>0</x:v>
      </x:c>
      <x:c r="K447" s="1" t="n">
        <x:f>IF(F447&lt;Reporting!$B$4,1,0)</x:f>
        <x:v>1</x:v>
      </x:c>
      <x:c r="L447" s="1" t="n">
        <x:f>IF(AND(K447=1,G447&lt;&gt;"",G447&lt;=F447),1,0)</x:f>
        <x:v>1</x:v>
      </x:c>
      <x:c r="M447" s="1" t="n">
        <x:f>IF(AND(G447&lt;&gt;"",G447&lt;Reporting!$B$4),1,0)</x:f>
        <x:v>1</x:v>
      </x:c>
      <x:c r="N447" s="16" t="n">
        <x:f>IF(M447=1,G447-E447,"")</x:f>
        <x:v>5</x:v>
      </x:c>
      <x:c r="O447" s="1" t="str">
        <x:f>IF(E447&gt;=Reporting!$B$4,"Outside cutoff",IF(M447=1,"Closed",IF(J447=1,"Overdue","Open - within SLA")))</x:f>
        <x:v>Closed</x:v>
      </x:c>
    </x:row>
    <x:row r="448">
      <x:c r="A448" s="14" t="str">
        <x:v>CASE-00443</x:v>
      </x:c>
      <x:c r="B448" s="14" t="str">
        <x:v>Installation</x:v>
      </x:c>
      <x:c r="C448" s="14" t="str">
        <x:v>Record mismatch</x:v>
      </x:c>
      <x:c r="D448" s="14" t="str">
        <x:v>Medium</x:v>
      </x:c>
      <x:c r="E448" s="15" t="n">
        <x:v>46249.666666666664</x:v>
      </x:c>
      <x:c r="F448" s="15" t="n">
        <x:v>46256.666666666664</x:v>
      </x:c>
      <x:c r="G448" s="15" t="n">
        <x:v>46251.666666666664</x:v>
      </x:c>
      <x:c r="H448" s="14" t="n">
        <x:v>3</x:v>
      </x:c>
      <x:c r="I448" s="1" t="n">
        <x:f>IF(AND(E448&lt;Reporting!$B$4,OR(G448="",G448&gt;=Reporting!$B$4)),1,0)</x:f>
        <x:v>0</x:v>
      </x:c>
      <x:c r="J448" s="1" t="n">
        <x:f>IF(AND(I448=1,F448&lt;Reporting!$B$4),1,0)</x:f>
        <x:v>0</x:v>
      </x:c>
      <x:c r="K448" s="1" t="n">
        <x:f>IF(F448&lt;Reporting!$B$4,1,0)</x:f>
        <x:v>1</x:v>
      </x:c>
      <x:c r="L448" s="1" t="n">
        <x:f>IF(AND(K448=1,G448&lt;&gt;"",G448&lt;=F448),1,0)</x:f>
        <x:v>1</x:v>
      </x:c>
      <x:c r="M448" s="1" t="n">
        <x:f>IF(AND(G448&lt;&gt;"",G448&lt;Reporting!$B$4),1,0)</x:f>
        <x:v>1</x:v>
      </x:c>
      <x:c r="N448" s="16" t="n">
        <x:f>IF(M448=1,G448-E448,"")</x:f>
        <x:v>2</x:v>
      </x:c>
      <x:c r="O448" s="1" t="str">
        <x:f>IF(E448&gt;=Reporting!$B$4,"Outside cutoff",IF(M448=1,"Closed",IF(J448=1,"Overdue","Open - within SLA")))</x:f>
        <x:v>Closed</x:v>
      </x:c>
    </x:row>
    <x:row r="449">
      <x:c r="A449" s="14" t="str">
        <x:v>CASE-00444</x:v>
      </x:c>
      <x:c r="B449" s="14" t="str">
        <x:v>Warehouse</x:v>
      </x:c>
      <x:c r="C449" s="14" t="str">
        <x:v>Late review</x:v>
      </x:c>
      <x:c r="D449" s="14" t="str">
        <x:v>Medium</x:v>
      </x:c>
      <x:c r="E449" s="15" t="n">
        <x:v>46245.583333333336</x:v>
      </x:c>
      <x:c r="F449" s="15" t="n">
        <x:v>46252.583333333336</x:v>
      </x:c>
      <x:c r="G449" s="15" t="n">
        <x:v>46261.583333333336</x:v>
      </x:c>
      <x:c r="H449" s="14" t="n">
        <x:v>2</x:v>
      </x:c>
      <x:c r="I449" s="1" t="n">
        <x:f>IF(AND(E449&lt;Reporting!$B$4,OR(G449="",G449&gt;=Reporting!$B$4)),1,0)</x:f>
        <x:v>0</x:v>
      </x:c>
      <x:c r="J449" s="1" t="n">
        <x:f>IF(AND(I449=1,F449&lt;Reporting!$B$4),1,0)</x:f>
        <x:v>0</x:v>
      </x:c>
      <x:c r="K449" s="1" t="n">
        <x:f>IF(F449&lt;Reporting!$B$4,1,0)</x:f>
        <x:v>1</x:v>
      </x:c>
      <x:c r="L449" s="1" t="n">
        <x:f>IF(AND(K449=1,G449&lt;&gt;"",G449&lt;=F449),1,0)</x:f>
        <x:v>0</x:v>
      </x:c>
      <x:c r="M449" s="1" t="n">
        <x:f>IF(AND(G449&lt;&gt;"",G449&lt;Reporting!$B$4),1,0)</x:f>
        <x:v>1</x:v>
      </x:c>
      <x:c r="N449" s="16" t="n">
        <x:f>IF(M449=1,G449-E449,"")</x:f>
        <x:v>16</x:v>
      </x:c>
      <x:c r="O449" s="1" t="str">
        <x:f>IF(E449&gt;=Reporting!$B$4,"Outside cutoff",IF(M449=1,"Closed",IF(J449=1,"Overdue","Open - within SLA")))</x:f>
        <x:v>Closed</x:v>
      </x:c>
    </x:row>
    <x:row r="450">
      <x:c r="A450" s="14" t="str">
        <x:v>CASE-00445</x:v>
      </x:c>
      <x:c r="B450" s="14" t="str">
        <x:v>Warehouse</x:v>
      </x:c>
      <x:c r="C450" s="14" t="str">
        <x:v>Process deviation</x:v>
      </x:c>
      <x:c r="D450" s="14" t="str">
        <x:v>Low</x:v>
      </x:c>
      <x:c r="E450" s="15" t="n">
        <x:v>46243.5</x:v>
      </x:c>
      <x:c r="F450" s="15" t="n">
        <x:v>46257.5</x:v>
      </x:c>
      <x:c r="G450" s="15" t="n">
        <x:v>46251.5</x:v>
      </x:c>
      <x:c r="H450" s="14" t="n">
        <x:v>2</x:v>
      </x:c>
      <x:c r="I450" s="1" t="n">
        <x:f>IF(AND(E450&lt;Reporting!$B$4,OR(G450="",G450&gt;=Reporting!$B$4)),1,0)</x:f>
        <x:v>0</x:v>
      </x:c>
      <x:c r="J450" s="1" t="n">
        <x:f>IF(AND(I450=1,F450&lt;Reporting!$B$4),1,0)</x:f>
        <x:v>0</x:v>
      </x:c>
      <x:c r="K450" s="1" t="n">
        <x:f>IF(F450&lt;Reporting!$B$4,1,0)</x:f>
        <x:v>1</x:v>
      </x:c>
      <x:c r="L450" s="1" t="n">
        <x:f>IF(AND(K450=1,G450&lt;&gt;"",G450&lt;=F450),1,0)</x:f>
        <x:v>1</x:v>
      </x:c>
      <x:c r="M450" s="1" t="n">
        <x:f>IF(AND(G450&lt;&gt;"",G450&lt;Reporting!$B$4),1,0)</x:f>
        <x:v>1</x:v>
      </x:c>
      <x:c r="N450" s="16" t="n">
        <x:f>IF(M450=1,G450-E450,"")</x:f>
        <x:v>8</x:v>
      </x:c>
      <x:c r="O450" s="1" t="str">
        <x:f>IF(E450&gt;=Reporting!$B$4,"Outside cutoff",IF(M450=1,"Closed",IF(J450=1,"Overdue","Open - within SLA")))</x:f>
        <x:v>Closed</x:v>
      </x:c>
    </x:row>
    <x:row r="451">
      <x:c r="A451" s="14" t="str">
        <x:v>CASE-00446</x:v>
      </x:c>
      <x:c r="B451" s="14" t="str">
        <x:v>Warehouse</x:v>
      </x:c>
      <x:c r="C451" s="14" t="str">
        <x:v>Missing evidence</x:v>
      </x:c>
      <x:c r="D451" s="14" t="str">
        <x:v>Medium</x:v>
      </x:c>
      <x:c r="E451" s="15" t="n">
        <x:v>46261.416666666664</x:v>
      </x:c>
      <x:c r="F451" s="15" t="n">
        <x:v>46268.416666666664</x:v>
      </x:c>
      <x:c r="G451" s="15"/>
      <x:c r="H451" s="14" t="n">
        <x:v>2</x:v>
      </x:c>
      <x:c r="I451" s="1" t="n">
        <x:f>IF(AND(E451&lt;Reporting!$B$4,OR(G451="",G451&gt;=Reporting!$B$4)),1,0)</x:f>
        <x:v>1</x:v>
      </x:c>
      <x:c r="J451" s="1" t="n">
        <x:f>IF(AND(I451=1,F451&lt;Reporting!$B$4),1,0)</x:f>
        <x:v>1</x:v>
      </x:c>
      <x:c r="K451" s="1" t="n">
        <x:f>IF(F451&lt;Reporting!$B$4,1,0)</x:f>
        <x:v>1</x:v>
      </x:c>
      <x:c r="L451" s="1" t="n">
        <x:f>IF(AND(K451=1,G451&lt;&gt;"",G451&lt;=F451),1,0)</x:f>
        <x:v>0</x:v>
      </x:c>
      <x:c r="M451" s="1" t="n">
        <x:f>IF(AND(G451&lt;&gt;"",G451&lt;Reporting!$B$4),1,0)</x:f>
        <x:v>0</x:v>
      </x:c>
      <x:c r="N451" s="16" t="str">
        <x:f>IF(M451=1,G451-E451,"")</x:f>
      </x:c>
      <x:c r="O451" s="1" t="str">
        <x:f>IF(E451&gt;=Reporting!$B$4,"Outside cutoff",IF(M451=1,"Closed",IF(J451=1,"Overdue","Open - within SLA")))</x:f>
        <x:v>Overdue</x:v>
      </x:c>
    </x:row>
    <x:row r="452">
      <x:c r="A452" s="14" t="str">
        <x:v>CASE-00447</x:v>
      </x:c>
      <x:c r="B452" s="14" t="str">
        <x:v>Warehouse</x:v>
      </x:c>
      <x:c r="C452" s="14" t="str">
        <x:v>Late review</x:v>
      </x:c>
      <x:c r="D452" s="14" t="str">
        <x:v>Low</x:v>
      </x:c>
      <x:c r="E452" s="15" t="n">
        <x:v>46274.666666666664</x:v>
      </x:c>
      <x:c r="F452" s="15" t="n">
        <x:v>46288.666666666664</x:v>
      </x:c>
      <x:c r="G452" s="15"/>
      <x:c r="H452" s="14" t="n">
        <x:v>2</x:v>
      </x:c>
      <x:c r="I452" s="1" t="n">
        <x:f>IF(AND(E452&lt;Reporting!$B$4,OR(G452="",G452&gt;=Reporting!$B$4)),1,0)</x:f>
        <x:v>1</x:v>
      </x:c>
      <x:c r="J452" s="1" t="n">
        <x:f>IF(AND(I452=1,F452&lt;Reporting!$B$4),1,0)</x:f>
        <x:v>0</x:v>
      </x:c>
      <x:c r="K452" s="1" t="n">
        <x:f>IF(F452&lt;Reporting!$B$4,1,0)</x:f>
        <x:v>0</x:v>
      </x:c>
      <x:c r="L452" s="1" t="n">
        <x:f>IF(AND(K452=1,G452&lt;&gt;"",G452&lt;=F452),1,0)</x:f>
        <x:v>0</x:v>
      </x:c>
      <x:c r="M452" s="1" t="n">
        <x:f>IF(AND(G452&lt;&gt;"",G452&lt;Reporting!$B$4),1,0)</x:f>
        <x:v>0</x:v>
      </x:c>
      <x:c r="N452" s="16" t="str">
        <x:f>IF(M452=1,G452-E452,"")</x:f>
      </x:c>
      <x:c r="O452" s="1" t="str">
        <x:f>IF(E452&gt;=Reporting!$B$4,"Outside cutoff",IF(M452=1,"Closed",IF(J452=1,"Overdue","Open - within SLA")))</x:f>
        <x:v>Open - within SLA</x:v>
      </x:c>
    </x:row>
    <x:row r="453">
      <x:c r="A453" s="14" t="str">
        <x:v>CASE-00448</x:v>
      </x:c>
      <x:c r="B453" s="14" t="str">
        <x:v>Customer Services</x:v>
      </x:c>
      <x:c r="C453" s="14" t="str">
        <x:v>Record mismatch</x:v>
      </x:c>
      <x:c r="D453" s="14" t="str">
        <x:v>Medium</x:v>
      </x:c>
      <x:c r="E453" s="15" t="n">
        <x:v>46202.458333333336</x:v>
      </x:c>
      <x:c r="F453" s="15" t="n">
        <x:v>46209.458333333336</x:v>
      </x:c>
      <x:c r="G453" s="15" t="n">
        <x:v>46218.541666666664</x:v>
      </x:c>
      <x:c r="H453" s="14" t="n">
        <x:v>1</x:v>
      </x:c>
      <x:c r="I453" s="1" t="n">
        <x:f>IF(AND(E453&lt;Reporting!$B$4,OR(G453="",G453&gt;=Reporting!$B$4)),1,0)</x:f>
        <x:v>0</x:v>
      </x:c>
      <x:c r="J453" s="1" t="n">
        <x:f>IF(AND(I453=1,F453&lt;Reporting!$B$4),1,0)</x:f>
        <x:v>0</x:v>
      </x:c>
      <x:c r="K453" s="1" t="n">
        <x:f>IF(F453&lt;Reporting!$B$4,1,0)</x:f>
        <x:v>1</x:v>
      </x:c>
      <x:c r="L453" s="1" t="n">
        <x:f>IF(AND(K453=1,G453&lt;&gt;"",G453&lt;=F453),1,0)</x:f>
        <x:v>0</x:v>
      </x:c>
      <x:c r="M453" s="1" t="n">
        <x:f>IF(AND(G453&lt;&gt;"",G453&lt;Reporting!$B$4),1,0)</x:f>
        <x:v>1</x:v>
      </x:c>
      <x:c r="N453" s="16" t="n">
        <x:f>IF(M453=1,G453-E453,"")</x:f>
        <x:v>16.083333333328483</x:v>
      </x:c>
      <x:c r="O453" s="1" t="str">
        <x:f>IF(E453&gt;=Reporting!$B$4,"Outside cutoff",IF(M453=1,"Closed",IF(J453=1,"Overdue","Open - within SLA")))</x:f>
        <x:v>Closed</x:v>
      </x:c>
    </x:row>
    <x:row r="454">
      <x:c r="A454" s="14" t="str">
        <x:v>CASE-00449</x:v>
      </x:c>
      <x:c r="B454" s="14" t="str">
        <x:v>Warehouse</x:v>
      </x:c>
      <x:c r="C454" s="14" t="str">
        <x:v>Record mismatch</x:v>
      </x:c>
      <x:c r="D454" s="14" t="str">
        <x:v>Low</x:v>
      </x:c>
      <x:c r="E454" s="15" t="n">
        <x:v>46284.666666666664</x:v>
      </x:c>
      <x:c r="F454" s="15" t="n">
        <x:v>46298.666666666664</x:v>
      </x:c>
      <x:c r="G454" s="15"/>
      <x:c r="H454" s="14" t="n">
        <x:v>2</x:v>
      </x:c>
      <x:c r="I454" s="1" t="n">
        <x:f>IF(AND(E454&lt;Reporting!$B$4,OR(G454="",G454&gt;=Reporting!$B$4)),1,0)</x:f>
        <x:v>1</x:v>
      </x:c>
      <x:c r="J454" s="1" t="n">
        <x:f>IF(AND(I454=1,F454&lt;Reporting!$B$4),1,0)</x:f>
        <x:v>0</x:v>
      </x:c>
      <x:c r="K454" s="1" t="n">
        <x:f>IF(F454&lt;Reporting!$B$4,1,0)</x:f>
        <x:v>0</x:v>
      </x:c>
      <x:c r="L454" s="1" t="n">
        <x:f>IF(AND(K454=1,G454&lt;&gt;"",G454&lt;=F454),1,0)</x:f>
        <x:v>0</x:v>
      </x:c>
      <x:c r="M454" s="1" t="n">
        <x:f>IF(AND(G454&lt;&gt;"",G454&lt;Reporting!$B$4),1,0)</x:f>
        <x:v>0</x:v>
      </x:c>
      <x:c r="N454" s="16" t="str">
        <x:f>IF(M454=1,G454-E454,"")</x:f>
      </x:c>
      <x:c r="O454" s="1" t="str">
        <x:f>IF(E454&gt;=Reporting!$B$4,"Outside cutoff",IF(M454=1,"Closed",IF(J454=1,"Overdue","Open - within SLA")))</x:f>
        <x:v>Open - within SLA</x:v>
      </x:c>
    </x:row>
    <x:row r="455">
      <x:c r="A455" s="14" t="str">
        <x:v>CASE-00450</x:v>
      </x:c>
      <x:c r="B455" s="14" t="str">
        <x:v>Customer Services</x:v>
      </x:c>
      <x:c r="C455" s="14" t="str">
        <x:v>Process deviation</x:v>
      </x:c>
      <x:c r="D455" s="14" t="str">
        <x:v>Medium</x:v>
      </x:c>
      <x:c r="E455" s="15" t="n">
        <x:v>46281.416666666664</x:v>
      </x:c>
      <x:c r="F455" s="15" t="n">
        <x:v>46288.416666666664</x:v>
      </x:c>
      <x:c r="G455" s="15" t="n">
        <x:v>46285.5</x:v>
      </x:c>
      <x:c r="H455" s="14" t="n">
        <x:v>1</x:v>
      </x:c>
      <x:c r="I455" s="1" t="n">
        <x:f>IF(AND(E455&lt;Reporting!$B$4,OR(G455="",G455&gt;=Reporting!$B$4)),1,0)</x:f>
        <x:v>0</x:v>
      </x:c>
      <x:c r="J455" s="1" t="n">
        <x:f>IF(AND(I455=1,F455&lt;Reporting!$B$4),1,0)</x:f>
        <x:v>0</x:v>
      </x:c>
      <x:c r="K455" s="1" t="n">
        <x:f>IF(F455&lt;Reporting!$B$4,1,0)</x:f>
        <x:v>0</x:v>
      </x:c>
      <x:c r="L455" s="1" t="n">
        <x:f>IF(AND(K455=1,G455&lt;&gt;"",G455&lt;=F455),1,0)</x:f>
        <x:v>0</x:v>
      </x:c>
      <x:c r="M455" s="1" t="n">
        <x:f>IF(AND(G455&lt;&gt;"",G455&lt;Reporting!$B$4),1,0)</x:f>
        <x:v>1</x:v>
      </x:c>
      <x:c r="N455" s="16" t="n">
        <x:f>IF(M455=1,G455-E455,"")</x:f>
        <x:v>4.083333333335759</x:v>
      </x:c>
      <x:c r="O455" s="1" t="str">
        <x:f>IF(E455&gt;=Reporting!$B$4,"Outside cutoff",IF(M455=1,"Closed",IF(J455=1,"Overdue","Open - within SLA")))</x:f>
        <x:v>Closed</x:v>
      </x:c>
    </x:row>
    <x:row r="456">
      <x:c r="A456" s="14" t="str">
        <x:v>CASE-00451</x:v>
      </x:c>
      <x:c r="B456" s="14" t="str">
        <x:v>Installation</x:v>
      </x:c>
      <x:c r="C456" s="14" t="str">
        <x:v>Record mismatch</x:v>
      </x:c>
      <x:c r="D456" s="14" t="str">
        <x:v>Medium</x:v>
      </x:c>
      <x:c r="E456" s="15" t="n">
        <x:v>46274.666666666664</x:v>
      </x:c>
      <x:c r="F456" s="15" t="n">
        <x:v>46281.666666666664</x:v>
      </x:c>
      <x:c r="G456" s="15"/>
      <x:c r="H456" s="14" t="n">
        <x:v>3</x:v>
      </x:c>
      <x:c r="I456" s="1" t="n">
        <x:f>IF(AND(E456&lt;Reporting!$B$4,OR(G456="",G456&gt;=Reporting!$B$4)),1,0)</x:f>
        <x:v>1</x:v>
      </x:c>
      <x:c r="J456" s="1" t="n">
        <x:f>IF(AND(I456=1,F456&lt;Reporting!$B$4),1,0)</x:f>
        <x:v>1</x:v>
      </x:c>
      <x:c r="K456" s="1" t="n">
        <x:f>IF(F456&lt;Reporting!$B$4,1,0)</x:f>
        <x:v>1</x:v>
      </x:c>
      <x:c r="L456" s="1" t="n">
        <x:f>IF(AND(K456=1,G456&lt;&gt;"",G456&lt;=F456),1,0)</x:f>
        <x:v>0</x:v>
      </x:c>
      <x:c r="M456" s="1" t="n">
        <x:f>IF(AND(G456&lt;&gt;"",G456&lt;Reporting!$B$4),1,0)</x:f>
        <x:v>0</x:v>
      </x:c>
      <x:c r="N456" s="16" t="str">
        <x:f>IF(M456=1,G456-E456,"")</x:f>
      </x:c>
      <x:c r="O456" s="1" t="str">
        <x:f>IF(E456&gt;=Reporting!$B$4,"Outside cutoff",IF(M456=1,"Closed",IF(J456=1,"Overdue","Open - within SLA")))</x:f>
        <x:v>Overdue</x:v>
      </x:c>
    </x:row>
    <x:row r="457">
      <x:c r="A457" s="14" t="str">
        <x:v>CASE-00452</x:v>
      </x:c>
      <x:c r="B457" s="14" t="str">
        <x:v>Installation</x:v>
      </x:c>
      <x:c r="C457" s="14" t="str">
        <x:v>Missing evidence</x:v>
      </x:c>
      <x:c r="D457" s="14" t="str">
        <x:v>High</x:v>
      </x:c>
      <x:c r="E457" s="15" t="n">
        <x:v>46254.416666666664</x:v>
      </x:c>
      <x:c r="F457" s="15" t="n">
        <x:v>46257.416666666664</x:v>
      </x:c>
      <x:c r="G457" s="15" t="n">
        <x:v>46257.416666666664</x:v>
      </x:c>
      <x:c r="H457" s="14" t="n">
        <x:v>3</x:v>
      </x:c>
      <x:c r="I457" s="1" t="n">
        <x:f>IF(AND(E457&lt;Reporting!$B$4,OR(G457="",G457&gt;=Reporting!$B$4)),1,0)</x:f>
        <x:v>0</x:v>
      </x:c>
      <x:c r="J457" s="1" t="n">
        <x:f>IF(AND(I457=1,F457&lt;Reporting!$B$4),1,0)</x:f>
        <x:v>0</x:v>
      </x:c>
      <x:c r="K457" s="1" t="n">
        <x:f>IF(F457&lt;Reporting!$B$4,1,0)</x:f>
        <x:v>1</x:v>
      </x:c>
      <x:c r="L457" s="1" t="n">
        <x:f>IF(AND(K457=1,G457&lt;&gt;"",G457&lt;=F457),1,0)</x:f>
        <x:v>1</x:v>
      </x:c>
      <x:c r="M457" s="1" t="n">
        <x:f>IF(AND(G457&lt;&gt;"",G457&lt;Reporting!$B$4),1,0)</x:f>
        <x:v>1</x:v>
      </x:c>
      <x:c r="N457" s="16" t="n">
        <x:f>IF(M457=1,G457-E457,"")</x:f>
        <x:v>3</x:v>
      </x:c>
      <x:c r="O457" s="1" t="str">
        <x:f>IF(E457&gt;=Reporting!$B$4,"Outside cutoff",IF(M457=1,"Closed",IF(J457=1,"Overdue","Open - within SLA")))</x:f>
        <x:v>Closed</x:v>
      </x:c>
    </x:row>
    <x:row r="458">
      <x:c r="A458" s="14" t="str">
        <x:v>CASE-00453</x:v>
      </x:c>
      <x:c r="B458" s="14" t="str">
        <x:v>Customer Services</x:v>
      </x:c>
      <x:c r="C458" s="14" t="str">
        <x:v>Missing evidence</x:v>
      </x:c>
      <x:c r="D458" s="14" t="str">
        <x:v>Medium</x:v>
      </x:c>
      <x:c r="E458" s="15" t="n">
        <x:v>46277.541666666664</x:v>
      </x:c>
      <x:c r="F458" s="15" t="n">
        <x:v>46284.541666666664</x:v>
      </x:c>
      <x:c r="G458" s="15"/>
      <x:c r="H458" s="14" t="n">
        <x:v>1</x:v>
      </x:c>
      <x:c r="I458" s="1" t="n">
        <x:f>IF(AND(E458&lt;Reporting!$B$4,OR(G458="",G458&gt;=Reporting!$B$4)),1,0)</x:f>
        <x:v>1</x:v>
      </x:c>
      <x:c r="J458" s="1" t="n">
        <x:f>IF(AND(I458=1,F458&lt;Reporting!$B$4),1,0)</x:f>
        <x:v>1</x:v>
      </x:c>
      <x:c r="K458" s="1" t="n">
        <x:f>IF(F458&lt;Reporting!$B$4,1,0)</x:f>
        <x:v>1</x:v>
      </x:c>
      <x:c r="L458" s="1" t="n">
        <x:f>IF(AND(K458=1,G458&lt;&gt;"",G458&lt;=F458),1,0)</x:f>
        <x:v>0</x:v>
      </x:c>
      <x:c r="M458" s="1" t="n">
        <x:f>IF(AND(G458&lt;&gt;"",G458&lt;Reporting!$B$4),1,0)</x:f>
        <x:v>0</x:v>
      </x:c>
      <x:c r="N458" s="16" t="str">
        <x:f>IF(M458=1,G458-E458,"")</x:f>
      </x:c>
      <x:c r="O458" s="1" t="str">
        <x:f>IF(E458&gt;=Reporting!$B$4,"Outside cutoff",IF(M458=1,"Closed",IF(J458=1,"Overdue","Open - within SLA")))</x:f>
        <x:v>Overdue</x:v>
      </x:c>
    </x:row>
    <x:row r="459">
      <x:c r="A459" s="14" t="str">
        <x:v>CASE-00454</x:v>
      </x:c>
      <x:c r="B459" s="14" t="str">
        <x:v>Customer Services</x:v>
      </x:c>
      <x:c r="C459" s="14" t="str">
        <x:v>Late review</x:v>
      </x:c>
      <x:c r="D459" s="14" t="str">
        <x:v>Medium</x:v>
      </x:c>
      <x:c r="E459" s="15" t="n">
        <x:v>46262.333333333336</x:v>
      </x:c>
      <x:c r="F459" s="15" t="n">
        <x:v>46269.333333333336</x:v>
      </x:c>
      <x:c r="G459" s="15" t="n">
        <x:v>46274.416666666664</x:v>
      </x:c>
      <x:c r="H459" s="14" t="n">
        <x:v>1</x:v>
      </x:c>
      <x:c r="I459" s="1" t="n">
        <x:f>IF(AND(E459&lt;Reporting!$B$4,OR(G459="",G459&gt;=Reporting!$B$4)),1,0)</x:f>
        <x:v>0</x:v>
      </x:c>
      <x:c r="J459" s="1" t="n">
        <x:f>IF(AND(I459=1,F459&lt;Reporting!$B$4),1,0)</x:f>
        <x:v>0</x:v>
      </x:c>
      <x:c r="K459" s="1" t="n">
        <x:f>IF(F459&lt;Reporting!$B$4,1,0)</x:f>
        <x:v>1</x:v>
      </x:c>
      <x:c r="L459" s="1" t="n">
        <x:f>IF(AND(K459=1,G459&lt;&gt;"",G459&lt;=F459),1,0)</x:f>
        <x:v>0</x:v>
      </x:c>
      <x:c r="M459" s="1" t="n">
        <x:f>IF(AND(G459&lt;&gt;"",G459&lt;Reporting!$B$4),1,0)</x:f>
        <x:v>1</x:v>
      </x:c>
      <x:c r="N459" s="16" t="n">
        <x:f>IF(M459=1,G459-E459,"")</x:f>
        <x:v>12.083333333328483</x:v>
      </x:c>
      <x:c r="O459" s="1" t="str">
        <x:f>IF(E459&gt;=Reporting!$B$4,"Outside cutoff",IF(M459=1,"Closed",IF(J459=1,"Overdue","Open - within SLA")))</x:f>
        <x:v>Closed</x:v>
      </x:c>
    </x:row>
    <x:row r="460">
      <x:c r="A460" s="14" t="str">
        <x:v>CASE-00455</x:v>
      </x:c>
      <x:c r="B460" s="14" t="str">
        <x:v>Customer Services</x:v>
      </x:c>
      <x:c r="C460" s="14" t="str">
        <x:v>Missing evidence</x:v>
      </x:c>
      <x:c r="D460" s="14" t="str">
        <x:v>Low</x:v>
      </x:c>
      <x:c r="E460" s="15" t="n">
        <x:v>46266.416666666664</x:v>
      </x:c>
      <x:c r="F460" s="15" t="n">
        <x:v>46280.416666666664</x:v>
      </x:c>
      <x:c r="G460" s="15" t="n">
        <x:v>46277.458333333336</x:v>
      </x:c>
      <x:c r="H460" s="14" t="n">
        <x:v>1</x:v>
      </x:c>
      <x:c r="I460" s="1" t="n">
        <x:f>IF(AND(E460&lt;Reporting!$B$4,OR(G460="",G460&gt;=Reporting!$B$4)),1,0)</x:f>
        <x:v>0</x:v>
      </x:c>
      <x:c r="J460" s="1" t="n">
        <x:f>IF(AND(I460=1,F460&lt;Reporting!$B$4),1,0)</x:f>
        <x:v>0</x:v>
      </x:c>
      <x:c r="K460" s="1" t="n">
        <x:f>IF(F460&lt;Reporting!$B$4,1,0)</x:f>
        <x:v>1</x:v>
      </x:c>
      <x:c r="L460" s="1" t="n">
        <x:f>IF(AND(K460=1,G460&lt;&gt;"",G460&lt;=F460),1,0)</x:f>
        <x:v>1</x:v>
      </x:c>
      <x:c r="M460" s="1" t="n">
        <x:f>IF(AND(G460&lt;&gt;"",G460&lt;Reporting!$B$4),1,0)</x:f>
        <x:v>1</x:v>
      </x:c>
      <x:c r="N460" s="16" t="n">
        <x:f>IF(M460=1,G460-E460,"")</x:f>
        <x:v>11.041666666671517</x:v>
      </x:c>
      <x:c r="O460" s="1" t="str">
        <x:f>IF(E460&gt;=Reporting!$B$4,"Outside cutoff",IF(M460=1,"Closed",IF(J460=1,"Overdue","Open - within SLA")))</x:f>
        <x:v>Closed</x:v>
      </x:c>
    </x:row>
    <x:row r="461">
      <x:c r="A461" s="14" t="str">
        <x:v>CASE-00456</x:v>
      </x:c>
      <x:c r="B461" s="14" t="str">
        <x:v>Installation</x:v>
      </x:c>
      <x:c r="C461" s="14" t="str">
        <x:v>Missing evidence</x:v>
      </x:c>
      <x:c r="D461" s="14" t="str">
        <x:v>High</x:v>
      </x:c>
      <x:c r="E461" s="15" t="n">
        <x:v>46249.375</x:v>
      </x:c>
      <x:c r="F461" s="15" t="n">
        <x:v>46252.375</x:v>
      </x:c>
      <x:c r="G461" s="15" t="n">
        <x:v>46254.458333333336</x:v>
      </x:c>
      <x:c r="H461" s="14" t="n">
        <x:v>3</x:v>
      </x:c>
      <x:c r="I461" s="1" t="n">
        <x:f>IF(AND(E461&lt;Reporting!$B$4,OR(G461="",G461&gt;=Reporting!$B$4)),1,0)</x:f>
        <x:v>0</x:v>
      </x:c>
      <x:c r="J461" s="1" t="n">
        <x:f>IF(AND(I461=1,F461&lt;Reporting!$B$4),1,0)</x:f>
        <x:v>0</x:v>
      </x:c>
      <x:c r="K461" s="1" t="n">
        <x:f>IF(F461&lt;Reporting!$B$4,1,0)</x:f>
        <x:v>1</x:v>
      </x:c>
      <x:c r="L461" s="1" t="n">
        <x:f>IF(AND(K461=1,G461&lt;&gt;"",G461&lt;=F461),1,0)</x:f>
        <x:v>0</x:v>
      </x:c>
      <x:c r="M461" s="1" t="n">
        <x:f>IF(AND(G461&lt;&gt;"",G461&lt;Reporting!$B$4),1,0)</x:f>
        <x:v>1</x:v>
      </x:c>
      <x:c r="N461" s="16" t="n">
        <x:f>IF(M461=1,G461-E461,"")</x:f>
        <x:v>5.083333333335759</x:v>
      </x:c>
      <x:c r="O461" s="1" t="str">
        <x:f>IF(E461&gt;=Reporting!$B$4,"Outside cutoff",IF(M461=1,"Closed",IF(J461=1,"Overdue","Open - within SLA")))</x:f>
        <x:v>Closed</x:v>
      </x:c>
    </x:row>
    <x:row r="462">
      <x:c r="A462" s="14" t="str">
        <x:v>CASE-00457</x:v>
      </x:c>
      <x:c r="B462" s="14" t="str">
        <x:v>Installation</x:v>
      </x:c>
      <x:c r="C462" s="14" t="str">
        <x:v>Record mismatch</x:v>
      </x:c>
      <x:c r="D462" s="14" t="str">
        <x:v>Medium</x:v>
      </x:c>
      <x:c r="E462" s="15" t="n">
        <x:v>46255.583333333336</x:v>
      </x:c>
      <x:c r="F462" s="15" t="n">
        <x:v>46262.583333333336</x:v>
      </x:c>
      <x:c r="G462" s="15" t="n">
        <x:v>46273.583333333336</x:v>
      </x:c>
      <x:c r="H462" s="14" t="n">
        <x:v>3</x:v>
      </x:c>
      <x:c r="I462" s="1" t="n">
        <x:f>IF(AND(E462&lt;Reporting!$B$4,OR(G462="",G462&gt;=Reporting!$B$4)),1,0)</x:f>
        <x:v>0</x:v>
      </x:c>
      <x:c r="J462" s="1" t="n">
        <x:f>IF(AND(I462=1,F462&lt;Reporting!$B$4),1,0)</x:f>
        <x:v>0</x:v>
      </x:c>
      <x:c r="K462" s="1" t="n">
        <x:f>IF(F462&lt;Reporting!$B$4,1,0)</x:f>
        <x:v>1</x:v>
      </x:c>
      <x:c r="L462" s="1" t="n">
        <x:f>IF(AND(K462=1,G462&lt;&gt;"",G462&lt;=F462),1,0)</x:f>
        <x:v>0</x:v>
      </x:c>
      <x:c r="M462" s="1" t="n">
        <x:f>IF(AND(G462&lt;&gt;"",G462&lt;Reporting!$B$4),1,0)</x:f>
        <x:v>1</x:v>
      </x:c>
      <x:c r="N462" s="16" t="n">
        <x:f>IF(M462=1,G462-E462,"")</x:f>
        <x:v>18</x:v>
      </x:c>
      <x:c r="O462" s="1" t="str">
        <x:f>IF(E462&gt;=Reporting!$B$4,"Outside cutoff",IF(M462=1,"Closed",IF(J462=1,"Overdue","Open - within SLA")))</x:f>
        <x:v>Closed</x:v>
      </x:c>
    </x:row>
    <x:row r="463">
      <x:c r="A463" s="14" t="str">
        <x:v>CASE-00458</x:v>
      </x:c>
      <x:c r="B463" s="14" t="str">
        <x:v>Warehouse</x:v>
      </x:c>
      <x:c r="C463" s="14" t="str">
        <x:v>Record mismatch</x:v>
      </x:c>
      <x:c r="D463" s="14" t="str">
        <x:v>Medium</x:v>
      </x:c>
      <x:c r="E463" s="15" t="n">
        <x:v>46252.375</x:v>
      </x:c>
      <x:c r="F463" s="15" t="n">
        <x:v>46259.375</x:v>
      </x:c>
      <x:c r="G463" s="15" t="n">
        <x:v>46270.416666666664</x:v>
      </x:c>
      <x:c r="H463" s="14" t="n">
        <x:v>2</x:v>
      </x:c>
      <x:c r="I463" s="1" t="n">
        <x:f>IF(AND(E463&lt;Reporting!$B$4,OR(G463="",G463&gt;=Reporting!$B$4)),1,0)</x:f>
        <x:v>0</x:v>
      </x:c>
      <x:c r="J463" s="1" t="n">
        <x:f>IF(AND(I463=1,F463&lt;Reporting!$B$4),1,0)</x:f>
        <x:v>0</x:v>
      </x:c>
      <x:c r="K463" s="1" t="n">
        <x:f>IF(F463&lt;Reporting!$B$4,1,0)</x:f>
        <x:v>1</x:v>
      </x:c>
      <x:c r="L463" s="1" t="n">
        <x:f>IF(AND(K463=1,G463&lt;&gt;"",G463&lt;=F463),1,0)</x:f>
        <x:v>0</x:v>
      </x:c>
      <x:c r="M463" s="1" t="n">
        <x:f>IF(AND(G463&lt;&gt;"",G463&lt;Reporting!$B$4),1,0)</x:f>
        <x:v>1</x:v>
      </x:c>
      <x:c r="N463" s="16" t="n">
        <x:f>IF(M463=1,G463-E463,"")</x:f>
        <x:v>18.04166666666424</x:v>
      </x:c>
      <x:c r="O463" s="1" t="str">
        <x:f>IF(E463&gt;=Reporting!$B$4,"Outside cutoff",IF(M463=1,"Closed",IF(J463=1,"Overdue","Open - within SLA")))</x:f>
        <x:v>Closed</x:v>
      </x:c>
    </x:row>
    <x:row r="464">
      <x:c r="A464" s="14" t="str">
        <x:v>CASE-00459</x:v>
      </x:c>
      <x:c r="B464" s="14" t="str">
        <x:v>Installation</x:v>
      </x:c>
      <x:c r="C464" s="14" t="str">
        <x:v>Process deviation</x:v>
      </x:c>
      <x:c r="D464" s="14" t="str">
        <x:v>Medium</x:v>
      </x:c>
      <x:c r="E464" s="15" t="n">
        <x:v>46227.458333333336</x:v>
      </x:c>
      <x:c r="F464" s="15" t="n">
        <x:v>46234.458333333336</x:v>
      </x:c>
      <x:c r="G464" s="15"/>
      <x:c r="H464" s="14" t="n">
        <x:v>3</x:v>
      </x:c>
      <x:c r="I464" s="1" t="n">
        <x:f>IF(AND(E464&lt;Reporting!$B$4,OR(G464="",G464&gt;=Reporting!$B$4)),1,0)</x:f>
        <x:v>1</x:v>
      </x:c>
      <x:c r="J464" s="1" t="n">
        <x:f>IF(AND(I464=1,F464&lt;Reporting!$B$4),1,0)</x:f>
        <x:v>1</x:v>
      </x:c>
      <x:c r="K464" s="1" t="n">
        <x:f>IF(F464&lt;Reporting!$B$4,1,0)</x:f>
        <x:v>1</x:v>
      </x:c>
      <x:c r="L464" s="1" t="n">
        <x:f>IF(AND(K464=1,G464&lt;&gt;"",G464&lt;=F464),1,0)</x:f>
        <x:v>0</x:v>
      </x:c>
      <x:c r="M464" s="1" t="n">
        <x:f>IF(AND(G464&lt;&gt;"",G464&lt;Reporting!$B$4),1,0)</x:f>
        <x:v>0</x:v>
      </x:c>
      <x:c r="N464" s="16" t="str">
        <x:f>IF(M464=1,G464-E464,"")</x:f>
      </x:c>
      <x:c r="O464" s="1" t="str">
        <x:f>IF(E464&gt;=Reporting!$B$4,"Outside cutoff",IF(M464=1,"Closed",IF(J464=1,"Overdue","Open - within SLA")))</x:f>
        <x:v>Overdue</x:v>
      </x:c>
    </x:row>
    <x:row r="465">
      <x:c r="A465" s="14" t="str">
        <x:v>CASE-00460</x:v>
      </x:c>
      <x:c r="B465" s="14" t="str">
        <x:v>Customer Services</x:v>
      </x:c>
      <x:c r="C465" s="14" t="str">
        <x:v>Record mismatch</x:v>
      </x:c>
      <x:c r="D465" s="14" t="str">
        <x:v>Low</x:v>
      </x:c>
      <x:c r="E465" s="15" t="n">
        <x:v>46276.583333333336</x:v>
      </x:c>
      <x:c r="F465" s="15" t="n">
        <x:v>46290.583333333336</x:v>
      </x:c>
      <x:c r="G465" s="15"/>
      <x:c r="H465" s="14" t="n">
        <x:v>1</x:v>
      </x:c>
      <x:c r="I465" s="1" t="n">
        <x:f>IF(AND(E465&lt;Reporting!$B$4,OR(G465="",G465&gt;=Reporting!$B$4)),1,0)</x:f>
        <x:v>1</x:v>
      </x:c>
      <x:c r="J465" s="1" t="n">
        <x:f>IF(AND(I465=1,F465&lt;Reporting!$B$4),1,0)</x:f>
        <x:v>0</x:v>
      </x:c>
      <x:c r="K465" s="1" t="n">
        <x:f>IF(F465&lt;Reporting!$B$4,1,0)</x:f>
        <x:v>0</x:v>
      </x:c>
      <x:c r="L465" s="1" t="n">
        <x:f>IF(AND(K465=1,G465&lt;&gt;"",G465&lt;=F465),1,0)</x:f>
        <x:v>0</x:v>
      </x:c>
      <x:c r="M465" s="1" t="n">
        <x:f>IF(AND(G465&lt;&gt;"",G465&lt;Reporting!$B$4),1,0)</x:f>
        <x:v>0</x:v>
      </x:c>
      <x:c r="N465" s="16" t="str">
        <x:f>IF(M465=1,G465-E465,"")</x:f>
      </x:c>
      <x:c r="O465" s="1" t="str">
        <x:f>IF(E465&gt;=Reporting!$B$4,"Outside cutoff",IF(M465=1,"Closed",IF(J465=1,"Overdue","Open - within SLA")))</x:f>
        <x:v>Open - within SLA</x:v>
      </x:c>
    </x:row>
    <x:row r="466">
      <x:c r="A466" s="14" t="str">
        <x:v>CASE-00461</x:v>
      </x:c>
      <x:c r="B466" s="14" t="str">
        <x:v>Installation</x:v>
      </x:c>
      <x:c r="C466" s="14" t="str">
        <x:v>Process deviation</x:v>
      </x:c>
      <x:c r="D466" s="14" t="str">
        <x:v>Low</x:v>
      </x:c>
      <x:c r="E466" s="15" t="n">
        <x:v>46254.5</x:v>
      </x:c>
      <x:c r="F466" s="15" t="n">
        <x:v>46268.5</x:v>
      </x:c>
      <x:c r="G466" s="15"/>
      <x:c r="H466" s="14" t="n">
        <x:v>3</x:v>
      </x:c>
      <x:c r="I466" s="1" t="n">
        <x:f>IF(AND(E466&lt;Reporting!$B$4,OR(G466="",G466&gt;=Reporting!$B$4)),1,0)</x:f>
        <x:v>1</x:v>
      </x:c>
      <x:c r="J466" s="1" t="n">
        <x:f>IF(AND(I466=1,F466&lt;Reporting!$B$4),1,0)</x:f>
        <x:v>1</x:v>
      </x:c>
      <x:c r="K466" s="1" t="n">
        <x:f>IF(F466&lt;Reporting!$B$4,1,0)</x:f>
        <x:v>1</x:v>
      </x:c>
      <x:c r="L466" s="1" t="n">
        <x:f>IF(AND(K466=1,G466&lt;&gt;"",G466&lt;=F466),1,0)</x:f>
        <x:v>0</x:v>
      </x:c>
      <x:c r="M466" s="1" t="n">
        <x:f>IF(AND(G466&lt;&gt;"",G466&lt;Reporting!$B$4),1,0)</x:f>
        <x:v>0</x:v>
      </x:c>
      <x:c r="N466" s="16" t="str">
        <x:f>IF(M466=1,G466-E466,"")</x:f>
      </x:c>
      <x:c r="O466" s="1" t="str">
        <x:f>IF(E466&gt;=Reporting!$B$4,"Outside cutoff",IF(M466=1,"Closed",IF(J466=1,"Overdue","Open - within SLA")))</x:f>
        <x:v>Overdue</x:v>
      </x:c>
    </x:row>
    <x:row r="467">
      <x:c r="A467" s="14" t="str">
        <x:v>CASE-00462</x:v>
      </x:c>
      <x:c r="B467" s="14" t="str">
        <x:v>Installation</x:v>
      </x:c>
      <x:c r="C467" s="14" t="str">
        <x:v>Process deviation</x:v>
      </x:c>
      <x:c r="D467" s="14" t="str">
        <x:v>Medium</x:v>
      </x:c>
      <x:c r="E467" s="15" t="n">
        <x:v>46279.5</x:v>
      </x:c>
      <x:c r="F467" s="15" t="n">
        <x:v>46286.5</x:v>
      </x:c>
      <x:c r="G467" s="15"/>
      <x:c r="H467" s="14" t="n">
        <x:v>3</x:v>
      </x:c>
      <x:c r="I467" s="1" t="n">
        <x:f>IF(AND(E467&lt;Reporting!$B$4,OR(G467="",G467&gt;=Reporting!$B$4)),1,0)</x:f>
        <x:v>1</x:v>
      </x:c>
      <x:c r="J467" s="1" t="n">
        <x:f>IF(AND(I467=1,F467&lt;Reporting!$B$4),1,0)</x:f>
        <x:v>0</x:v>
      </x:c>
      <x:c r="K467" s="1" t="n">
        <x:f>IF(F467&lt;Reporting!$B$4,1,0)</x:f>
        <x:v>0</x:v>
      </x:c>
      <x:c r="L467" s="1" t="n">
        <x:f>IF(AND(K467=1,G467&lt;&gt;"",G467&lt;=F467),1,0)</x:f>
        <x:v>0</x:v>
      </x:c>
      <x:c r="M467" s="1" t="n">
        <x:f>IF(AND(G467&lt;&gt;"",G467&lt;Reporting!$B$4),1,0)</x:f>
        <x:v>0</x:v>
      </x:c>
      <x:c r="N467" s="16" t="str">
        <x:f>IF(M467=1,G467-E467,"")</x:f>
      </x:c>
      <x:c r="O467" s="1" t="str">
        <x:f>IF(E467&gt;=Reporting!$B$4,"Outside cutoff",IF(M467=1,"Closed",IF(J467=1,"Overdue","Open - within SLA")))</x:f>
        <x:v>Open - within SLA</x:v>
      </x:c>
    </x:row>
    <x:row r="468">
      <x:c r="A468" s="14" t="str">
        <x:v>CASE-00463</x:v>
      </x:c>
      <x:c r="B468" s="14" t="str">
        <x:v>Customer Services</x:v>
      </x:c>
      <x:c r="C468" s="14" t="str">
        <x:v>Missing evidence</x:v>
      </x:c>
      <x:c r="D468" s="14" t="str">
        <x:v>High</x:v>
      </x:c>
      <x:c r="E468" s="15" t="n">
        <x:v>46231.666666666664</x:v>
      </x:c>
      <x:c r="F468" s="15" t="n">
        <x:v>46234.666666666664</x:v>
      </x:c>
      <x:c r="G468" s="15" t="n">
        <x:v>46243.708333333336</x:v>
      </x:c>
      <x:c r="H468" s="14" t="n">
        <x:v>1</x:v>
      </x:c>
      <x:c r="I468" s="1" t="n">
        <x:f>IF(AND(E468&lt;Reporting!$B$4,OR(G468="",G468&gt;=Reporting!$B$4)),1,0)</x:f>
        <x:v>0</x:v>
      </x:c>
      <x:c r="J468" s="1" t="n">
        <x:f>IF(AND(I468=1,F468&lt;Reporting!$B$4),1,0)</x:f>
        <x:v>0</x:v>
      </x:c>
      <x:c r="K468" s="1" t="n">
        <x:f>IF(F468&lt;Reporting!$B$4,1,0)</x:f>
        <x:v>1</x:v>
      </x:c>
      <x:c r="L468" s="1" t="n">
        <x:f>IF(AND(K468=1,G468&lt;&gt;"",G468&lt;=F468),1,0)</x:f>
        <x:v>0</x:v>
      </x:c>
      <x:c r="M468" s="1" t="n">
        <x:f>IF(AND(G468&lt;&gt;"",G468&lt;Reporting!$B$4),1,0)</x:f>
        <x:v>1</x:v>
      </x:c>
      <x:c r="N468" s="16" t="n">
        <x:f>IF(M468=1,G468-E468,"")</x:f>
        <x:v>12.041666666671517</x:v>
      </x:c>
      <x:c r="O468" s="1" t="str">
        <x:f>IF(E468&gt;=Reporting!$B$4,"Outside cutoff",IF(M468=1,"Closed",IF(J468=1,"Overdue","Open - within SLA")))</x:f>
        <x:v>Closed</x:v>
      </x:c>
    </x:row>
    <x:row r="469">
      <x:c r="A469" s="14" t="str">
        <x:v>CASE-00464</x:v>
      </x:c>
      <x:c r="B469" s="14" t="str">
        <x:v>Installation</x:v>
      </x:c>
      <x:c r="C469" s="14" t="str">
        <x:v>Missing evidence</x:v>
      </x:c>
      <x:c r="D469" s="14" t="str">
        <x:v>Low</x:v>
      </x:c>
      <x:c r="E469" s="15" t="n">
        <x:v>46276.458333333336</x:v>
      </x:c>
      <x:c r="F469" s="15" t="n">
        <x:v>46290.458333333336</x:v>
      </x:c>
      <x:c r="G469" s="15" t="n">
        <x:v>46279.5</x:v>
      </x:c>
      <x:c r="H469" s="14" t="n">
        <x:v>3</x:v>
      </x:c>
      <x:c r="I469" s="1" t="n">
        <x:f>IF(AND(E469&lt;Reporting!$B$4,OR(G469="",G469&gt;=Reporting!$B$4)),1,0)</x:f>
        <x:v>0</x:v>
      </x:c>
      <x:c r="J469" s="1" t="n">
        <x:f>IF(AND(I469=1,F469&lt;Reporting!$B$4),1,0)</x:f>
        <x:v>0</x:v>
      </x:c>
      <x:c r="K469" s="1" t="n">
        <x:f>IF(F469&lt;Reporting!$B$4,1,0)</x:f>
        <x:v>0</x:v>
      </x:c>
      <x:c r="L469" s="1" t="n">
        <x:f>IF(AND(K469=1,G469&lt;&gt;"",G469&lt;=F469),1,0)</x:f>
        <x:v>0</x:v>
      </x:c>
      <x:c r="M469" s="1" t="n">
        <x:f>IF(AND(G469&lt;&gt;"",G469&lt;Reporting!$B$4),1,0)</x:f>
        <x:v>1</x:v>
      </x:c>
      <x:c r="N469" s="16" t="n">
        <x:f>IF(M469=1,G469-E469,"")</x:f>
        <x:v>3.0416666666642413</x:v>
      </x:c>
      <x:c r="O469" s="1" t="str">
        <x:f>IF(E469&gt;=Reporting!$B$4,"Outside cutoff",IF(M469=1,"Closed",IF(J469=1,"Overdue","Open - within SLA")))</x:f>
        <x:v>Closed</x:v>
      </x:c>
    </x:row>
    <x:row r="470">
      <x:c r="A470" s="14" t="str">
        <x:v>CASE-00465</x:v>
      </x:c>
      <x:c r="B470" s="14" t="str">
        <x:v>Warehouse</x:v>
      </x:c>
      <x:c r="C470" s="14" t="str">
        <x:v>Process deviation</x:v>
      </x:c>
      <x:c r="D470" s="14" t="str">
        <x:v>Medium</x:v>
      </x:c>
      <x:c r="E470" s="15" t="n">
        <x:v>46218.333333333336</x:v>
      </x:c>
      <x:c r="F470" s="15" t="n">
        <x:v>46225.333333333336</x:v>
      </x:c>
      <x:c r="G470" s="15" t="n">
        <x:v>46234.375</x:v>
      </x:c>
      <x:c r="H470" s="14" t="n">
        <x:v>2</x:v>
      </x:c>
      <x:c r="I470" s="1" t="n">
        <x:f>IF(AND(E470&lt;Reporting!$B$4,OR(G470="",G470&gt;=Reporting!$B$4)),1,0)</x:f>
        <x:v>0</x:v>
      </x:c>
      <x:c r="J470" s="1" t="n">
        <x:f>IF(AND(I470=1,F470&lt;Reporting!$B$4),1,0)</x:f>
        <x:v>0</x:v>
      </x:c>
      <x:c r="K470" s="1" t="n">
        <x:f>IF(F470&lt;Reporting!$B$4,1,0)</x:f>
        <x:v>1</x:v>
      </x:c>
      <x:c r="L470" s="1" t="n">
        <x:f>IF(AND(K470=1,G470&lt;&gt;"",G470&lt;=F470),1,0)</x:f>
        <x:v>0</x:v>
      </x:c>
      <x:c r="M470" s="1" t="n">
        <x:f>IF(AND(G470&lt;&gt;"",G470&lt;Reporting!$B$4),1,0)</x:f>
        <x:v>1</x:v>
      </x:c>
      <x:c r="N470" s="16" t="n">
        <x:f>IF(M470=1,G470-E470,"")</x:f>
        <x:v>16.04166666666424</x:v>
      </x:c>
      <x:c r="O470" s="1" t="str">
        <x:f>IF(E470&gt;=Reporting!$B$4,"Outside cutoff",IF(M470=1,"Closed",IF(J470=1,"Overdue","Open - within SLA")))</x:f>
        <x:v>Closed</x:v>
      </x:c>
    </x:row>
    <x:row r="471">
      <x:c r="A471" s="14" t="str">
        <x:v>CASE-00466</x:v>
      </x:c>
      <x:c r="B471" s="14" t="str">
        <x:v>Installation</x:v>
      </x:c>
      <x:c r="C471" s="14" t="str">
        <x:v>Process deviation</x:v>
      </x:c>
      <x:c r="D471" s="14" t="str">
        <x:v>High</x:v>
      </x:c>
      <x:c r="E471" s="15" t="n">
        <x:v>46248.458333333336</x:v>
      </x:c>
      <x:c r="F471" s="15" t="n">
        <x:v>46251.458333333336</x:v>
      </x:c>
      <x:c r="G471" s="15" t="n">
        <x:v>46253.458333333336</x:v>
      </x:c>
      <x:c r="H471" s="14" t="n">
        <x:v>3</x:v>
      </x:c>
      <x:c r="I471" s="1" t="n">
        <x:f>IF(AND(E471&lt;Reporting!$B$4,OR(G471="",G471&gt;=Reporting!$B$4)),1,0)</x:f>
        <x:v>0</x:v>
      </x:c>
      <x:c r="J471" s="1" t="n">
        <x:f>IF(AND(I471=1,F471&lt;Reporting!$B$4),1,0)</x:f>
        <x:v>0</x:v>
      </x:c>
      <x:c r="K471" s="1" t="n">
        <x:f>IF(F471&lt;Reporting!$B$4,1,0)</x:f>
        <x:v>1</x:v>
      </x:c>
      <x:c r="L471" s="1" t="n">
        <x:f>IF(AND(K471=1,G471&lt;&gt;"",G471&lt;=F471),1,0)</x:f>
        <x:v>0</x:v>
      </x:c>
      <x:c r="M471" s="1" t="n">
        <x:f>IF(AND(G471&lt;&gt;"",G471&lt;Reporting!$B$4),1,0)</x:f>
        <x:v>1</x:v>
      </x:c>
      <x:c r="N471" s="16" t="n">
        <x:f>IF(M471=1,G471-E471,"")</x:f>
        <x:v>5</x:v>
      </x:c>
      <x:c r="O471" s="1" t="str">
        <x:f>IF(E471&gt;=Reporting!$B$4,"Outside cutoff",IF(M471=1,"Closed",IF(J471=1,"Overdue","Open - within SLA")))</x:f>
        <x:v>Closed</x:v>
      </x:c>
    </x:row>
    <x:row r="472">
      <x:c r="A472" s="14" t="str">
        <x:v>CASE-00467</x:v>
      </x:c>
      <x:c r="B472" s="14" t="str">
        <x:v>Warehouse</x:v>
      </x:c>
      <x:c r="C472" s="14" t="str">
        <x:v>Record mismatch</x:v>
      </x:c>
      <x:c r="D472" s="14" t="str">
        <x:v>Low</x:v>
      </x:c>
      <x:c r="E472" s="15" t="n">
        <x:v>46260.458333333336</x:v>
      </x:c>
      <x:c r="F472" s="15" t="n">
        <x:v>46274.458333333336</x:v>
      </x:c>
      <x:c r="G472" s="15" t="n">
        <x:v>46281.458333333336</x:v>
      </x:c>
      <x:c r="H472" s="14" t="n">
        <x:v>2</x:v>
      </x:c>
      <x:c r="I472" s="1" t="n">
        <x:f>IF(AND(E472&lt;Reporting!$B$4,OR(G472="",G472&gt;=Reporting!$B$4)),1,0)</x:f>
        <x:v>0</x:v>
      </x:c>
      <x:c r="J472" s="1" t="n">
        <x:f>IF(AND(I472=1,F472&lt;Reporting!$B$4),1,0)</x:f>
        <x:v>0</x:v>
      </x:c>
      <x:c r="K472" s="1" t="n">
        <x:f>IF(F472&lt;Reporting!$B$4,1,0)</x:f>
        <x:v>1</x:v>
      </x:c>
      <x:c r="L472" s="1" t="n">
        <x:f>IF(AND(K472=1,G472&lt;&gt;"",G472&lt;=F472),1,0)</x:f>
        <x:v>0</x:v>
      </x:c>
      <x:c r="M472" s="1" t="n">
        <x:f>IF(AND(G472&lt;&gt;"",G472&lt;Reporting!$B$4),1,0)</x:f>
        <x:v>1</x:v>
      </x:c>
      <x:c r="N472" s="16" t="n">
        <x:f>IF(M472=1,G472-E472,"")</x:f>
        <x:v>21</x:v>
      </x:c>
      <x:c r="O472" s="1" t="str">
        <x:f>IF(E472&gt;=Reporting!$B$4,"Outside cutoff",IF(M472=1,"Closed",IF(J472=1,"Overdue","Open - within SLA")))</x:f>
        <x:v>Closed</x:v>
      </x:c>
    </x:row>
    <x:row r="473">
      <x:c r="A473" s="14" t="str">
        <x:v>CASE-00468</x:v>
      </x:c>
      <x:c r="B473" s="14" t="str">
        <x:v>Customer Services</x:v>
      </x:c>
      <x:c r="C473" s="14" t="str">
        <x:v>Process deviation</x:v>
      </x:c>
      <x:c r="D473" s="14" t="str">
        <x:v>Medium</x:v>
      </x:c>
      <x:c r="E473" s="15" t="n">
        <x:v>46205.375</x:v>
      </x:c>
      <x:c r="F473" s="15" t="n">
        <x:v>46212.375</x:v>
      </x:c>
      <x:c r="G473" s="15" t="n">
        <x:v>46211.375</x:v>
      </x:c>
      <x:c r="H473" s="14" t="n">
        <x:v>1</x:v>
      </x:c>
      <x:c r="I473" s="1" t="n">
        <x:f>IF(AND(E473&lt;Reporting!$B$4,OR(G473="",G473&gt;=Reporting!$B$4)),1,0)</x:f>
        <x:v>0</x:v>
      </x:c>
      <x:c r="J473" s="1" t="n">
        <x:f>IF(AND(I473=1,F473&lt;Reporting!$B$4),1,0)</x:f>
        <x:v>0</x:v>
      </x:c>
      <x:c r="K473" s="1" t="n">
        <x:f>IF(F473&lt;Reporting!$B$4,1,0)</x:f>
        <x:v>1</x:v>
      </x:c>
      <x:c r="L473" s="1" t="n">
        <x:f>IF(AND(K473=1,G473&lt;&gt;"",G473&lt;=F473),1,0)</x:f>
        <x:v>1</x:v>
      </x:c>
      <x:c r="M473" s="1" t="n">
        <x:f>IF(AND(G473&lt;&gt;"",G473&lt;Reporting!$B$4),1,0)</x:f>
        <x:v>1</x:v>
      </x:c>
      <x:c r="N473" s="16" t="n">
        <x:f>IF(M473=1,G473-E473,"")</x:f>
        <x:v>6</x:v>
      </x:c>
      <x:c r="O473" s="1" t="str">
        <x:f>IF(E473&gt;=Reporting!$B$4,"Outside cutoff",IF(M473=1,"Closed",IF(J473=1,"Overdue","Open - within SLA")))</x:f>
        <x:v>Closed</x:v>
      </x:c>
    </x:row>
    <x:row r="474">
      <x:c r="A474" s="14" t="str">
        <x:v>CASE-00469</x:v>
      </x:c>
      <x:c r="B474" s="14" t="str">
        <x:v>Customer Services</x:v>
      </x:c>
      <x:c r="C474" s="14" t="str">
        <x:v>Process deviation</x:v>
      </x:c>
      <x:c r="D474" s="14" t="str">
        <x:v>High</x:v>
      </x:c>
      <x:c r="E474" s="15" t="n">
        <x:v>46230.416666666664</x:v>
      </x:c>
      <x:c r="F474" s="15" t="n">
        <x:v>46233.416666666664</x:v>
      </x:c>
      <x:c r="G474" s="15" t="n">
        <x:v>46232.5</x:v>
      </x:c>
      <x:c r="H474" s="14" t="n">
        <x:v>1</x:v>
      </x:c>
      <x:c r="I474" s="1" t="n">
        <x:f>IF(AND(E474&lt;Reporting!$B$4,OR(G474="",G474&gt;=Reporting!$B$4)),1,0)</x:f>
        <x:v>0</x:v>
      </x:c>
      <x:c r="J474" s="1" t="n">
        <x:f>IF(AND(I474=1,F474&lt;Reporting!$B$4),1,0)</x:f>
        <x:v>0</x:v>
      </x:c>
      <x:c r="K474" s="1" t="n">
        <x:f>IF(F474&lt;Reporting!$B$4,1,0)</x:f>
        <x:v>1</x:v>
      </x:c>
      <x:c r="L474" s="1" t="n">
        <x:f>IF(AND(K474=1,G474&lt;&gt;"",G474&lt;=F474),1,0)</x:f>
        <x:v>1</x:v>
      </x:c>
      <x:c r="M474" s="1" t="n">
        <x:f>IF(AND(G474&lt;&gt;"",G474&lt;Reporting!$B$4),1,0)</x:f>
        <x:v>1</x:v>
      </x:c>
      <x:c r="N474" s="16" t="n">
        <x:f>IF(M474=1,G474-E474,"")</x:f>
        <x:v>2.0833333333357587</x:v>
      </x:c>
      <x:c r="O474" s="1" t="str">
        <x:f>IF(E474&gt;=Reporting!$B$4,"Outside cutoff",IF(M474=1,"Closed",IF(J474=1,"Overdue","Open - within SLA")))</x:f>
        <x:v>Closed</x:v>
      </x:c>
    </x:row>
    <x:row r="475">
      <x:c r="A475" s="14" t="str">
        <x:v>CASE-00470</x:v>
      </x:c>
      <x:c r="B475" s="14" t="str">
        <x:v>Customer Services</x:v>
      </x:c>
      <x:c r="C475" s="14" t="str">
        <x:v>Record mismatch</x:v>
      </x:c>
      <x:c r="D475" s="14" t="str">
        <x:v>Medium</x:v>
      </x:c>
      <x:c r="E475" s="15" t="n">
        <x:v>46245.333333333336</x:v>
      </x:c>
      <x:c r="F475" s="15" t="n">
        <x:v>46252.333333333336</x:v>
      </x:c>
      <x:c r="G475" s="15" t="n">
        <x:v>46248.416666666664</x:v>
      </x:c>
      <x:c r="H475" s="14" t="n">
        <x:v>1</x:v>
      </x:c>
      <x:c r="I475" s="1" t="n">
        <x:f>IF(AND(E475&lt;Reporting!$B$4,OR(G475="",G475&gt;=Reporting!$B$4)),1,0)</x:f>
        <x:v>0</x:v>
      </x:c>
      <x:c r="J475" s="1" t="n">
        <x:f>IF(AND(I475=1,F475&lt;Reporting!$B$4),1,0)</x:f>
        <x:v>0</x:v>
      </x:c>
      <x:c r="K475" s="1" t="n">
        <x:f>IF(F475&lt;Reporting!$B$4,1,0)</x:f>
        <x:v>1</x:v>
      </x:c>
      <x:c r="L475" s="1" t="n">
        <x:f>IF(AND(K475=1,G475&lt;&gt;"",G475&lt;=F475),1,0)</x:f>
        <x:v>1</x:v>
      </x:c>
      <x:c r="M475" s="1" t="n">
        <x:f>IF(AND(G475&lt;&gt;"",G475&lt;Reporting!$B$4),1,0)</x:f>
        <x:v>1</x:v>
      </x:c>
      <x:c r="N475" s="16" t="n">
        <x:f>IF(M475=1,G475-E475,"")</x:f>
        <x:v>3.0833333333284827</x:v>
      </x:c>
      <x:c r="O475" s="1" t="str">
        <x:f>IF(E475&gt;=Reporting!$B$4,"Outside cutoff",IF(M475=1,"Closed",IF(J475=1,"Overdue","Open - within SLA")))</x:f>
        <x:v>Closed</x:v>
      </x:c>
    </x:row>
    <x:row r="476">
      <x:c r="A476" s="14" t="str">
        <x:v>CASE-00471</x:v>
      </x:c>
      <x:c r="B476" s="14" t="str">
        <x:v>Customer Services</x:v>
      </x:c>
      <x:c r="C476" s="14" t="str">
        <x:v>Late review</x:v>
      </x:c>
      <x:c r="D476" s="14" t="str">
        <x:v>Low</x:v>
      </x:c>
      <x:c r="E476" s="15" t="n">
        <x:v>46269.416666666664</x:v>
      </x:c>
      <x:c r="F476" s="15" t="n">
        <x:v>46283.416666666664</x:v>
      </x:c>
      <x:c r="G476" s="15" t="n">
        <x:v>46283.416666666664</x:v>
      </x:c>
      <x:c r="H476" s="14" t="n">
        <x:v>1</x:v>
      </x:c>
      <x:c r="I476" s="1" t="n">
        <x:f>IF(AND(E476&lt;Reporting!$B$4,OR(G476="",G476&gt;=Reporting!$B$4)),1,0)</x:f>
        <x:v>0</x:v>
      </x:c>
      <x:c r="J476" s="1" t="n">
        <x:f>IF(AND(I476=1,F476&lt;Reporting!$B$4),1,0)</x:f>
        <x:v>0</x:v>
      </x:c>
      <x:c r="K476" s="1" t="n">
        <x:f>IF(F476&lt;Reporting!$B$4,1,0)</x:f>
        <x:v>1</x:v>
      </x:c>
      <x:c r="L476" s="1" t="n">
        <x:f>IF(AND(K476=1,G476&lt;&gt;"",G476&lt;=F476),1,0)</x:f>
        <x:v>1</x:v>
      </x:c>
      <x:c r="M476" s="1" t="n">
        <x:f>IF(AND(G476&lt;&gt;"",G476&lt;Reporting!$B$4),1,0)</x:f>
        <x:v>1</x:v>
      </x:c>
      <x:c r="N476" s="16" t="n">
        <x:f>IF(M476=1,G476-E476,"")</x:f>
        <x:v>14</x:v>
      </x:c>
      <x:c r="O476" s="1" t="str">
        <x:f>IF(E476&gt;=Reporting!$B$4,"Outside cutoff",IF(M476=1,"Closed",IF(J476=1,"Overdue","Open - within SLA")))</x:f>
        <x:v>Closed</x:v>
      </x:c>
    </x:row>
    <x:row r="477">
      <x:c r="A477" s="14" t="str">
        <x:v>CASE-00472</x:v>
      </x:c>
      <x:c r="B477" s="14" t="str">
        <x:v>Installation</x:v>
      </x:c>
      <x:c r="C477" s="14" t="str">
        <x:v>Missing evidence</x:v>
      </x:c>
      <x:c r="D477" s="14" t="str">
        <x:v>Medium</x:v>
      </x:c>
      <x:c r="E477" s="15" t="n">
        <x:v>46264.583333333336</x:v>
      </x:c>
      <x:c r="F477" s="15" t="n">
        <x:v>46271.583333333336</x:v>
      </x:c>
      <x:c r="G477" s="15" t="n">
        <x:v>46269.583333333336</x:v>
      </x:c>
      <x:c r="H477" s="14" t="n">
        <x:v>3</x:v>
      </x:c>
      <x:c r="I477" s="1" t="n">
        <x:f>IF(AND(E477&lt;Reporting!$B$4,OR(G477="",G477&gt;=Reporting!$B$4)),1,0)</x:f>
        <x:v>0</x:v>
      </x:c>
      <x:c r="J477" s="1" t="n">
        <x:f>IF(AND(I477=1,F477&lt;Reporting!$B$4),1,0)</x:f>
        <x:v>0</x:v>
      </x:c>
      <x:c r="K477" s="1" t="n">
        <x:f>IF(F477&lt;Reporting!$B$4,1,0)</x:f>
        <x:v>1</x:v>
      </x:c>
      <x:c r="L477" s="1" t="n">
        <x:f>IF(AND(K477=1,G477&lt;&gt;"",G477&lt;=F477),1,0)</x:f>
        <x:v>1</x:v>
      </x:c>
      <x:c r="M477" s="1" t="n">
        <x:f>IF(AND(G477&lt;&gt;"",G477&lt;Reporting!$B$4),1,0)</x:f>
        <x:v>1</x:v>
      </x:c>
      <x:c r="N477" s="16" t="n">
        <x:f>IF(M477=1,G477-E477,"")</x:f>
        <x:v>5</x:v>
      </x:c>
      <x:c r="O477" s="1" t="str">
        <x:f>IF(E477&gt;=Reporting!$B$4,"Outside cutoff",IF(M477=1,"Closed",IF(J477=1,"Overdue","Open - within SLA")))</x:f>
        <x:v>Closed</x:v>
      </x:c>
    </x:row>
    <x:row r="478">
      <x:c r="A478" s="14" t="str">
        <x:v>CASE-00473</x:v>
      </x:c>
      <x:c r="B478" s="14" t="str">
        <x:v>Installation</x:v>
      </x:c>
      <x:c r="C478" s="14" t="str">
        <x:v>Record mismatch</x:v>
      </x:c>
      <x:c r="D478" s="14" t="str">
        <x:v>Medium</x:v>
      </x:c>
      <x:c r="E478" s="15" t="n">
        <x:v>46255.583333333336</x:v>
      </x:c>
      <x:c r="F478" s="15" t="n">
        <x:v>46262.583333333336</x:v>
      </x:c>
      <x:c r="G478" s="15" t="n">
        <x:v>46267.625</x:v>
      </x:c>
      <x:c r="H478" s="14" t="n">
        <x:v>3</x:v>
      </x:c>
      <x:c r="I478" s="1" t="n">
        <x:f>IF(AND(E478&lt;Reporting!$B$4,OR(G478="",G478&gt;=Reporting!$B$4)),1,0)</x:f>
        <x:v>0</x:v>
      </x:c>
      <x:c r="J478" s="1" t="n">
        <x:f>IF(AND(I478=1,F478&lt;Reporting!$B$4),1,0)</x:f>
        <x:v>0</x:v>
      </x:c>
      <x:c r="K478" s="1" t="n">
        <x:f>IF(F478&lt;Reporting!$B$4,1,0)</x:f>
        <x:v>1</x:v>
      </x:c>
      <x:c r="L478" s="1" t="n">
        <x:f>IF(AND(K478=1,G478&lt;&gt;"",G478&lt;=F478),1,0)</x:f>
        <x:v>0</x:v>
      </x:c>
      <x:c r="M478" s="1" t="n">
        <x:f>IF(AND(G478&lt;&gt;"",G478&lt;Reporting!$B$4),1,0)</x:f>
        <x:v>1</x:v>
      </x:c>
      <x:c r="N478" s="16" t="n">
        <x:f>IF(M478=1,G478-E478,"")</x:f>
        <x:v>12.041666666664241</x:v>
      </x:c>
      <x:c r="O478" s="1" t="str">
        <x:f>IF(E478&gt;=Reporting!$B$4,"Outside cutoff",IF(M478=1,"Closed",IF(J478=1,"Overdue","Open - within SLA")))</x:f>
        <x:v>Closed</x:v>
      </x:c>
    </x:row>
    <x:row r="479">
      <x:c r="A479" s="14" t="str">
        <x:v>CASE-00474</x:v>
      </x:c>
      <x:c r="B479" s="14" t="str">
        <x:v>Installation</x:v>
      </x:c>
      <x:c r="C479" s="14" t="str">
        <x:v>Process deviation</x:v>
      </x:c>
      <x:c r="D479" s="14" t="str">
        <x:v>Medium</x:v>
      </x:c>
      <x:c r="E479" s="15" t="n">
        <x:v>46249.541666666664</x:v>
      </x:c>
      <x:c r="F479" s="15" t="n">
        <x:v>46256.541666666664</x:v>
      </x:c>
      <x:c r="G479" s="15" t="n">
        <x:v>46256.541666666664</x:v>
      </x:c>
      <x:c r="H479" s="14" t="n">
        <x:v>3</x:v>
      </x:c>
      <x:c r="I479" s="1" t="n">
        <x:f>IF(AND(E479&lt;Reporting!$B$4,OR(G479="",G479&gt;=Reporting!$B$4)),1,0)</x:f>
        <x:v>0</x:v>
      </x:c>
      <x:c r="J479" s="1" t="n">
        <x:f>IF(AND(I479=1,F479&lt;Reporting!$B$4),1,0)</x:f>
        <x:v>0</x:v>
      </x:c>
      <x:c r="K479" s="1" t="n">
        <x:f>IF(F479&lt;Reporting!$B$4,1,0)</x:f>
        <x:v>1</x:v>
      </x:c>
      <x:c r="L479" s="1" t="n">
        <x:f>IF(AND(K479=1,G479&lt;&gt;"",G479&lt;=F479),1,0)</x:f>
        <x:v>1</x:v>
      </x:c>
      <x:c r="M479" s="1" t="n">
        <x:f>IF(AND(G479&lt;&gt;"",G479&lt;Reporting!$B$4),1,0)</x:f>
        <x:v>1</x:v>
      </x:c>
      <x:c r="N479" s="16" t="n">
        <x:f>IF(M479=1,G479-E479,"")</x:f>
        <x:v>7</x:v>
      </x:c>
      <x:c r="O479" s="1" t="str">
        <x:f>IF(E479&gt;=Reporting!$B$4,"Outside cutoff",IF(M479=1,"Closed",IF(J479=1,"Overdue","Open - within SLA")))</x:f>
        <x:v>Closed</x:v>
      </x:c>
    </x:row>
    <x:row r="480">
      <x:c r="A480" s="14" t="str">
        <x:v>CASE-00475</x:v>
      </x:c>
      <x:c r="B480" s="14" t="str">
        <x:v>Customer Services</x:v>
      </x:c>
      <x:c r="C480" s="14" t="str">
        <x:v>Missing evidence</x:v>
      </x:c>
      <x:c r="D480" s="14" t="str">
        <x:v>Medium</x:v>
      </x:c>
      <x:c r="E480" s="15" t="n">
        <x:v>46246.416666666664</x:v>
      </x:c>
      <x:c r="F480" s="15" t="n">
        <x:v>46253.416666666664</x:v>
      </x:c>
      <x:c r="G480" s="15" t="n">
        <x:v>46262.458333333336</x:v>
      </x:c>
      <x:c r="H480" s="14" t="n">
        <x:v>1</x:v>
      </x:c>
      <x:c r="I480" s="1" t="n">
        <x:f>IF(AND(E480&lt;Reporting!$B$4,OR(G480="",G480&gt;=Reporting!$B$4)),1,0)</x:f>
        <x:v>0</x:v>
      </x:c>
      <x:c r="J480" s="1" t="n">
        <x:f>IF(AND(I480=1,F480&lt;Reporting!$B$4),1,0)</x:f>
        <x:v>0</x:v>
      </x:c>
      <x:c r="K480" s="1" t="n">
        <x:f>IF(F480&lt;Reporting!$B$4,1,0)</x:f>
        <x:v>1</x:v>
      </x:c>
      <x:c r="L480" s="1" t="n">
        <x:f>IF(AND(K480=1,G480&lt;&gt;"",G480&lt;=F480),1,0)</x:f>
        <x:v>0</x:v>
      </x:c>
      <x:c r="M480" s="1" t="n">
        <x:f>IF(AND(G480&lt;&gt;"",G480&lt;Reporting!$B$4),1,0)</x:f>
        <x:v>1</x:v>
      </x:c>
      <x:c r="N480" s="16" t="n">
        <x:f>IF(M480=1,G480-E480,"")</x:f>
        <x:v>16.041666666671517</x:v>
      </x:c>
      <x:c r="O480" s="1" t="str">
        <x:f>IF(E480&gt;=Reporting!$B$4,"Outside cutoff",IF(M480=1,"Closed",IF(J480=1,"Overdue","Open - within SLA")))</x:f>
        <x:v>Closed</x:v>
      </x:c>
    </x:row>
    <x:row r="481">
      <x:c r="A481" s="14" t="str">
        <x:v>CASE-00476</x:v>
      </x:c>
      <x:c r="B481" s="14" t="str">
        <x:v>Customer Services</x:v>
      </x:c>
      <x:c r="C481" s="14" t="str">
        <x:v>Late review</x:v>
      </x:c>
      <x:c r="D481" s="14" t="str">
        <x:v>High</x:v>
      </x:c>
      <x:c r="E481" s="15" t="n">
        <x:v>46262.416666666664</x:v>
      </x:c>
      <x:c r="F481" s="15" t="n">
        <x:v>46265.416666666664</x:v>
      </x:c>
      <x:c r="G481" s="15" t="n">
        <x:v>46264.5</x:v>
      </x:c>
      <x:c r="H481" s="14" t="n">
        <x:v>1</x:v>
      </x:c>
      <x:c r="I481" s="1" t="n">
        <x:f>IF(AND(E481&lt;Reporting!$B$4,OR(G481="",G481&gt;=Reporting!$B$4)),1,0)</x:f>
        <x:v>0</x:v>
      </x:c>
      <x:c r="J481" s="1" t="n">
        <x:f>IF(AND(I481=1,F481&lt;Reporting!$B$4),1,0)</x:f>
        <x:v>0</x:v>
      </x:c>
      <x:c r="K481" s="1" t="n">
        <x:f>IF(F481&lt;Reporting!$B$4,1,0)</x:f>
        <x:v>1</x:v>
      </x:c>
      <x:c r="L481" s="1" t="n">
        <x:f>IF(AND(K481=1,G481&lt;&gt;"",G481&lt;=F481),1,0)</x:f>
        <x:v>1</x:v>
      </x:c>
      <x:c r="M481" s="1" t="n">
        <x:f>IF(AND(G481&lt;&gt;"",G481&lt;Reporting!$B$4),1,0)</x:f>
        <x:v>1</x:v>
      </x:c>
      <x:c r="N481" s="16" t="n">
        <x:f>IF(M481=1,G481-E481,"")</x:f>
        <x:v>2.0833333333357587</x:v>
      </x:c>
      <x:c r="O481" s="1" t="str">
        <x:f>IF(E481&gt;=Reporting!$B$4,"Outside cutoff",IF(M481=1,"Closed",IF(J481=1,"Overdue","Open - within SLA")))</x:f>
        <x:v>Closed</x:v>
      </x:c>
    </x:row>
    <x:row r="482">
      <x:c r="A482" s="14" t="str">
        <x:v>CASE-00477</x:v>
      </x:c>
      <x:c r="B482" s="14" t="str">
        <x:v>Installation</x:v>
      </x:c>
      <x:c r="C482" s="14" t="str">
        <x:v>Late review</x:v>
      </x:c>
      <x:c r="D482" s="14" t="str">
        <x:v>Low</x:v>
      </x:c>
      <x:c r="E482" s="15" t="n">
        <x:v>46246.458333333336</x:v>
      </x:c>
      <x:c r="F482" s="15" t="n">
        <x:v>46260.458333333336</x:v>
      </x:c>
      <x:c r="G482" s="15" t="n">
        <x:v>46262.541666666664</x:v>
      </x:c>
      <x:c r="H482" s="14" t="n">
        <x:v>3</x:v>
      </x:c>
      <x:c r="I482" s="1" t="n">
        <x:f>IF(AND(E482&lt;Reporting!$B$4,OR(G482="",G482&gt;=Reporting!$B$4)),1,0)</x:f>
        <x:v>0</x:v>
      </x:c>
      <x:c r="J482" s="1" t="n">
        <x:f>IF(AND(I482=1,F482&lt;Reporting!$B$4),1,0)</x:f>
        <x:v>0</x:v>
      </x:c>
      <x:c r="K482" s="1" t="n">
        <x:f>IF(F482&lt;Reporting!$B$4,1,0)</x:f>
        <x:v>1</x:v>
      </x:c>
      <x:c r="L482" s="1" t="n">
        <x:f>IF(AND(K482=1,G482&lt;&gt;"",G482&lt;=F482),1,0)</x:f>
        <x:v>0</x:v>
      </x:c>
      <x:c r="M482" s="1" t="n">
        <x:f>IF(AND(G482&lt;&gt;"",G482&lt;Reporting!$B$4),1,0)</x:f>
        <x:v>1</x:v>
      </x:c>
      <x:c r="N482" s="16" t="n">
        <x:f>IF(M482=1,G482-E482,"")</x:f>
        <x:v>16.083333333328483</x:v>
      </x:c>
      <x:c r="O482" s="1" t="str">
        <x:f>IF(E482&gt;=Reporting!$B$4,"Outside cutoff",IF(M482=1,"Closed",IF(J482=1,"Overdue","Open - within SLA")))</x:f>
        <x:v>Closed</x:v>
      </x:c>
    </x:row>
    <x:row r="483">
      <x:c r="A483" s="14" t="str">
        <x:v>CASE-00478</x:v>
      </x:c>
      <x:c r="B483" s="14" t="str">
        <x:v>Installation</x:v>
      </x:c>
      <x:c r="C483" s="14" t="str">
        <x:v>Missing evidence</x:v>
      </x:c>
      <x:c r="D483" s="14" t="str">
        <x:v>High</x:v>
      </x:c>
      <x:c r="E483" s="15" t="n">
        <x:v>46216.666666666664</x:v>
      </x:c>
      <x:c r="F483" s="15" t="n">
        <x:v>46219.666666666664</x:v>
      </x:c>
      <x:c r="G483" s="15" t="n">
        <x:v>46218.75</x:v>
      </x:c>
      <x:c r="H483" s="14" t="n">
        <x:v>3</x:v>
      </x:c>
      <x:c r="I483" s="1" t="n">
        <x:f>IF(AND(E483&lt;Reporting!$B$4,OR(G483="",G483&gt;=Reporting!$B$4)),1,0)</x:f>
        <x:v>0</x:v>
      </x:c>
      <x:c r="J483" s="1" t="n">
        <x:f>IF(AND(I483=1,F483&lt;Reporting!$B$4),1,0)</x:f>
        <x:v>0</x:v>
      </x:c>
      <x:c r="K483" s="1" t="n">
        <x:f>IF(F483&lt;Reporting!$B$4,1,0)</x:f>
        <x:v>1</x:v>
      </x:c>
      <x:c r="L483" s="1" t="n">
        <x:f>IF(AND(K483=1,G483&lt;&gt;"",G483&lt;=F483),1,0)</x:f>
        <x:v>1</x:v>
      </x:c>
      <x:c r="M483" s="1" t="n">
        <x:f>IF(AND(G483&lt;&gt;"",G483&lt;Reporting!$B$4),1,0)</x:f>
        <x:v>1</x:v>
      </x:c>
      <x:c r="N483" s="16" t="n">
        <x:f>IF(M483=1,G483-E483,"")</x:f>
        <x:v>2.0833333333357587</x:v>
      </x:c>
      <x:c r="O483" s="1" t="str">
        <x:f>IF(E483&gt;=Reporting!$B$4,"Outside cutoff",IF(M483=1,"Closed",IF(J483=1,"Overdue","Open - within SLA")))</x:f>
        <x:v>Closed</x:v>
      </x:c>
    </x:row>
    <x:row r="484">
      <x:c r="A484" s="14" t="str">
        <x:v>CASE-00479</x:v>
      </x:c>
      <x:c r="B484" s="14" t="str">
        <x:v>Customer Services</x:v>
      </x:c>
      <x:c r="C484" s="14" t="str">
        <x:v>Missing evidence</x:v>
      </x:c>
      <x:c r="D484" s="14" t="str">
        <x:v>Medium</x:v>
      </x:c>
      <x:c r="E484" s="15" t="n">
        <x:v>46246.625</x:v>
      </x:c>
      <x:c r="F484" s="15" t="n">
        <x:v>46253.625</x:v>
      </x:c>
      <x:c r="G484" s="15" t="n">
        <x:v>46248.708333333336</x:v>
      </x:c>
      <x:c r="H484" s="14" t="n">
        <x:v>1</x:v>
      </x:c>
      <x:c r="I484" s="1" t="n">
        <x:f>IF(AND(E484&lt;Reporting!$B$4,OR(G484="",G484&gt;=Reporting!$B$4)),1,0)</x:f>
        <x:v>0</x:v>
      </x:c>
      <x:c r="J484" s="1" t="n">
        <x:f>IF(AND(I484=1,F484&lt;Reporting!$B$4),1,0)</x:f>
        <x:v>0</x:v>
      </x:c>
      <x:c r="K484" s="1" t="n">
        <x:f>IF(F484&lt;Reporting!$B$4,1,0)</x:f>
        <x:v>1</x:v>
      </x:c>
      <x:c r="L484" s="1" t="n">
        <x:f>IF(AND(K484=1,G484&lt;&gt;"",G484&lt;=F484),1,0)</x:f>
        <x:v>1</x:v>
      </x:c>
      <x:c r="M484" s="1" t="n">
        <x:f>IF(AND(G484&lt;&gt;"",G484&lt;Reporting!$B$4),1,0)</x:f>
        <x:v>1</x:v>
      </x:c>
      <x:c r="N484" s="16" t="n">
        <x:f>IF(M484=1,G484-E484,"")</x:f>
        <x:v>2.0833333333357587</x:v>
      </x:c>
      <x:c r="O484" s="1" t="str">
        <x:f>IF(E484&gt;=Reporting!$B$4,"Outside cutoff",IF(M484=1,"Closed",IF(J484=1,"Overdue","Open - within SLA")))</x:f>
        <x:v>Closed</x:v>
      </x:c>
    </x:row>
    <x:row r="485">
      <x:c r="A485" s="14" t="str">
        <x:v>CASE-00480</x:v>
      </x:c>
      <x:c r="B485" s="14" t="str">
        <x:v>Warehouse</x:v>
      </x:c>
      <x:c r="C485" s="14" t="str">
        <x:v>Missing evidence</x:v>
      </x:c>
      <x:c r="D485" s="14" t="str">
        <x:v>Low</x:v>
      </x:c>
      <x:c r="E485" s="15" t="n">
        <x:v>46265.333333333336</x:v>
      </x:c>
      <x:c r="F485" s="15" t="n">
        <x:v>46279.333333333336</x:v>
      </x:c>
      <x:c r="G485" s="15" t="n">
        <x:v>46276.375</x:v>
      </x:c>
      <x:c r="H485" s="14" t="n">
        <x:v>2</x:v>
      </x:c>
      <x:c r="I485" s="1" t="n">
        <x:f>IF(AND(E485&lt;Reporting!$B$4,OR(G485="",G485&gt;=Reporting!$B$4)),1,0)</x:f>
        <x:v>0</x:v>
      </x:c>
      <x:c r="J485" s="1" t="n">
        <x:f>IF(AND(I485=1,F485&lt;Reporting!$B$4),1,0)</x:f>
        <x:v>0</x:v>
      </x:c>
      <x:c r="K485" s="1" t="n">
        <x:f>IF(F485&lt;Reporting!$B$4,1,0)</x:f>
        <x:v>1</x:v>
      </x:c>
      <x:c r="L485" s="1" t="n">
        <x:f>IF(AND(K485=1,G485&lt;&gt;"",G485&lt;=F485),1,0)</x:f>
        <x:v>1</x:v>
      </x:c>
      <x:c r="M485" s="1" t="n">
        <x:f>IF(AND(G485&lt;&gt;"",G485&lt;Reporting!$B$4),1,0)</x:f>
        <x:v>1</x:v>
      </x:c>
      <x:c r="N485" s="16" t="n">
        <x:f>IF(M485=1,G485-E485,"")</x:f>
        <x:v>11.041666666664241</x:v>
      </x:c>
      <x:c r="O485" s="1" t="str">
        <x:f>IF(E485&gt;=Reporting!$B$4,"Outside cutoff",IF(M485=1,"Closed",IF(J485=1,"Overdue","Open - within SLA")))</x:f>
        <x:v>Closed</x:v>
      </x:c>
    </x:row>
    <x:row r="486">
      <x:c r="A486" s="14" t="str">
        <x:v>CASE-00481</x:v>
      </x:c>
      <x:c r="B486" s="14" t="str">
        <x:v>Warehouse</x:v>
      </x:c>
      <x:c r="C486" s="14" t="str">
        <x:v>Missing evidence</x:v>
      </x:c>
      <x:c r="D486" s="14" t="str">
        <x:v>Medium</x:v>
      </x:c>
      <x:c r="E486" s="15" t="n">
        <x:v>46251.416666666664</x:v>
      </x:c>
      <x:c r="F486" s="15" t="n">
        <x:v>46258.416666666664</x:v>
      </x:c>
      <x:c r="G486" s="15"/>
      <x:c r="H486" s="14" t="n">
        <x:v>2</x:v>
      </x:c>
      <x:c r="I486" s="1" t="n">
        <x:f>IF(AND(E486&lt;Reporting!$B$4,OR(G486="",G486&gt;=Reporting!$B$4)),1,0)</x:f>
        <x:v>1</x:v>
      </x:c>
      <x:c r="J486" s="1" t="n">
        <x:f>IF(AND(I486=1,F486&lt;Reporting!$B$4),1,0)</x:f>
        <x:v>1</x:v>
      </x:c>
      <x:c r="K486" s="1" t="n">
        <x:f>IF(F486&lt;Reporting!$B$4,1,0)</x:f>
        <x:v>1</x:v>
      </x:c>
      <x:c r="L486" s="1" t="n">
        <x:f>IF(AND(K486=1,G486&lt;&gt;"",G486&lt;=F486),1,0)</x:f>
        <x:v>0</x:v>
      </x:c>
      <x:c r="M486" s="1" t="n">
        <x:f>IF(AND(G486&lt;&gt;"",G486&lt;Reporting!$B$4),1,0)</x:f>
        <x:v>0</x:v>
      </x:c>
      <x:c r="N486" s="16" t="str">
        <x:f>IF(M486=1,G486-E486,"")</x:f>
      </x:c>
      <x:c r="O486" s="1" t="str">
        <x:f>IF(E486&gt;=Reporting!$B$4,"Outside cutoff",IF(M486=1,"Closed",IF(J486=1,"Overdue","Open - within SLA")))</x:f>
        <x:v>Overdue</x:v>
      </x:c>
    </x:row>
    <x:row r="487">
      <x:c r="A487" s="14" t="str">
        <x:v>CASE-00482</x:v>
      </x:c>
      <x:c r="B487" s="14" t="str">
        <x:v>Installation</x:v>
      </x:c>
      <x:c r="C487" s="14" t="str">
        <x:v>Record mismatch</x:v>
      </x:c>
      <x:c r="D487" s="14" t="str">
        <x:v>Medium</x:v>
      </x:c>
      <x:c r="E487" s="15" t="n">
        <x:v>46231.583333333336</x:v>
      </x:c>
      <x:c r="F487" s="15" t="n">
        <x:v>46238.583333333336</x:v>
      </x:c>
      <x:c r="G487" s="15" t="n">
        <x:v>46232.625</x:v>
      </x:c>
      <x:c r="H487" s="14" t="n">
        <x:v>3</x:v>
      </x:c>
      <x:c r="I487" s="1" t="n">
        <x:f>IF(AND(E487&lt;Reporting!$B$4,OR(G487="",G487&gt;=Reporting!$B$4)),1,0)</x:f>
        <x:v>0</x:v>
      </x:c>
      <x:c r="J487" s="1" t="n">
        <x:f>IF(AND(I487=1,F487&lt;Reporting!$B$4),1,0)</x:f>
        <x:v>0</x:v>
      </x:c>
      <x:c r="K487" s="1" t="n">
        <x:f>IF(F487&lt;Reporting!$B$4,1,0)</x:f>
        <x:v>1</x:v>
      </x:c>
      <x:c r="L487" s="1" t="n">
        <x:f>IF(AND(K487=1,G487&lt;&gt;"",G487&lt;=F487),1,0)</x:f>
        <x:v>1</x:v>
      </x:c>
      <x:c r="M487" s="1" t="n">
        <x:f>IF(AND(G487&lt;&gt;"",G487&lt;Reporting!$B$4),1,0)</x:f>
        <x:v>1</x:v>
      </x:c>
      <x:c r="N487" s="16" t="n">
        <x:f>IF(M487=1,G487-E487,"")</x:f>
        <x:v>1.0416666666642413</x:v>
      </x:c>
      <x:c r="O487" s="1" t="str">
        <x:f>IF(E487&gt;=Reporting!$B$4,"Outside cutoff",IF(M487=1,"Closed",IF(J487=1,"Overdue","Open - within SLA")))</x:f>
        <x:v>Closed</x:v>
      </x:c>
    </x:row>
    <x:row r="488">
      <x:c r="A488" s="14" t="str">
        <x:v>CASE-00483</x:v>
      </x:c>
      <x:c r="B488" s="14" t="str">
        <x:v>Warehouse</x:v>
      </x:c>
      <x:c r="C488" s="14" t="str">
        <x:v>Record mismatch</x:v>
      </x:c>
      <x:c r="D488" s="14" t="str">
        <x:v>Medium</x:v>
      </x:c>
      <x:c r="E488" s="15" t="n">
        <x:v>46257.333333333336</x:v>
      </x:c>
      <x:c r="F488" s="15" t="n">
        <x:v>46264.333333333336</x:v>
      </x:c>
      <x:c r="G488" s="15" t="n">
        <x:v>46282.375</x:v>
      </x:c>
      <x:c r="H488" s="14" t="n">
        <x:v>2</x:v>
      </x:c>
      <x:c r="I488" s="1" t="n">
        <x:f>IF(AND(E488&lt;Reporting!$B$4,OR(G488="",G488&gt;=Reporting!$B$4)),1,0)</x:f>
        <x:v>0</x:v>
      </x:c>
      <x:c r="J488" s="1" t="n">
        <x:f>IF(AND(I488=1,F488&lt;Reporting!$B$4),1,0)</x:f>
        <x:v>0</x:v>
      </x:c>
      <x:c r="K488" s="1" t="n">
        <x:f>IF(F488&lt;Reporting!$B$4,1,0)</x:f>
        <x:v>1</x:v>
      </x:c>
      <x:c r="L488" s="1" t="n">
        <x:f>IF(AND(K488=1,G488&lt;&gt;"",G488&lt;=F488),1,0)</x:f>
        <x:v>0</x:v>
      </x:c>
      <x:c r="M488" s="1" t="n">
        <x:f>IF(AND(G488&lt;&gt;"",G488&lt;Reporting!$B$4),1,0)</x:f>
        <x:v>1</x:v>
      </x:c>
      <x:c r="N488" s="16" t="n">
        <x:f>IF(M488=1,G488-E488,"")</x:f>
        <x:v>25.04166666666424</x:v>
      </x:c>
      <x:c r="O488" s="1" t="str">
        <x:f>IF(E488&gt;=Reporting!$B$4,"Outside cutoff",IF(M488=1,"Closed",IF(J488=1,"Overdue","Open - within SLA")))</x:f>
        <x:v>Closed</x:v>
      </x:c>
    </x:row>
    <x:row r="489">
      <x:c r="A489" s="14" t="str">
        <x:v>CASE-00484</x:v>
      </x:c>
      <x:c r="B489" s="14" t="str">
        <x:v>Customer Services</x:v>
      </x:c>
      <x:c r="C489" s="14" t="str">
        <x:v>Missing evidence</x:v>
      </x:c>
      <x:c r="D489" s="14" t="str">
        <x:v>Low</x:v>
      </x:c>
      <x:c r="E489" s="15" t="n">
        <x:v>46223.666666666664</x:v>
      </x:c>
      <x:c r="F489" s="15" t="n">
        <x:v>46237.666666666664</x:v>
      </x:c>
      <x:c r="G489" s="15" t="n">
        <x:v>46237.75</x:v>
      </x:c>
      <x:c r="H489" s="14" t="n">
        <x:v>1</x:v>
      </x:c>
      <x:c r="I489" s="1" t="n">
        <x:f>IF(AND(E489&lt;Reporting!$B$4,OR(G489="",G489&gt;=Reporting!$B$4)),1,0)</x:f>
        <x:v>0</x:v>
      </x:c>
      <x:c r="J489" s="1" t="n">
        <x:f>IF(AND(I489=1,F489&lt;Reporting!$B$4),1,0)</x:f>
        <x:v>0</x:v>
      </x:c>
      <x:c r="K489" s="1" t="n">
        <x:f>IF(F489&lt;Reporting!$B$4,1,0)</x:f>
        <x:v>1</x:v>
      </x:c>
      <x:c r="L489" s="1" t="n">
        <x:f>IF(AND(K489=1,G489&lt;&gt;"",G489&lt;=F489),1,0)</x:f>
        <x:v>0</x:v>
      </x:c>
      <x:c r="M489" s="1" t="n">
        <x:f>IF(AND(G489&lt;&gt;"",G489&lt;Reporting!$B$4),1,0)</x:f>
        <x:v>1</x:v>
      </x:c>
      <x:c r="N489" s="16" t="n">
        <x:f>IF(M489=1,G489-E489,"")</x:f>
        <x:v>14.083333333335759</x:v>
      </x:c>
      <x:c r="O489" s="1" t="str">
        <x:f>IF(E489&gt;=Reporting!$B$4,"Outside cutoff",IF(M489=1,"Closed",IF(J489=1,"Overdue","Open - within SLA")))</x:f>
        <x:v>Closed</x:v>
      </x:c>
    </x:row>
    <x:row r="490">
      <x:c r="A490" s="14" t="str">
        <x:v>CASE-00485</x:v>
      </x:c>
      <x:c r="B490" s="14" t="str">
        <x:v>Customer Services</x:v>
      </x:c>
      <x:c r="C490" s="14" t="str">
        <x:v>Missing evidence</x:v>
      </x:c>
      <x:c r="D490" s="14" t="str">
        <x:v>Low</x:v>
      </x:c>
      <x:c r="E490" s="15" t="n">
        <x:v>46202.416666666664</x:v>
      </x:c>
      <x:c r="F490" s="15" t="n">
        <x:v>46216.416666666664</x:v>
      </x:c>
      <x:c r="G490" s="15" t="n">
        <x:v>46207.5</x:v>
      </x:c>
      <x:c r="H490" s="14" t="n">
        <x:v>1</x:v>
      </x:c>
      <x:c r="I490" s="1" t="n">
        <x:f>IF(AND(E490&lt;Reporting!$B$4,OR(G490="",G490&gt;=Reporting!$B$4)),1,0)</x:f>
        <x:v>0</x:v>
      </x:c>
      <x:c r="J490" s="1" t="n">
        <x:f>IF(AND(I490=1,F490&lt;Reporting!$B$4),1,0)</x:f>
        <x:v>0</x:v>
      </x:c>
      <x:c r="K490" s="1" t="n">
        <x:f>IF(F490&lt;Reporting!$B$4,1,0)</x:f>
        <x:v>1</x:v>
      </x:c>
      <x:c r="L490" s="1" t="n">
        <x:f>IF(AND(K490=1,G490&lt;&gt;"",G490&lt;=F490),1,0)</x:f>
        <x:v>1</x:v>
      </x:c>
      <x:c r="M490" s="1" t="n">
        <x:f>IF(AND(G490&lt;&gt;"",G490&lt;Reporting!$B$4),1,0)</x:f>
        <x:v>1</x:v>
      </x:c>
      <x:c r="N490" s="16" t="n">
        <x:f>IF(M490=1,G490-E490,"")</x:f>
        <x:v>5.083333333335759</x:v>
      </x:c>
      <x:c r="O490" s="1" t="str">
        <x:f>IF(E490&gt;=Reporting!$B$4,"Outside cutoff",IF(M490=1,"Closed",IF(J490=1,"Overdue","Open - within SLA")))</x:f>
        <x:v>Closed</x:v>
      </x:c>
    </x:row>
    <x:row r="491">
      <x:c r="A491" s="14" t="str">
        <x:v>CASE-00486</x:v>
      </x:c>
      <x:c r="B491" s="14" t="str">
        <x:v>Customer Services</x:v>
      </x:c>
      <x:c r="C491" s="14" t="str">
        <x:v>Late review</x:v>
      </x:c>
      <x:c r="D491" s="14" t="str">
        <x:v>Medium</x:v>
      </x:c>
      <x:c r="E491" s="15" t="n">
        <x:v>46253.375</x:v>
      </x:c>
      <x:c r="F491" s="15" t="n">
        <x:v>46260.375</x:v>
      </x:c>
      <x:c r="G491" s="15" t="n">
        <x:v>46263.375</x:v>
      </x:c>
      <x:c r="H491" s="14" t="n">
        <x:v>1</x:v>
      </x:c>
      <x:c r="I491" s="1" t="n">
        <x:f>IF(AND(E491&lt;Reporting!$B$4,OR(G491="",G491&gt;=Reporting!$B$4)),1,0)</x:f>
        <x:v>0</x:v>
      </x:c>
      <x:c r="J491" s="1" t="n">
        <x:f>IF(AND(I491=1,F491&lt;Reporting!$B$4),1,0)</x:f>
        <x:v>0</x:v>
      </x:c>
      <x:c r="K491" s="1" t="n">
        <x:f>IF(F491&lt;Reporting!$B$4,1,0)</x:f>
        <x:v>1</x:v>
      </x:c>
      <x:c r="L491" s="1" t="n">
        <x:f>IF(AND(K491=1,G491&lt;&gt;"",G491&lt;=F491),1,0)</x:f>
        <x:v>0</x:v>
      </x:c>
      <x:c r="M491" s="1" t="n">
        <x:f>IF(AND(G491&lt;&gt;"",G491&lt;Reporting!$B$4),1,0)</x:f>
        <x:v>1</x:v>
      </x:c>
      <x:c r="N491" s="16" t="n">
        <x:f>IF(M491=1,G491-E491,"")</x:f>
        <x:v>10</x:v>
      </x:c>
      <x:c r="O491" s="1" t="str">
        <x:f>IF(E491&gt;=Reporting!$B$4,"Outside cutoff",IF(M491=1,"Closed",IF(J491=1,"Overdue","Open - within SLA")))</x:f>
        <x:v>Closed</x:v>
      </x:c>
    </x:row>
    <x:row r="492">
      <x:c r="A492" s="14" t="str">
        <x:v>CASE-00487</x:v>
      </x:c>
      <x:c r="B492" s="14" t="str">
        <x:v>Warehouse</x:v>
      </x:c>
      <x:c r="C492" s="14" t="str">
        <x:v>Process deviation</x:v>
      </x:c>
      <x:c r="D492" s="14" t="str">
        <x:v>Medium</x:v>
      </x:c>
      <x:c r="E492" s="15" t="n">
        <x:v>46237.5</x:v>
      </x:c>
      <x:c r="F492" s="15" t="n">
        <x:v>46244.5</x:v>
      </x:c>
      <x:c r="G492" s="15" t="n">
        <x:v>46243.5</x:v>
      </x:c>
      <x:c r="H492" s="14" t="n">
        <x:v>2</x:v>
      </x:c>
      <x:c r="I492" s="1" t="n">
        <x:f>IF(AND(E492&lt;Reporting!$B$4,OR(G492="",G492&gt;=Reporting!$B$4)),1,0)</x:f>
        <x:v>0</x:v>
      </x:c>
      <x:c r="J492" s="1" t="n">
        <x:f>IF(AND(I492=1,F492&lt;Reporting!$B$4),1,0)</x:f>
        <x:v>0</x:v>
      </x:c>
      <x:c r="K492" s="1" t="n">
        <x:f>IF(F492&lt;Reporting!$B$4,1,0)</x:f>
        <x:v>1</x:v>
      </x:c>
      <x:c r="L492" s="1" t="n">
        <x:f>IF(AND(K492=1,G492&lt;&gt;"",G492&lt;=F492),1,0)</x:f>
        <x:v>1</x:v>
      </x:c>
      <x:c r="M492" s="1" t="n">
        <x:f>IF(AND(G492&lt;&gt;"",G492&lt;Reporting!$B$4),1,0)</x:f>
        <x:v>1</x:v>
      </x:c>
      <x:c r="N492" s="16" t="n">
        <x:f>IF(M492=1,G492-E492,"")</x:f>
        <x:v>6</x:v>
      </x:c>
      <x:c r="O492" s="1" t="str">
        <x:f>IF(E492&gt;=Reporting!$B$4,"Outside cutoff",IF(M492=1,"Closed",IF(J492=1,"Overdue","Open - within SLA")))</x:f>
        <x:v>Closed</x:v>
      </x:c>
    </x:row>
    <x:row r="493">
      <x:c r="A493" s="14" t="str">
        <x:v>CASE-00488</x:v>
      </x:c>
      <x:c r="B493" s="14" t="str">
        <x:v>Customer Services</x:v>
      </x:c>
      <x:c r="C493" s="14" t="str">
        <x:v>Missing evidence</x:v>
      </x:c>
      <x:c r="D493" s="14" t="str">
        <x:v>Medium</x:v>
      </x:c>
      <x:c r="E493" s="15" t="n">
        <x:v>46209.333333333336</x:v>
      </x:c>
      <x:c r="F493" s="15" t="n">
        <x:v>46216.333333333336</x:v>
      </x:c>
      <x:c r="G493" s="15" t="n">
        <x:v>46218.416666666664</x:v>
      </x:c>
      <x:c r="H493" s="14" t="n">
        <x:v>1</x:v>
      </x:c>
      <x:c r="I493" s="1" t="n">
        <x:f>IF(AND(E493&lt;Reporting!$B$4,OR(G493="",G493&gt;=Reporting!$B$4)),1,0)</x:f>
        <x:v>0</x:v>
      </x:c>
      <x:c r="J493" s="1" t="n">
        <x:f>IF(AND(I493=1,F493&lt;Reporting!$B$4),1,0)</x:f>
        <x:v>0</x:v>
      </x:c>
      <x:c r="K493" s="1" t="n">
        <x:f>IF(F493&lt;Reporting!$B$4,1,0)</x:f>
        <x:v>1</x:v>
      </x:c>
      <x:c r="L493" s="1" t="n">
        <x:f>IF(AND(K493=1,G493&lt;&gt;"",G493&lt;=F493),1,0)</x:f>
        <x:v>0</x:v>
      </x:c>
      <x:c r="M493" s="1" t="n">
        <x:f>IF(AND(G493&lt;&gt;"",G493&lt;Reporting!$B$4),1,0)</x:f>
        <x:v>1</x:v>
      </x:c>
      <x:c r="N493" s="16" t="n">
        <x:f>IF(M493=1,G493-E493,"")</x:f>
        <x:v>9.083333333328483</x:v>
      </x:c>
      <x:c r="O493" s="1" t="str">
        <x:f>IF(E493&gt;=Reporting!$B$4,"Outside cutoff",IF(M493=1,"Closed",IF(J493=1,"Overdue","Open - within SLA")))</x:f>
        <x:v>Closed</x:v>
      </x:c>
    </x:row>
    <x:row r="494">
      <x:c r="A494" s="14" t="str">
        <x:v>CASE-00489</x:v>
      </x:c>
      <x:c r="B494" s="14" t="str">
        <x:v>Installation</x:v>
      </x:c>
      <x:c r="C494" s="14" t="str">
        <x:v>Late review</x:v>
      </x:c>
      <x:c r="D494" s="14" t="str">
        <x:v>Medium</x:v>
      </x:c>
      <x:c r="E494" s="15" t="n">
        <x:v>46249.458333333336</x:v>
      </x:c>
      <x:c r="F494" s="15" t="n">
        <x:v>46256.458333333336</x:v>
      </x:c>
      <x:c r="G494" s="15"/>
      <x:c r="H494" s="14" t="n">
        <x:v>3</x:v>
      </x:c>
      <x:c r="I494" s="1" t="n">
        <x:f>IF(AND(E494&lt;Reporting!$B$4,OR(G494="",G494&gt;=Reporting!$B$4)),1,0)</x:f>
        <x:v>1</x:v>
      </x:c>
      <x:c r="J494" s="1" t="n">
        <x:f>IF(AND(I494=1,F494&lt;Reporting!$B$4),1,0)</x:f>
        <x:v>1</x:v>
      </x:c>
      <x:c r="K494" s="1" t="n">
        <x:f>IF(F494&lt;Reporting!$B$4,1,0)</x:f>
        <x:v>1</x:v>
      </x:c>
      <x:c r="L494" s="1" t="n">
        <x:f>IF(AND(K494=1,G494&lt;&gt;"",G494&lt;=F494),1,0)</x:f>
        <x:v>0</x:v>
      </x:c>
      <x:c r="M494" s="1" t="n">
        <x:f>IF(AND(G494&lt;&gt;"",G494&lt;Reporting!$B$4),1,0)</x:f>
        <x:v>0</x:v>
      </x:c>
      <x:c r="N494" s="16" t="str">
        <x:f>IF(M494=1,G494-E494,"")</x:f>
      </x:c>
      <x:c r="O494" s="1" t="str">
        <x:f>IF(E494&gt;=Reporting!$B$4,"Outside cutoff",IF(M494=1,"Closed",IF(J494=1,"Overdue","Open - within SLA")))</x:f>
        <x:v>Overdue</x:v>
      </x:c>
    </x:row>
    <x:row r="495">
      <x:c r="A495" s="14" t="str">
        <x:v>CASE-00490</x:v>
      </x:c>
      <x:c r="B495" s="14" t="str">
        <x:v>Customer Services</x:v>
      </x:c>
      <x:c r="C495" s="14" t="str">
        <x:v>Missing evidence</x:v>
      </x:c>
      <x:c r="D495" s="14" t="str">
        <x:v>Low</x:v>
      </x:c>
      <x:c r="E495" s="15" t="n">
        <x:v>46216.5</x:v>
      </x:c>
      <x:c r="F495" s="15" t="n">
        <x:v>46230.5</x:v>
      </x:c>
      <x:c r="G495" s="15" t="n">
        <x:v>46219.583333333336</x:v>
      </x:c>
      <x:c r="H495" s="14" t="n">
        <x:v>1</x:v>
      </x:c>
      <x:c r="I495" s="1" t="n">
        <x:f>IF(AND(E495&lt;Reporting!$B$4,OR(G495="",G495&gt;=Reporting!$B$4)),1,0)</x:f>
        <x:v>0</x:v>
      </x:c>
      <x:c r="J495" s="1" t="n">
        <x:f>IF(AND(I495=1,F495&lt;Reporting!$B$4),1,0)</x:f>
        <x:v>0</x:v>
      </x:c>
      <x:c r="K495" s="1" t="n">
        <x:f>IF(F495&lt;Reporting!$B$4,1,0)</x:f>
        <x:v>1</x:v>
      </x:c>
      <x:c r="L495" s="1" t="n">
        <x:f>IF(AND(K495=1,G495&lt;&gt;"",G495&lt;=F495),1,0)</x:f>
        <x:v>1</x:v>
      </x:c>
      <x:c r="M495" s="1" t="n">
        <x:f>IF(AND(G495&lt;&gt;"",G495&lt;Reporting!$B$4),1,0)</x:f>
        <x:v>1</x:v>
      </x:c>
      <x:c r="N495" s="16" t="n">
        <x:f>IF(M495=1,G495-E495,"")</x:f>
        <x:v>3.0833333333357587</x:v>
      </x:c>
      <x:c r="O495" s="1" t="str">
        <x:f>IF(E495&gt;=Reporting!$B$4,"Outside cutoff",IF(M495=1,"Closed",IF(J495=1,"Overdue","Open - within SLA")))</x:f>
        <x:v>Closed</x:v>
      </x:c>
    </x:row>
    <x:row r="496">
      <x:c r="A496" s="14" t="str">
        <x:v>CASE-00491</x:v>
      </x:c>
      <x:c r="B496" s="14" t="str">
        <x:v>Customer Services</x:v>
      </x:c>
      <x:c r="C496" s="14" t="str">
        <x:v>Record mismatch</x:v>
      </x:c>
      <x:c r="D496" s="14" t="str">
        <x:v>Low</x:v>
      </x:c>
      <x:c r="E496" s="15" t="n">
        <x:v>46240.458333333336</x:v>
      </x:c>
      <x:c r="F496" s="15" t="n">
        <x:v>46254.458333333336</x:v>
      </x:c>
      <x:c r="G496" s="15" t="n">
        <x:v>46256.541666666664</x:v>
      </x:c>
      <x:c r="H496" s="14" t="n">
        <x:v>1</x:v>
      </x:c>
      <x:c r="I496" s="1" t="n">
        <x:f>IF(AND(E496&lt;Reporting!$B$4,OR(G496="",G496&gt;=Reporting!$B$4)),1,0)</x:f>
        <x:v>0</x:v>
      </x:c>
      <x:c r="J496" s="1" t="n">
        <x:f>IF(AND(I496=1,F496&lt;Reporting!$B$4),1,0)</x:f>
        <x:v>0</x:v>
      </x:c>
      <x:c r="K496" s="1" t="n">
        <x:f>IF(F496&lt;Reporting!$B$4,1,0)</x:f>
        <x:v>1</x:v>
      </x:c>
      <x:c r="L496" s="1" t="n">
        <x:f>IF(AND(K496=1,G496&lt;&gt;"",G496&lt;=F496),1,0)</x:f>
        <x:v>0</x:v>
      </x:c>
      <x:c r="M496" s="1" t="n">
        <x:f>IF(AND(G496&lt;&gt;"",G496&lt;Reporting!$B$4),1,0)</x:f>
        <x:v>1</x:v>
      </x:c>
      <x:c r="N496" s="16" t="n">
        <x:f>IF(M496=1,G496-E496,"")</x:f>
        <x:v>16.083333333328483</x:v>
      </x:c>
      <x:c r="O496" s="1" t="str">
        <x:f>IF(E496&gt;=Reporting!$B$4,"Outside cutoff",IF(M496=1,"Closed",IF(J496=1,"Overdue","Open - within SLA")))</x:f>
        <x:v>Closed</x:v>
      </x:c>
    </x:row>
    <x:row r="497">
      <x:c r="A497" s="14" t="str">
        <x:v>CASE-00492</x:v>
      </x:c>
      <x:c r="B497" s="14" t="str">
        <x:v>Customer Services</x:v>
      </x:c>
      <x:c r="C497" s="14" t="str">
        <x:v>Late review</x:v>
      </x:c>
      <x:c r="D497" s="14" t="str">
        <x:v>Low</x:v>
      </x:c>
      <x:c r="E497" s="15" t="n">
        <x:v>46246.541666666664</x:v>
      </x:c>
      <x:c r="F497" s="15" t="n">
        <x:v>46260.541666666664</x:v>
      </x:c>
      <x:c r="G497" s="15" t="n">
        <x:v>46259.583333333336</x:v>
      </x:c>
      <x:c r="H497" s="14" t="n">
        <x:v>1</x:v>
      </x:c>
      <x:c r="I497" s="1" t="n">
        <x:f>IF(AND(E497&lt;Reporting!$B$4,OR(G497="",G497&gt;=Reporting!$B$4)),1,0)</x:f>
        <x:v>0</x:v>
      </x:c>
      <x:c r="J497" s="1" t="n">
        <x:f>IF(AND(I497=1,F497&lt;Reporting!$B$4),1,0)</x:f>
        <x:v>0</x:v>
      </x:c>
      <x:c r="K497" s="1" t="n">
        <x:f>IF(F497&lt;Reporting!$B$4,1,0)</x:f>
        <x:v>1</x:v>
      </x:c>
      <x:c r="L497" s="1" t="n">
        <x:f>IF(AND(K497=1,G497&lt;&gt;"",G497&lt;=F497),1,0)</x:f>
        <x:v>1</x:v>
      </x:c>
      <x:c r="M497" s="1" t="n">
        <x:f>IF(AND(G497&lt;&gt;"",G497&lt;Reporting!$B$4),1,0)</x:f>
        <x:v>1</x:v>
      </x:c>
      <x:c r="N497" s="16" t="n">
        <x:f>IF(M497=1,G497-E497,"")</x:f>
        <x:v>13.041666666671517</x:v>
      </x:c>
      <x:c r="O497" s="1" t="str">
        <x:f>IF(E497&gt;=Reporting!$B$4,"Outside cutoff",IF(M497=1,"Closed",IF(J497=1,"Overdue","Open - within SLA")))</x:f>
        <x:v>Closed</x:v>
      </x:c>
    </x:row>
    <x:row r="498">
      <x:c r="A498" s="14" t="str">
        <x:v>CASE-00493</x:v>
      </x:c>
      <x:c r="B498" s="14" t="str">
        <x:v>Warehouse</x:v>
      </x:c>
      <x:c r="C498" s="14" t="str">
        <x:v>Missing evidence</x:v>
      </x:c>
      <x:c r="D498" s="14" t="str">
        <x:v>High</x:v>
      </x:c>
      <x:c r="E498" s="15" t="n">
        <x:v>46264.416666666664</x:v>
      </x:c>
      <x:c r="F498" s="15" t="n">
        <x:v>46267.416666666664</x:v>
      </x:c>
      <x:c r="G498" s="15"/>
      <x:c r="H498" s="14" t="n">
        <x:v>2</x:v>
      </x:c>
      <x:c r="I498" s="1" t="n">
        <x:f>IF(AND(E498&lt;Reporting!$B$4,OR(G498="",G498&gt;=Reporting!$B$4)),1,0)</x:f>
        <x:v>1</x:v>
      </x:c>
      <x:c r="J498" s="1" t="n">
        <x:f>IF(AND(I498=1,F498&lt;Reporting!$B$4),1,0)</x:f>
        <x:v>1</x:v>
      </x:c>
      <x:c r="K498" s="1" t="n">
        <x:f>IF(F498&lt;Reporting!$B$4,1,0)</x:f>
        <x:v>1</x:v>
      </x:c>
      <x:c r="L498" s="1" t="n">
        <x:f>IF(AND(K498=1,G498&lt;&gt;"",G498&lt;=F498),1,0)</x:f>
        <x:v>0</x:v>
      </x:c>
      <x:c r="M498" s="1" t="n">
        <x:f>IF(AND(G498&lt;&gt;"",G498&lt;Reporting!$B$4),1,0)</x:f>
        <x:v>0</x:v>
      </x:c>
      <x:c r="N498" s="16" t="str">
        <x:f>IF(M498=1,G498-E498,"")</x:f>
      </x:c>
      <x:c r="O498" s="1" t="str">
        <x:f>IF(E498&gt;=Reporting!$B$4,"Outside cutoff",IF(M498=1,"Closed",IF(J498=1,"Overdue","Open - within SLA")))</x:f>
        <x:v>Overdue</x:v>
      </x:c>
    </x:row>
    <x:row r="499">
      <x:c r="A499" s="14" t="str">
        <x:v>CASE-00494</x:v>
      </x:c>
      <x:c r="B499" s="14" t="str">
        <x:v>Installation</x:v>
      </x:c>
      <x:c r="C499" s="14" t="str">
        <x:v>Record mismatch</x:v>
      </x:c>
      <x:c r="D499" s="14" t="str">
        <x:v>Medium</x:v>
      </x:c>
      <x:c r="E499" s="15" t="n">
        <x:v>46208.375</x:v>
      </x:c>
      <x:c r="F499" s="15" t="n">
        <x:v>46215.375</x:v>
      </x:c>
      <x:c r="G499" s="15" t="n">
        <x:v>46220.416666666664</x:v>
      </x:c>
      <x:c r="H499" s="14" t="n">
        <x:v>3</x:v>
      </x:c>
      <x:c r="I499" s="1" t="n">
        <x:f>IF(AND(E499&lt;Reporting!$B$4,OR(G499="",G499&gt;=Reporting!$B$4)),1,0)</x:f>
        <x:v>0</x:v>
      </x:c>
      <x:c r="J499" s="1" t="n">
        <x:f>IF(AND(I499=1,F499&lt;Reporting!$B$4),1,0)</x:f>
        <x:v>0</x:v>
      </x:c>
      <x:c r="K499" s="1" t="n">
        <x:f>IF(F499&lt;Reporting!$B$4,1,0)</x:f>
        <x:v>1</x:v>
      </x:c>
      <x:c r="L499" s="1" t="n">
        <x:f>IF(AND(K499=1,G499&lt;&gt;"",G499&lt;=F499),1,0)</x:f>
        <x:v>0</x:v>
      </x:c>
      <x:c r="M499" s="1" t="n">
        <x:f>IF(AND(G499&lt;&gt;"",G499&lt;Reporting!$B$4),1,0)</x:f>
        <x:v>1</x:v>
      </x:c>
      <x:c r="N499" s="16" t="n">
        <x:f>IF(M499=1,G499-E499,"")</x:f>
        <x:v>12.041666666664241</x:v>
      </x:c>
      <x:c r="O499" s="1" t="str">
        <x:f>IF(E499&gt;=Reporting!$B$4,"Outside cutoff",IF(M499=1,"Closed",IF(J499=1,"Overdue","Open - within SLA")))</x:f>
        <x:v>Closed</x:v>
      </x:c>
    </x:row>
    <x:row r="500">
      <x:c r="A500" s="14" t="str">
        <x:v>CASE-00495</x:v>
      </x:c>
      <x:c r="B500" s="14" t="str">
        <x:v>Warehouse</x:v>
      </x:c>
      <x:c r="C500" s="14" t="str">
        <x:v>Missing evidence</x:v>
      </x:c>
      <x:c r="D500" s="14" t="str">
        <x:v>Medium</x:v>
      </x:c>
      <x:c r="E500" s="15" t="n">
        <x:v>46239.666666666664</x:v>
      </x:c>
      <x:c r="F500" s="15" t="n">
        <x:v>46246.666666666664</x:v>
      </x:c>
      <x:c r="G500" s="15" t="n">
        <x:v>46252.666666666664</x:v>
      </x:c>
      <x:c r="H500" s="14" t="n">
        <x:v>2</x:v>
      </x:c>
      <x:c r="I500" s="1" t="n">
        <x:f>IF(AND(E500&lt;Reporting!$B$4,OR(G500="",G500&gt;=Reporting!$B$4)),1,0)</x:f>
        <x:v>0</x:v>
      </x:c>
      <x:c r="J500" s="1" t="n">
        <x:f>IF(AND(I500=1,F500&lt;Reporting!$B$4),1,0)</x:f>
        <x:v>0</x:v>
      </x:c>
      <x:c r="K500" s="1" t="n">
        <x:f>IF(F500&lt;Reporting!$B$4,1,0)</x:f>
        <x:v>1</x:v>
      </x:c>
      <x:c r="L500" s="1" t="n">
        <x:f>IF(AND(K500=1,G500&lt;&gt;"",G500&lt;=F500),1,0)</x:f>
        <x:v>0</x:v>
      </x:c>
      <x:c r="M500" s="1" t="n">
        <x:f>IF(AND(G500&lt;&gt;"",G500&lt;Reporting!$B$4),1,0)</x:f>
        <x:v>1</x:v>
      </x:c>
      <x:c r="N500" s="16" t="n">
        <x:f>IF(M500=1,G500-E500,"")</x:f>
        <x:v>13</x:v>
      </x:c>
      <x:c r="O500" s="1" t="str">
        <x:f>IF(E500&gt;=Reporting!$B$4,"Outside cutoff",IF(M500=1,"Closed",IF(J500=1,"Overdue","Open - within SLA")))</x:f>
        <x:v>Closed</x:v>
      </x:c>
    </x:row>
    <x:row r="501">
      <x:c r="A501" s="14" t="str">
        <x:v>CASE-00496</x:v>
      </x:c>
      <x:c r="B501" s="14" t="str">
        <x:v>Customer Services</x:v>
      </x:c>
      <x:c r="C501" s="14" t="str">
        <x:v>Process deviation</x:v>
      </x:c>
      <x:c r="D501" s="14" t="str">
        <x:v>High</x:v>
      </x:c>
      <x:c r="E501" s="15" t="n">
        <x:v>46272.583333333336</x:v>
      </x:c>
      <x:c r="F501" s="15" t="n">
        <x:v>46275.583333333336</x:v>
      </x:c>
      <x:c r="G501" s="15" t="n">
        <x:v>46282.625</x:v>
      </x:c>
      <x:c r="H501" s="14" t="n">
        <x:v>1</x:v>
      </x:c>
      <x:c r="I501" s="1" t="n">
        <x:f>IF(AND(E501&lt;Reporting!$B$4,OR(G501="",G501&gt;=Reporting!$B$4)),1,0)</x:f>
        <x:v>0</x:v>
      </x:c>
      <x:c r="J501" s="1" t="n">
        <x:f>IF(AND(I501=1,F501&lt;Reporting!$B$4),1,0)</x:f>
        <x:v>0</x:v>
      </x:c>
      <x:c r="K501" s="1" t="n">
        <x:f>IF(F501&lt;Reporting!$B$4,1,0)</x:f>
        <x:v>1</x:v>
      </x:c>
      <x:c r="L501" s="1" t="n">
        <x:f>IF(AND(K501=1,G501&lt;&gt;"",G501&lt;=F501),1,0)</x:f>
        <x:v>0</x:v>
      </x:c>
      <x:c r="M501" s="1" t="n">
        <x:f>IF(AND(G501&lt;&gt;"",G501&lt;Reporting!$B$4),1,0)</x:f>
        <x:v>1</x:v>
      </x:c>
      <x:c r="N501" s="16" t="n">
        <x:f>IF(M501=1,G501-E501,"")</x:f>
        <x:v>10.041666666664241</x:v>
      </x:c>
      <x:c r="O501" s="1" t="str">
        <x:f>IF(E501&gt;=Reporting!$B$4,"Outside cutoff",IF(M501=1,"Closed",IF(J501=1,"Overdue","Open - within SLA")))</x:f>
        <x:v>Closed</x:v>
      </x:c>
    </x:row>
    <x:row r="502">
      <x:c r="A502" s="14" t="str">
        <x:v>CASE-00497</x:v>
      </x:c>
      <x:c r="B502" s="14" t="str">
        <x:v>Installation</x:v>
      </x:c>
      <x:c r="C502" s="14" t="str">
        <x:v>Missing evidence</x:v>
      </x:c>
      <x:c r="D502" s="14" t="str">
        <x:v>Medium</x:v>
      </x:c>
      <x:c r="E502" s="15" t="n">
        <x:v>46245.458333333336</x:v>
      </x:c>
      <x:c r="F502" s="15" t="n">
        <x:v>46252.458333333336</x:v>
      </x:c>
      <x:c r="G502" s="15" t="n">
        <x:v>46261.541666666664</x:v>
      </x:c>
      <x:c r="H502" s="14" t="n">
        <x:v>3</x:v>
      </x:c>
      <x:c r="I502" s="1" t="n">
        <x:f>IF(AND(E502&lt;Reporting!$B$4,OR(G502="",G502&gt;=Reporting!$B$4)),1,0)</x:f>
        <x:v>0</x:v>
      </x:c>
      <x:c r="J502" s="1" t="n">
        <x:f>IF(AND(I502=1,F502&lt;Reporting!$B$4),1,0)</x:f>
        <x:v>0</x:v>
      </x:c>
      <x:c r="K502" s="1" t="n">
        <x:f>IF(F502&lt;Reporting!$B$4,1,0)</x:f>
        <x:v>1</x:v>
      </x:c>
      <x:c r="L502" s="1" t="n">
        <x:f>IF(AND(K502=1,G502&lt;&gt;"",G502&lt;=F502),1,0)</x:f>
        <x:v>0</x:v>
      </x:c>
      <x:c r="M502" s="1" t="n">
        <x:f>IF(AND(G502&lt;&gt;"",G502&lt;Reporting!$B$4),1,0)</x:f>
        <x:v>1</x:v>
      </x:c>
      <x:c r="N502" s="16" t="n">
        <x:f>IF(M502=1,G502-E502,"")</x:f>
        <x:v>16.083333333328483</x:v>
      </x:c>
      <x:c r="O502" s="1" t="str">
        <x:f>IF(E502&gt;=Reporting!$B$4,"Outside cutoff",IF(M502=1,"Closed",IF(J502=1,"Overdue","Open - within SLA")))</x:f>
        <x:v>Closed</x:v>
      </x:c>
    </x:row>
    <x:row r="503">
      <x:c r="A503" s="14" t="str">
        <x:v>CASE-00498</x:v>
      </x:c>
      <x:c r="B503" s="14" t="str">
        <x:v>Warehouse</x:v>
      </x:c>
      <x:c r="C503" s="14" t="str">
        <x:v>Record mismatch</x:v>
      </x:c>
      <x:c r="D503" s="14" t="str">
        <x:v>Low</x:v>
      </x:c>
      <x:c r="E503" s="15" t="n">
        <x:v>46252.5</x:v>
      </x:c>
      <x:c r="F503" s="15" t="n">
        <x:v>46266.5</x:v>
      </x:c>
      <x:c r="G503" s="15" t="n">
        <x:v>46280.5</x:v>
      </x:c>
      <x:c r="H503" s="14" t="n">
        <x:v>2</x:v>
      </x:c>
      <x:c r="I503" s="1" t="n">
        <x:f>IF(AND(E503&lt;Reporting!$B$4,OR(G503="",G503&gt;=Reporting!$B$4)),1,0)</x:f>
        <x:v>0</x:v>
      </x:c>
      <x:c r="J503" s="1" t="n">
        <x:f>IF(AND(I503=1,F503&lt;Reporting!$B$4),1,0)</x:f>
        <x:v>0</x:v>
      </x:c>
      <x:c r="K503" s="1" t="n">
        <x:f>IF(F503&lt;Reporting!$B$4,1,0)</x:f>
        <x:v>1</x:v>
      </x:c>
      <x:c r="L503" s="1" t="n">
        <x:f>IF(AND(K503=1,G503&lt;&gt;"",G503&lt;=F503),1,0)</x:f>
        <x:v>0</x:v>
      </x:c>
      <x:c r="M503" s="1" t="n">
        <x:f>IF(AND(G503&lt;&gt;"",G503&lt;Reporting!$B$4),1,0)</x:f>
        <x:v>1</x:v>
      </x:c>
      <x:c r="N503" s="16" t="n">
        <x:f>IF(M503=1,G503-E503,"")</x:f>
        <x:v>28</x:v>
      </x:c>
      <x:c r="O503" s="1" t="str">
        <x:f>IF(E503&gt;=Reporting!$B$4,"Outside cutoff",IF(M503=1,"Closed",IF(J503=1,"Overdue","Open - within SLA")))</x:f>
        <x:v>Closed</x:v>
      </x:c>
    </x:row>
    <x:row r="504">
      <x:c r="A504" s="14" t="str">
        <x:v>CASE-00499</x:v>
      </x:c>
      <x:c r="B504" s="14" t="str">
        <x:v>Customer Services</x:v>
      </x:c>
      <x:c r="C504" s="14" t="str">
        <x:v>Process deviation</x:v>
      </x:c>
      <x:c r="D504" s="14" t="str">
        <x:v>Medium</x:v>
      </x:c>
      <x:c r="E504" s="15" t="n">
        <x:v>46246.375</x:v>
      </x:c>
      <x:c r="F504" s="15" t="n">
        <x:v>46253.375</x:v>
      </x:c>
      <x:c r="G504" s="15"/>
      <x:c r="H504" s="14" t="n">
        <x:v>1</x:v>
      </x:c>
      <x:c r="I504" s="1" t="n">
        <x:f>IF(AND(E504&lt;Reporting!$B$4,OR(G504="",G504&gt;=Reporting!$B$4)),1,0)</x:f>
        <x:v>1</x:v>
      </x:c>
      <x:c r="J504" s="1" t="n">
        <x:f>IF(AND(I504=1,F504&lt;Reporting!$B$4),1,0)</x:f>
        <x:v>1</x:v>
      </x:c>
      <x:c r="K504" s="1" t="n">
        <x:f>IF(F504&lt;Reporting!$B$4,1,0)</x:f>
        <x:v>1</x:v>
      </x:c>
      <x:c r="L504" s="1" t="n">
        <x:f>IF(AND(K504=1,G504&lt;&gt;"",G504&lt;=F504),1,0)</x:f>
        <x:v>0</x:v>
      </x:c>
      <x:c r="M504" s="1" t="n">
        <x:f>IF(AND(G504&lt;&gt;"",G504&lt;Reporting!$B$4),1,0)</x:f>
        <x:v>0</x:v>
      </x:c>
      <x:c r="N504" s="16" t="str">
        <x:f>IF(M504=1,G504-E504,"")</x:f>
      </x:c>
      <x:c r="O504" s="1" t="str">
        <x:f>IF(E504&gt;=Reporting!$B$4,"Outside cutoff",IF(M504=1,"Closed",IF(J504=1,"Overdue","Open - within SLA")))</x:f>
        <x:v>Overdue</x:v>
      </x:c>
    </x:row>
    <x:row r="505">
      <x:c r="A505" s="14" t="str">
        <x:v>CASE-00500</x:v>
      </x:c>
      <x:c r="B505" s="14" t="str">
        <x:v>Customer Services</x:v>
      </x:c>
      <x:c r="C505" s="14" t="str">
        <x:v>Process deviation</x:v>
      </x:c>
      <x:c r="D505" s="14" t="str">
        <x:v>Low</x:v>
      </x:c>
      <x:c r="E505" s="15" t="n">
        <x:v>46230.333333333336</x:v>
      </x:c>
      <x:c r="F505" s="15" t="n">
        <x:v>46244.333333333336</x:v>
      </x:c>
      <x:c r="G505" s="15" t="n">
        <x:v>46247.333333333336</x:v>
      </x:c>
      <x:c r="H505" s="14" t="n">
        <x:v>1</x:v>
      </x:c>
      <x:c r="I505" s="1" t="n">
        <x:f>IF(AND(E505&lt;Reporting!$B$4,OR(G505="",G505&gt;=Reporting!$B$4)),1,0)</x:f>
        <x:v>0</x:v>
      </x:c>
      <x:c r="J505" s="1" t="n">
        <x:f>IF(AND(I505=1,F505&lt;Reporting!$B$4),1,0)</x:f>
        <x:v>0</x:v>
      </x:c>
      <x:c r="K505" s="1" t="n">
        <x:f>IF(F505&lt;Reporting!$B$4,1,0)</x:f>
        <x:v>1</x:v>
      </x:c>
      <x:c r="L505" s="1" t="n">
        <x:f>IF(AND(K505=1,G505&lt;&gt;"",G505&lt;=F505),1,0)</x:f>
        <x:v>0</x:v>
      </x:c>
      <x:c r="M505" s="1" t="n">
        <x:f>IF(AND(G505&lt;&gt;"",G505&lt;Reporting!$B$4),1,0)</x:f>
        <x:v>1</x:v>
      </x:c>
      <x:c r="N505" s="16" t="n">
        <x:f>IF(M505=1,G505-E505,"")</x:f>
        <x:v>17</x:v>
      </x:c>
      <x:c r="O505" s="1" t="str">
        <x:f>IF(E505&gt;=Reporting!$B$4,"Outside cutoff",IF(M505=1,"Closed",IF(J505=1,"Overdue","Open - within SLA")))</x:f>
        <x:v>Closed</x:v>
      </x:c>
    </x:row>
    <x:row r="506">
      <x:c r="A506" s="14" t="str">
        <x:v>CASE-00501</x:v>
      </x:c>
      <x:c r="B506" s="14" t="str">
        <x:v>Warehouse</x:v>
      </x:c>
      <x:c r="C506" s="14" t="str">
        <x:v>Process deviation</x:v>
      </x:c>
      <x:c r="D506" s="14" t="str">
        <x:v>Medium</x:v>
      </x:c>
      <x:c r="E506" s="15" t="n">
        <x:v>46233.625</x:v>
      </x:c>
      <x:c r="F506" s="15" t="n">
        <x:v>46240.625</x:v>
      </x:c>
      <x:c r="G506" s="15" t="n">
        <x:v>46239.666666666664</x:v>
      </x:c>
      <x:c r="H506" s="14" t="n">
        <x:v>2</x:v>
      </x:c>
      <x:c r="I506" s="1" t="n">
        <x:f>IF(AND(E506&lt;Reporting!$B$4,OR(G506="",G506&gt;=Reporting!$B$4)),1,0)</x:f>
        <x:v>0</x:v>
      </x:c>
      <x:c r="J506" s="1" t="n">
        <x:f>IF(AND(I506=1,F506&lt;Reporting!$B$4),1,0)</x:f>
        <x:v>0</x:v>
      </x:c>
      <x:c r="K506" s="1" t="n">
        <x:f>IF(F506&lt;Reporting!$B$4,1,0)</x:f>
        <x:v>1</x:v>
      </x:c>
      <x:c r="L506" s="1" t="n">
        <x:f>IF(AND(K506=1,G506&lt;&gt;"",G506&lt;=F506),1,0)</x:f>
        <x:v>1</x:v>
      </x:c>
      <x:c r="M506" s="1" t="n">
        <x:f>IF(AND(G506&lt;&gt;"",G506&lt;Reporting!$B$4),1,0)</x:f>
        <x:v>1</x:v>
      </x:c>
      <x:c r="N506" s="16" t="n">
        <x:f>IF(M506=1,G506-E506,"")</x:f>
        <x:v>6.041666666664241</x:v>
      </x:c>
      <x:c r="O506" s="1" t="str">
        <x:f>IF(E506&gt;=Reporting!$B$4,"Outside cutoff",IF(M506=1,"Closed",IF(J506=1,"Overdue","Open - within SLA")))</x:f>
        <x:v>Closed</x:v>
      </x:c>
    </x:row>
    <x:row r="507">
      <x:c r="A507" s="14" t="str">
        <x:v>CASE-00502</x:v>
      </x:c>
      <x:c r="B507" s="14" t="str">
        <x:v>Installation</x:v>
      </x:c>
      <x:c r="C507" s="14" t="str">
        <x:v>Late review</x:v>
      </x:c>
      <x:c r="D507" s="14" t="str">
        <x:v>Medium</x:v>
      </x:c>
      <x:c r="E507" s="15" t="n">
        <x:v>46208.458333333336</x:v>
      </x:c>
      <x:c r="F507" s="15" t="n">
        <x:v>46215.458333333336</x:v>
      </x:c>
      <x:c r="G507" s="15" t="n">
        <x:v>46222.458333333336</x:v>
      </x:c>
      <x:c r="H507" s="14" t="n">
        <x:v>3</x:v>
      </x:c>
      <x:c r="I507" s="1" t="n">
        <x:f>IF(AND(E507&lt;Reporting!$B$4,OR(G507="",G507&gt;=Reporting!$B$4)),1,0)</x:f>
        <x:v>0</x:v>
      </x:c>
      <x:c r="J507" s="1" t="n">
        <x:f>IF(AND(I507=1,F507&lt;Reporting!$B$4),1,0)</x:f>
        <x:v>0</x:v>
      </x:c>
      <x:c r="K507" s="1" t="n">
        <x:f>IF(F507&lt;Reporting!$B$4,1,0)</x:f>
        <x:v>1</x:v>
      </x:c>
      <x:c r="L507" s="1" t="n">
        <x:f>IF(AND(K507=1,G507&lt;&gt;"",G507&lt;=F507),1,0)</x:f>
        <x:v>0</x:v>
      </x:c>
      <x:c r="M507" s="1" t="n">
        <x:f>IF(AND(G507&lt;&gt;"",G507&lt;Reporting!$B$4),1,0)</x:f>
        <x:v>1</x:v>
      </x:c>
      <x:c r="N507" s="16" t="n">
        <x:f>IF(M507=1,G507-E507,"")</x:f>
        <x:v>14</x:v>
      </x:c>
      <x:c r="O507" s="1" t="str">
        <x:f>IF(E507&gt;=Reporting!$B$4,"Outside cutoff",IF(M507=1,"Closed",IF(J507=1,"Overdue","Open - within SLA")))</x:f>
        <x:v>Closed</x:v>
      </x:c>
    </x:row>
    <x:row r="508">
      <x:c r="A508" s="14" t="str">
        <x:v>CASE-00503</x:v>
      </x:c>
      <x:c r="B508" s="14" t="str">
        <x:v>Warehouse</x:v>
      </x:c>
      <x:c r="C508" s="14" t="str">
        <x:v>Record mismatch</x:v>
      </x:c>
      <x:c r="D508" s="14" t="str">
        <x:v>High</x:v>
      </x:c>
      <x:c r="E508" s="15" t="n">
        <x:v>46255.5</x:v>
      </x:c>
      <x:c r="F508" s="15" t="n">
        <x:v>46258.5</x:v>
      </x:c>
      <x:c r="G508" s="15" t="n">
        <x:v>46271.5</x:v>
      </x:c>
      <x:c r="H508" s="14" t="n">
        <x:v>2</x:v>
      </x:c>
      <x:c r="I508" s="1" t="n">
        <x:f>IF(AND(E508&lt;Reporting!$B$4,OR(G508="",G508&gt;=Reporting!$B$4)),1,0)</x:f>
        <x:v>0</x:v>
      </x:c>
      <x:c r="J508" s="1" t="n">
        <x:f>IF(AND(I508=1,F508&lt;Reporting!$B$4),1,0)</x:f>
        <x:v>0</x:v>
      </x:c>
      <x:c r="K508" s="1" t="n">
        <x:f>IF(F508&lt;Reporting!$B$4,1,0)</x:f>
        <x:v>1</x:v>
      </x:c>
      <x:c r="L508" s="1" t="n">
        <x:f>IF(AND(K508=1,G508&lt;&gt;"",G508&lt;=F508),1,0)</x:f>
        <x:v>0</x:v>
      </x:c>
      <x:c r="M508" s="1" t="n">
        <x:f>IF(AND(G508&lt;&gt;"",G508&lt;Reporting!$B$4),1,0)</x:f>
        <x:v>1</x:v>
      </x:c>
      <x:c r="N508" s="16" t="n">
        <x:f>IF(M508=1,G508-E508,"")</x:f>
        <x:v>16</x:v>
      </x:c>
      <x:c r="O508" s="1" t="str">
        <x:f>IF(E508&gt;=Reporting!$B$4,"Outside cutoff",IF(M508=1,"Closed",IF(J508=1,"Overdue","Open - within SLA")))</x:f>
        <x:v>Closed</x:v>
      </x:c>
    </x:row>
    <x:row r="509">
      <x:c r="A509" s="14" t="str">
        <x:v>CASE-00504</x:v>
      </x:c>
      <x:c r="B509" s="14" t="str">
        <x:v>Warehouse</x:v>
      </x:c>
      <x:c r="C509" s="14" t="str">
        <x:v>Record mismatch</x:v>
      </x:c>
      <x:c r="D509" s="14" t="str">
        <x:v>Low</x:v>
      </x:c>
      <x:c r="E509" s="15" t="n">
        <x:v>46204.5</x:v>
      </x:c>
      <x:c r="F509" s="15" t="n">
        <x:v>46218.5</x:v>
      </x:c>
      <x:c r="G509" s="15" t="n">
        <x:v>46222.541666666664</x:v>
      </x:c>
      <x:c r="H509" s="14" t="n">
        <x:v>2</x:v>
      </x:c>
      <x:c r="I509" s="1" t="n">
        <x:f>IF(AND(E509&lt;Reporting!$B$4,OR(G509="",G509&gt;=Reporting!$B$4)),1,0)</x:f>
        <x:v>0</x:v>
      </x:c>
      <x:c r="J509" s="1" t="n">
        <x:f>IF(AND(I509=1,F509&lt;Reporting!$B$4),1,0)</x:f>
        <x:v>0</x:v>
      </x:c>
      <x:c r="K509" s="1" t="n">
        <x:f>IF(F509&lt;Reporting!$B$4,1,0)</x:f>
        <x:v>1</x:v>
      </x:c>
      <x:c r="L509" s="1" t="n">
        <x:f>IF(AND(K509=1,G509&lt;&gt;"",G509&lt;=F509),1,0)</x:f>
        <x:v>0</x:v>
      </x:c>
      <x:c r="M509" s="1" t="n">
        <x:f>IF(AND(G509&lt;&gt;"",G509&lt;Reporting!$B$4),1,0)</x:f>
        <x:v>1</x:v>
      </x:c>
      <x:c r="N509" s="16" t="n">
        <x:f>IF(M509=1,G509-E509,"")</x:f>
        <x:v>18.04166666666424</x:v>
      </x:c>
      <x:c r="O509" s="1" t="str">
        <x:f>IF(E509&gt;=Reporting!$B$4,"Outside cutoff",IF(M509=1,"Closed",IF(J509=1,"Overdue","Open - within SLA")))</x:f>
        <x:v>Closed</x:v>
      </x:c>
    </x:row>
    <x:row r="510">
      <x:c r="A510" s="14" t="str">
        <x:v>CASE-00505</x:v>
      </x:c>
      <x:c r="B510" s="14" t="str">
        <x:v>Customer Services</x:v>
      </x:c>
      <x:c r="C510" s="14" t="str">
        <x:v>Record mismatch</x:v>
      </x:c>
      <x:c r="D510" s="14" t="str">
        <x:v>Low</x:v>
      </x:c>
      <x:c r="E510" s="15" t="n">
        <x:v>46273.666666666664</x:v>
      </x:c>
      <x:c r="F510" s="15" t="n">
        <x:v>46287.666666666664</x:v>
      </x:c>
      <x:c r="G510" s="15"/>
      <x:c r="H510" s="14" t="n">
        <x:v>1</x:v>
      </x:c>
      <x:c r="I510" s="1" t="n">
        <x:f>IF(AND(E510&lt;Reporting!$B$4,OR(G510="",G510&gt;=Reporting!$B$4)),1,0)</x:f>
        <x:v>1</x:v>
      </x:c>
      <x:c r="J510" s="1" t="n">
        <x:f>IF(AND(I510=1,F510&lt;Reporting!$B$4),1,0)</x:f>
        <x:v>0</x:v>
      </x:c>
      <x:c r="K510" s="1" t="n">
        <x:f>IF(F510&lt;Reporting!$B$4,1,0)</x:f>
        <x:v>0</x:v>
      </x:c>
      <x:c r="L510" s="1" t="n">
        <x:f>IF(AND(K510=1,G510&lt;&gt;"",G510&lt;=F510),1,0)</x:f>
        <x:v>0</x:v>
      </x:c>
      <x:c r="M510" s="1" t="n">
        <x:f>IF(AND(G510&lt;&gt;"",G510&lt;Reporting!$B$4),1,0)</x:f>
        <x:v>0</x:v>
      </x:c>
      <x:c r="N510" s="16" t="str">
        <x:f>IF(M510=1,G510-E510,"")</x:f>
      </x:c>
      <x:c r="O510" s="1" t="str">
        <x:f>IF(E510&gt;=Reporting!$B$4,"Outside cutoff",IF(M510=1,"Closed",IF(J510=1,"Overdue","Open - within SLA")))</x:f>
        <x:v>Open - within SLA</x:v>
      </x:c>
    </x:row>
    <x:row r="511">
      <x:c r="A511" s="14" t="str">
        <x:v>CASE-00506</x:v>
      </x:c>
      <x:c r="B511" s="14" t="str">
        <x:v>Customer Services</x:v>
      </x:c>
      <x:c r="C511" s="14" t="str">
        <x:v>Missing evidence</x:v>
      </x:c>
      <x:c r="D511" s="14" t="str">
        <x:v>High</x:v>
      </x:c>
      <x:c r="E511" s="15" t="n">
        <x:v>46275.375</x:v>
      </x:c>
      <x:c r="F511" s="15" t="n">
        <x:v>46278.375</x:v>
      </x:c>
      <x:c r="G511" s="15" t="n">
        <x:v>46276.458333333336</x:v>
      </x:c>
      <x:c r="H511" s="14" t="n">
        <x:v>1</x:v>
      </x:c>
      <x:c r="I511" s="1" t="n">
        <x:f>IF(AND(E511&lt;Reporting!$B$4,OR(G511="",G511&gt;=Reporting!$B$4)),1,0)</x:f>
        <x:v>0</x:v>
      </x:c>
      <x:c r="J511" s="1" t="n">
        <x:f>IF(AND(I511=1,F511&lt;Reporting!$B$4),1,0)</x:f>
        <x:v>0</x:v>
      </x:c>
      <x:c r="K511" s="1" t="n">
        <x:f>IF(F511&lt;Reporting!$B$4,1,0)</x:f>
        <x:v>1</x:v>
      </x:c>
      <x:c r="L511" s="1" t="n">
        <x:f>IF(AND(K511=1,G511&lt;&gt;"",G511&lt;=F511),1,0)</x:f>
        <x:v>1</x:v>
      </x:c>
      <x:c r="M511" s="1" t="n">
        <x:f>IF(AND(G511&lt;&gt;"",G511&lt;Reporting!$B$4),1,0)</x:f>
        <x:v>1</x:v>
      </x:c>
      <x:c r="N511" s="16" t="n">
        <x:f>IF(M511=1,G511-E511,"")</x:f>
        <x:v>1.0833333333357587</x:v>
      </x:c>
      <x:c r="O511" s="1" t="str">
        <x:f>IF(E511&gt;=Reporting!$B$4,"Outside cutoff",IF(M511=1,"Closed",IF(J511=1,"Overdue","Open - within SLA")))</x:f>
        <x:v>Closed</x:v>
      </x:c>
    </x:row>
    <x:row r="512">
      <x:c r="A512" s="14" t="str">
        <x:v>CASE-00507</x:v>
      </x:c>
      <x:c r="B512" s="14" t="str">
        <x:v>Customer Services</x:v>
      </x:c>
      <x:c r="C512" s="14" t="str">
        <x:v>Missing evidence</x:v>
      </x:c>
      <x:c r="D512" s="14" t="str">
        <x:v>Medium</x:v>
      </x:c>
      <x:c r="E512" s="15" t="n">
        <x:v>46235.458333333336</x:v>
      </x:c>
      <x:c r="F512" s="15" t="n">
        <x:v>46242.458333333336</x:v>
      </x:c>
      <x:c r="G512" s="15" t="n">
        <x:v>46240.5</x:v>
      </x:c>
      <x:c r="H512" s="14" t="n">
        <x:v>1</x:v>
      </x:c>
      <x:c r="I512" s="1" t="n">
        <x:f>IF(AND(E512&lt;Reporting!$B$4,OR(G512="",G512&gt;=Reporting!$B$4)),1,0)</x:f>
        <x:v>0</x:v>
      </x:c>
      <x:c r="J512" s="1" t="n">
        <x:f>IF(AND(I512=1,F512&lt;Reporting!$B$4),1,0)</x:f>
        <x:v>0</x:v>
      </x:c>
      <x:c r="K512" s="1" t="n">
        <x:f>IF(F512&lt;Reporting!$B$4,1,0)</x:f>
        <x:v>1</x:v>
      </x:c>
      <x:c r="L512" s="1" t="n">
        <x:f>IF(AND(K512=1,G512&lt;&gt;"",G512&lt;=F512),1,0)</x:f>
        <x:v>1</x:v>
      </x:c>
      <x:c r="M512" s="1" t="n">
        <x:f>IF(AND(G512&lt;&gt;"",G512&lt;Reporting!$B$4),1,0)</x:f>
        <x:v>1</x:v>
      </x:c>
      <x:c r="N512" s="16" t="n">
        <x:f>IF(M512=1,G512-E512,"")</x:f>
        <x:v>5.041666666664241</x:v>
      </x:c>
      <x:c r="O512" s="1" t="str">
        <x:f>IF(E512&gt;=Reporting!$B$4,"Outside cutoff",IF(M512=1,"Closed",IF(J512=1,"Overdue","Open - within SLA")))</x:f>
        <x:v>Closed</x:v>
      </x:c>
    </x:row>
    <x:row r="513">
      <x:c r="A513" s="14" t="str">
        <x:v>CASE-00508</x:v>
      </x:c>
      <x:c r="B513" s="14" t="str">
        <x:v>Customer Services</x:v>
      </x:c>
      <x:c r="C513" s="14" t="str">
        <x:v>Missing evidence</x:v>
      </x:c>
      <x:c r="D513" s="14" t="str">
        <x:v>Low</x:v>
      </x:c>
      <x:c r="E513" s="15" t="n">
        <x:v>46213.5</x:v>
      </x:c>
      <x:c r="F513" s="15" t="n">
        <x:v>46227.5</x:v>
      </x:c>
      <x:c r="G513" s="15" t="n">
        <x:v>46215.5</x:v>
      </x:c>
      <x:c r="H513" s="14" t="n">
        <x:v>1</x:v>
      </x:c>
      <x:c r="I513" s="1" t="n">
        <x:f>IF(AND(E513&lt;Reporting!$B$4,OR(G513="",G513&gt;=Reporting!$B$4)),1,0)</x:f>
        <x:v>0</x:v>
      </x:c>
      <x:c r="J513" s="1" t="n">
        <x:f>IF(AND(I513=1,F513&lt;Reporting!$B$4),1,0)</x:f>
        <x:v>0</x:v>
      </x:c>
      <x:c r="K513" s="1" t="n">
        <x:f>IF(F513&lt;Reporting!$B$4,1,0)</x:f>
        <x:v>1</x:v>
      </x:c>
      <x:c r="L513" s="1" t="n">
        <x:f>IF(AND(K513=1,G513&lt;&gt;"",G513&lt;=F513),1,0)</x:f>
        <x:v>1</x:v>
      </x:c>
      <x:c r="M513" s="1" t="n">
        <x:f>IF(AND(G513&lt;&gt;"",G513&lt;Reporting!$B$4),1,0)</x:f>
        <x:v>1</x:v>
      </x:c>
      <x:c r="N513" s="16" t="n">
        <x:f>IF(M513=1,G513-E513,"")</x:f>
        <x:v>2</x:v>
      </x:c>
      <x:c r="O513" s="1" t="str">
        <x:f>IF(E513&gt;=Reporting!$B$4,"Outside cutoff",IF(M513=1,"Closed",IF(J513=1,"Overdue","Open - within SLA")))</x:f>
        <x:v>Closed</x:v>
      </x:c>
    </x:row>
    <x:row r="514">
      <x:c r="A514" s="14" t="str">
        <x:v>CASE-00509</x:v>
      </x:c>
      <x:c r="B514" s="14" t="str">
        <x:v>Customer Services</x:v>
      </x:c>
      <x:c r="C514" s="14" t="str">
        <x:v>Record mismatch</x:v>
      </x:c>
      <x:c r="D514" s="14" t="str">
        <x:v>Low</x:v>
      </x:c>
      <x:c r="E514" s="15" t="n">
        <x:v>46266.416666666664</x:v>
      </x:c>
      <x:c r="F514" s="15" t="n">
        <x:v>46280.416666666664</x:v>
      </x:c>
      <x:c r="G514" s="15" t="n">
        <x:v>46281.416666666664</x:v>
      </x:c>
      <x:c r="H514" s="14" t="n">
        <x:v>1</x:v>
      </x:c>
      <x:c r="I514" s="1" t="n">
        <x:f>IF(AND(E514&lt;Reporting!$B$4,OR(G514="",G514&gt;=Reporting!$B$4)),1,0)</x:f>
        <x:v>0</x:v>
      </x:c>
      <x:c r="J514" s="1" t="n">
        <x:f>IF(AND(I514=1,F514&lt;Reporting!$B$4),1,0)</x:f>
        <x:v>0</x:v>
      </x:c>
      <x:c r="K514" s="1" t="n">
        <x:f>IF(F514&lt;Reporting!$B$4,1,0)</x:f>
        <x:v>1</x:v>
      </x:c>
      <x:c r="L514" s="1" t="n">
        <x:f>IF(AND(K514=1,G514&lt;&gt;"",G514&lt;=F514),1,0)</x:f>
        <x:v>0</x:v>
      </x:c>
      <x:c r="M514" s="1" t="n">
        <x:f>IF(AND(G514&lt;&gt;"",G514&lt;Reporting!$B$4),1,0)</x:f>
        <x:v>1</x:v>
      </x:c>
      <x:c r="N514" s="16" t="n">
        <x:f>IF(M514=1,G514-E514,"")</x:f>
        <x:v>15</x:v>
      </x:c>
      <x:c r="O514" s="1" t="str">
        <x:f>IF(E514&gt;=Reporting!$B$4,"Outside cutoff",IF(M514=1,"Closed",IF(J514=1,"Overdue","Open - within SLA")))</x:f>
        <x:v>Closed</x:v>
      </x:c>
    </x:row>
    <x:row r="515">
      <x:c r="A515" s="14" t="str">
        <x:v>CASE-00510</x:v>
      </x:c>
      <x:c r="B515" s="14" t="str">
        <x:v>Customer Services</x:v>
      </x:c>
      <x:c r="C515" s="14" t="str">
        <x:v>Process deviation</x:v>
      </x:c>
      <x:c r="D515" s="14" t="str">
        <x:v>High</x:v>
      </x:c>
      <x:c r="E515" s="15" t="n">
        <x:v>46221.583333333336</x:v>
      </x:c>
      <x:c r="F515" s="15" t="n">
        <x:v>46224.583333333336</x:v>
      </x:c>
      <x:c r="G515" s="15"/>
      <x:c r="H515" s="14" t="n">
        <x:v>1</x:v>
      </x:c>
      <x:c r="I515" s="1" t="n">
        <x:f>IF(AND(E515&lt;Reporting!$B$4,OR(G515="",G515&gt;=Reporting!$B$4)),1,0)</x:f>
        <x:v>1</x:v>
      </x:c>
      <x:c r="J515" s="1" t="n">
        <x:f>IF(AND(I515=1,F515&lt;Reporting!$B$4),1,0)</x:f>
        <x:v>1</x:v>
      </x:c>
      <x:c r="K515" s="1" t="n">
        <x:f>IF(F515&lt;Reporting!$B$4,1,0)</x:f>
        <x:v>1</x:v>
      </x:c>
      <x:c r="L515" s="1" t="n">
        <x:f>IF(AND(K515=1,G515&lt;&gt;"",G515&lt;=F515),1,0)</x:f>
        <x:v>0</x:v>
      </x:c>
      <x:c r="M515" s="1" t="n">
        <x:f>IF(AND(G515&lt;&gt;"",G515&lt;Reporting!$B$4),1,0)</x:f>
        <x:v>0</x:v>
      </x:c>
      <x:c r="N515" s="16" t="str">
        <x:f>IF(M515=1,G515-E515,"")</x:f>
      </x:c>
      <x:c r="O515" s="1" t="str">
        <x:f>IF(E515&gt;=Reporting!$B$4,"Outside cutoff",IF(M515=1,"Closed",IF(J515=1,"Overdue","Open - within SLA")))</x:f>
        <x:v>Overdue</x:v>
      </x:c>
    </x:row>
    <x:row r="516">
      <x:c r="A516" s="14" t="str">
        <x:v>CASE-00511</x:v>
      </x:c>
      <x:c r="B516" s="14" t="str">
        <x:v>Customer Services</x:v>
      </x:c>
      <x:c r="C516" s="14" t="str">
        <x:v>Late review</x:v>
      </x:c>
      <x:c r="D516" s="14" t="str">
        <x:v>Medium</x:v>
      </x:c>
      <x:c r="E516" s="15" t="n">
        <x:v>46258.625</x:v>
      </x:c>
      <x:c r="F516" s="15" t="n">
        <x:v>46265.625</x:v>
      </x:c>
      <x:c r="G516" s="15" t="n">
        <x:v>46272.708333333336</x:v>
      </x:c>
      <x:c r="H516" s="14" t="n">
        <x:v>1</x:v>
      </x:c>
      <x:c r="I516" s="1" t="n">
        <x:f>IF(AND(E516&lt;Reporting!$B$4,OR(G516="",G516&gt;=Reporting!$B$4)),1,0)</x:f>
        <x:v>0</x:v>
      </x:c>
      <x:c r="J516" s="1" t="n">
        <x:f>IF(AND(I516=1,F516&lt;Reporting!$B$4),1,0)</x:f>
        <x:v>0</x:v>
      </x:c>
      <x:c r="K516" s="1" t="n">
        <x:f>IF(F516&lt;Reporting!$B$4,1,0)</x:f>
        <x:v>1</x:v>
      </x:c>
      <x:c r="L516" s="1" t="n">
        <x:f>IF(AND(K516=1,G516&lt;&gt;"",G516&lt;=F516),1,0)</x:f>
        <x:v>0</x:v>
      </x:c>
      <x:c r="M516" s="1" t="n">
        <x:f>IF(AND(G516&lt;&gt;"",G516&lt;Reporting!$B$4),1,0)</x:f>
        <x:v>1</x:v>
      </x:c>
      <x:c r="N516" s="16" t="n">
        <x:f>IF(M516=1,G516-E516,"")</x:f>
        <x:v>14.083333333335759</x:v>
      </x:c>
      <x:c r="O516" s="1" t="str">
        <x:f>IF(E516&gt;=Reporting!$B$4,"Outside cutoff",IF(M516=1,"Closed",IF(J516=1,"Overdue","Open - within SLA")))</x:f>
        <x:v>Closed</x:v>
      </x:c>
    </x:row>
    <x:row r="517">
      <x:c r="A517" s="14" t="str">
        <x:v>CASE-00512</x:v>
      </x:c>
      <x:c r="B517" s="14" t="str">
        <x:v>Customer Services</x:v>
      </x:c>
      <x:c r="C517" s="14" t="str">
        <x:v>Process deviation</x:v>
      </x:c>
      <x:c r="D517" s="14" t="str">
        <x:v>Medium</x:v>
      </x:c>
      <x:c r="E517" s="15" t="n">
        <x:v>46212.5</x:v>
      </x:c>
      <x:c r="F517" s="15" t="n">
        <x:v>46219.5</x:v>
      </x:c>
      <x:c r="G517" s="15" t="n">
        <x:v>46228.583333333336</x:v>
      </x:c>
      <x:c r="H517" s="14" t="n">
        <x:v>1</x:v>
      </x:c>
      <x:c r="I517" s="1" t="n">
        <x:f>IF(AND(E517&lt;Reporting!$B$4,OR(G517="",G517&gt;=Reporting!$B$4)),1,0)</x:f>
        <x:v>0</x:v>
      </x:c>
      <x:c r="J517" s="1" t="n">
        <x:f>IF(AND(I517=1,F517&lt;Reporting!$B$4),1,0)</x:f>
        <x:v>0</x:v>
      </x:c>
      <x:c r="K517" s="1" t="n">
        <x:f>IF(F517&lt;Reporting!$B$4,1,0)</x:f>
        <x:v>1</x:v>
      </x:c>
      <x:c r="L517" s="1" t="n">
        <x:f>IF(AND(K517=1,G517&lt;&gt;"",G517&lt;=F517),1,0)</x:f>
        <x:v>0</x:v>
      </x:c>
      <x:c r="M517" s="1" t="n">
        <x:f>IF(AND(G517&lt;&gt;"",G517&lt;Reporting!$B$4),1,0)</x:f>
        <x:v>1</x:v>
      </x:c>
      <x:c r="N517" s="16" t="n">
        <x:f>IF(M517=1,G517-E517,"")</x:f>
        <x:v>16.08333333333576</x:v>
      </x:c>
      <x:c r="O517" s="1" t="str">
        <x:f>IF(E517&gt;=Reporting!$B$4,"Outside cutoff",IF(M517=1,"Closed",IF(J517=1,"Overdue","Open - within SLA")))</x:f>
        <x:v>Closed</x:v>
      </x:c>
    </x:row>
    <x:row r="518">
      <x:c r="A518" s="14" t="str">
        <x:v>CASE-00513</x:v>
      </x:c>
      <x:c r="B518" s="14" t="str">
        <x:v>Warehouse</x:v>
      </x:c>
      <x:c r="C518" s="14" t="str">
        <x:v>Missing evidence</x:v>
      </x:c>
      <x:c r="D518" s="14" t="str">
        <x:v>Low</x:v>
      </x:c>
      <x:c r="E518" s="15" t="n">
        <x:v>46281.458333333336</x:v>
      </x:c>
      <x:c r="F518" s="15" t="n">
        <x:v>46295.458333333336</x:v>
      </x:c>
      <x:c r="G518" s="15"/>
      <x:c r="H518" s="14" t="n">
        <x:v>2</x:v>
      </x:c>
      <x:c r="I518" s="1" t="n">
        <x:f>IF(AND(E518&lt;Reporting!$B$4,OR(G518="",G518&gt;=Reporting!$B$4)),1,0)</x:f>
        <x:v>1</x:v>
      </x:c>
      <x:c r="J518" s="1" t="n">
        <x:f>IF(AND(I518=1,F518&lt;Reporting!$B$4),1,0)</x:f>
        <x:v>0</x:v>
      </x:c>
      <x:c r="K518" s="1" t="n">
        <x:f>IF(F518&lt;Reporting!$B$4,1,0)</x:f>
        <x:v>0</x:v>
      </x:c>
      <x:c r="L518" s="1" t="n">
        <x:f>IF(AND(K518=1,G518&lt;&gt;"",G518&lt;=F518),1,0)</x:f>
        <x:v>0</x:v>
      </x:c>
      <x:c r="M518" s="1" t="n">
        <x:f>IF(AND(G518&lt;&gt;"",G518&lt;Reporting!$B$4),1,0)</x:f>
        <x:v>0</x:v>
      </x:c>
      <x:c r="N518" s="16" t="str">
        <x:f>IF(M518=1,G518-E518,"")</x:f>
      </x:c>
      <x:c r="O518" s="1" t="str">
        <x:f>IF(E518&gt;=Reporting!$B$4,"Outside cutoff",IF(M518=1,"Closed",IF(J518=1,"Overdue","Open - within SLA")))</x:f>
        <x:v>Open - within SLA</x:v>
      </x:c>
    </x:row>
    <x:row r="519">
      <x:c r="A519" s="14" t="str">
        <x:v>CASE-00514</x:v>
      </x:c>
      <x:c r="B519" s="14" t="str">
        <x:v>Installation</x:v>
      </x:c>
      <x:c r="C519" s="14" t="str">
        <x:v>Late review</x:v>
      </x:c>
      <x:c r="D519" s="14" t="str">
        <x:v>Medium</x:v>
      </x:c>
      <x:c r="E519" s="15" t="n">
        <x:v>46222.416666666664</x:v>
      </x:c>
      <x:c r="F519" s="15" t="n">
        <x:v>46229.416666666664</x:v>
      </x:c>
      <x:c r="G519" s="15" t="n">
        <x:v>46224.5</x:v>
      </x:c>
      <x:c r="H519" s="14" t="n">
        <x:v>3</x:v>
      </x:c>
      <x:c r="I519" s="1" t="n">
        <x:f>IF(AND(E519&lt;Reporting!$B$4,OR(G519="",G519&gt;=Reporting!$B$4)),1,0)</x:f>
        <x:v>0</x:v>
      </x:c>
      <x:c r="J519" s="1" t="n">
        <x:f>IF(AND(I519=1,F519&lt;Reporting!$B$4),1,0)</x:f>
        <x:v>0</x:v>
      </x:c>
      <x:c r="K519" s="1" t="n">
        <x:f>IF(F519&lt;Reporting!$B$4,1,0)</x:f>
        <x:v>1</x:v>
      </x:c>
      <x:c r="L519" s="1" t="n">
        <x:f>IF(AND(K519=1,G519&lt;&gt;"",G519&lt;=F519),1,0)</x:f>
        <x:v>1</x:v>
      </x:c>
      <x:c r="M519" s="1" t="n">
        <x:f>IF(AND(G519&lt;&gt;"",G519&lt;Reporting!$B$4),1,0)</x:f>
        <x:v>1</x:v>
      </x:c>
      <x:c r="N519" s="16" t="n">
        <x:f>IF(M519=1,G519-E519,"")</x:f>
        <x:v>2.0833333333357587</x:v>
      </x:c>
      <x:c r="O519" s="1" t="str">
        <x:f>IF(E519&gt;=Reporting!$B$4,"Outside cutoff",IF(M519=1,"Closed",IF(J519=1,"Overdue","Open - within SLA")))</x:f>
        <x:v>Closed</x:v>
      </x:c>
    </x:row>
    <x:row r="520">
      <x:c r="A520" s="14" t="str">
        <x:v>CASE-00515</x:v>
      </x:c>
      <x:c r="B520" s="14" t="str">
        <x:v>Installation</x:v>
      </x:c>
      <x:c r="C520" s="14" t="str">
        <x:v>Missing evidence</x:v>
      </x:c>
      <x:c r="D520" s="14" t="str">
        <x:v>Medium</x:v>
      </x:c>
      <x:c r="E520" s="15" t="n">
        <x:v>46278.583333333336</x:v>
      </x:c>
      <x:c r="F520" s="15" t="n">
        <x:v>46285.583333333336</x:v>
      </x:c>
      <x:c r="G520" s="15"/>
      <x:c r="H520" s="14" t="n">
        <x:v>3</x:v>
      </x:c>
      <x:c r="I520" s="1" t="n">
        <x:f>IF(AND(E520&lt;Reporting!$B$4,OR(G520="",G520&gt;=Reporting!$B$4)),1,0)</x:f>
        <x:v>1</x:v>
      </x:c>
      <x:c r="J520" s="1" t="n">
        <x:f>IF(AND(I520=1,F520&lt;Reporting!$B$4),1,0)</x:f>
        <x:v>1</x:v>
      </x:c>
      <x:c r="K520" s="1" t="n">
        <x:f>IF(F520&lt;Reporting!$B$4,1,0)</x:f>
        <x:v>1</x:v>
      </x:c>
      <x:c r="L520" s="1" t="n">
        <x:f>IF(AND(K520=1,G520&lt;&gt;"",G520&lt;=F520),1,0)</x:f>
        <x:v>0</x:v>
      </x:c>
      <x:c r="M520" s="1" t="n">
        <x:f>IF(AND(G520&lt;&gt;"",G520&lt;Reporting!$B$4),1,0)</x:f>
        <x:v>0</x:v>
      </x:c>
      <x:c r="N520" s="16" t="str">
        <x:f>IF(M520=1,G520-E520,"")</x:f>
      </x:c>
      <x:c r="O520" s="1" t="str">
        <x:f>IF(E520&gt;=Reporting!$B$4,"Outside cutoff",IF(M520=1,"Closed",IF(J520=1,"Overdue","Open - within SLA")))</x:f>
        <x:v>Overdue</x:v>
      </x:c>
    </x:row>
    <x:row r="521">
      <x:c r="A521" s="14" t="str">
        <x:v>CASE-00516</x:v>
      </x:c>
      <x:c r="B521" s="14" t="str">
        <x:v>Customer Services</x:v>
      </x:c>
      <x:c r="C521" s="14" t="str">
        <x:v>Process deviation</x:v>
      </x:c>
      <x:c r="D521" s="14" t="str">
        <x:v>Low</x:v>
      </x:c>
      <x:c r="E521" s="15" t="n">
        <x:v>46274.416666666664</x:v>
      </x:c>
      <x:c r="F521" s="15" t="n">
        <x:v>46288.416666666664</x:v>
      </x:c>
      <x:c r="G521" s="15"/>
      <x:c r="H521" s="14" t="n">
        <x:v>1</x:v>
      </x:c>
      <x:c r="I521" s="1" t="n">
        <x:f>IF(AND(E521&lt;Reporting!$B$4,OR(G521="",G521&gt;=Reporting!$B$4)),1,0)</x:f>
        <x:v>1</x:v>
      </x:c>
      <x:c r="J521" s="1" t="n">
        <x:f>IF(AND(I521=1,F521&lt;Reporting!$B$4),1,0)</x:f>
        <x:v>0</x:v>
      </x:c>
      <x:c r="K521" s="1" t="n">
        <x:f>IF(F521&lt;Reporting!$B$4,1,0)</x:f>
        <x:v>0</x:v>
      </x:c>
      <x:c r="L521" s="1" t="n">
        <x:f>IF(AND(K521=1,G521&lt;&gt;"",G521&lt;=F521),1,0)</x:f>
        <x:v>0</x:v>
      </x:c>
      <x:c r="M521" s="1" t="n">
        <x:f>IF(AND(G521&lt;&gt;"",G521&lt;Reporting!$B$4),1,0)</x:f>
        <x:v>0</x:v>
      </x:c>
      <x:c r="N521" s="16" t="str">
        <x:f>IF(M521=1,G521-E521,"")</x:f>
      </x:c>
      <x:c r="O521" s="1" t="str">
        <x:f>IF(E521&gt;=Reporting!$B$4,"Outside cutoff",IF(M521=1,"Closed",IF(J521=1,"Overdue","Open - within SLA")))</x:f>
        <x:v>Open - within SLA</x:v>
      </x:c>
    </x:row>
    <x:row r="522">
      <x:c r="A522" s="14" t="str">
        <x:v>CASE-00517</x:v>
      </x:c>
      <x:c r="B522" s="14" t="str">
        <x:v>Installation</x:v>
      </x:c>
      <x:c r="C522" s="14" t="str">
        <x:v>Missing evidence</x:v>
      </x:c>
      <x:c r="D522" s="14" t="str">
        <x:v>Medium</x:v>
      </x:c>
      <x:c r="E522" s="15" t="n">
        <x:v>46236.625</x:v>
      </x:c>
      <x:c r="F522" s="15" t="n">
        <x:v>46243.625</x:v>
      </x:c>
      <x:c r="G522" s="15" t="n">
        <x:v>46245.666666666664</x:v>
      </x:c>
      <x:c r="H522" s="14" t="n">
        <x:v>3</x:v>
      </x:c>
      <x:c r="I522" s="1" t="n">
        <x:f>IF(AND(E522&lt;Reporting!$B$4,OR(G522="",G522&gt;=Reporting!$B$4)),1,0)</x:f>
        <x:v>0</x:v>
      </x:c>
      <x:c r="J522" s="1" t="n">
        <x:f>IF(AND(I522=1,F522&lt;Reporting!$B$4),1,0)</x:f>
        <x:v>0</x:v>
      </x:c>
      <x:c r="K522" s="1" t="n">
        <x:f>IF(F522&lt;Reporting!$B$4,1,0)</x:f>
        <x:v>1</x:v>
      </x:c>
      <x:c r="L522" s="1" t="n">
        <x:f>IF(AND(K522=1,G522&lt;&gt;"",G522&lt;=F522),1,0)</x:f>
        <x:v>0</x:v>
      </x:c>
      <x:c r="M522" s="1" t="n">
        <x:f>IF(AND(G522&lt;&gt;"",G522&lt;Reporting!$B$4),1,0)</x:f>
        <x:v>1</x:v>
      </x:c>
      <x:c r="N522" s="16" t="n">
        <x:f>IF(M522=1,G522-E522,"")</x:f>
        <x:v>9.041666666664241</x:v>
      </x:c>
      <x:c r="O522" s="1" t="str">
        <x:f>IF(E522&gt;=Reporting!$B$4,"Outside cutoff",IF(M522=1,"Closed",IF(J522=1,"Overdue","Open - within SLA")))</x:f>
        <x:v>Closed</x:v>
      </x:c>
    </x:row>
    <x:row r="523">
      <x:c r="A523" s="14" t="str">
        <x:v>CASE-00518</x:v>
      </x:c>
      <x:c r="B523" s="14" t="str">
        <x:v>Customer Services</x:v>
      </x:c>
      <x:c r="C523" s="14" t="str">
        <x:v>Late review</x:v>
      </x:c>
      <x:c r="D523" s="14" t="str">
        <x:v>Medium</x:v>
      </x:c>
      <x:c r="E523" s="15" t="n">
        <x:v>46224.375</x:v>
      </x:c>
      <x:c r="F523" s="15" t="n">
        <x:v>46231.375</x:v>
      </x:c>
      <x:c r="G523" s="15" t="n">
        <x:v>46227.416666666664</x:v>
      </x:c>
      <x:c r="H523" s="14" t="n">
        <x:v>1</x:v>
      </x:c>
      <x:c r="I523" s="1" t="n">
        <x:f>IF(AND(E523&lt;Reporting!$B$4,OR(G523="",G523&gt;=Reporting!$B$4)),1,0)</x:f>
        <x:v>0</x:v>
      </x:c>
      <x:c r="J523" s="1" t="n">
        <x:f>IF(AND(I523=1,F523&lt;Reporting!$B$4),1,0)</x:f>
        <x:v>0</x:v>
      </x:c>
      <x:c r="K523" s="1" t="n">
        <x:f>IF(F523&lt;Reporting!$B$4,1,0)</x:f>
        <x:v>1</x:v>
      </x:c>
      <x:c r="L523" s="1" t="n">
        <x:f>IF(AND(K523=1,G523&lt;&gt;"",G523&lt;=F523),1,0)</x:f>
        <x:v>1</x:v>
      </x:c>
      <x:c r="M523" s="1" t="n">
        <x:f>IF(AND(G523&lt;&gt;"",G523&lt;Reporting!$B$4),1,0)</x:f>
        <x:v>1</x:v>
      </x:c>
      <x:c r="N523" s="16" t="n">
        <x:f>IF(M523=1,G523-E523,"")</x:f>
        <x:v>3.0416666666642413</x:v>
      </x:c>
      <x:c r="O523" s="1" t="str">
        <x:f>IF(E523&gt;=Reporting!$B$4,"Outside cutoff",IF(M523=1,"Closed",IF(J523=1,"Overdue","Open - within SLA")))</x:f>
        <x:v>Closed</x:v>
      </x:c>
    </x:row>
    <x:row r="524">
      <x:c r="A524" s="14" t="str">
        <x:v>CASE-00519</x:v>
      </x:c>
      <x:c r="B524" s="14" t="str">
        <x:v>Customer Services</x:v>
      </x:c>
      <x:c r="C524" s="14" t="str">
        <x:v>Process deviation</x:v>
      </x:c>
      <x:c r="D524" s="14" t="str">
        <x:v>Low</x:v>
      </x:c>
      <x:c r="E524" s="15" t="n">
        <x:v>46281.583333333336</x:v>
      </x:c>
      <x:c r="F524" s="15" t="n">
        <x:v>46295.583333333336</x:v>
      </x:c>
      <x:c r="G524" s="15"/>
      <x:c r="H524" s="14" t="n">
        <x:v>1</x:v>
      </x:c>
      <x:c r="I524" s="1" t="n">
        <x:f>IF(AND(E524&lt;Reporting!$B$4,OR(G524="",G524&gt;=Reporting!$B$4)),1,0)</x:f>
        <x:v>1</x:v>
      </x:c>
      <x:c r="J524" s="1" t="n">
        <x:f>IF(AND(I524=1,F524&lt;Reporting!$B$4),1,0)</x:f>
        <x:v>0</x:v>
      </x:c>
      <x:c r="K524" s="1" t="n">
        <x:f>IF(F524&lt;Reporting!$B$4,1,0)</x:f>
        <x:v>0</x:v>
      </x:c>
      <x:c r="L524" s="1" t="n">
        <x:f>IF(AND(K524=1,G524&lt;&gt;"",G524&lt;=F524),1,0)</x:f>
        <x:v>0</x:v>
      </x:c>
      <x:c r="M524" s="1" t="n">
        <x:f>IF(AND(G524&lt;&gt;"",G524&lt;Reporting!$B$4),1,0)</x:f>
        <x:v>0</x:v>
      </x:c>
      <x:c r="N524" s="16" t="str">
        <x:f>IF(M524=1,G524-E524,"")</x:f>
      </x:c>
      <x:c r="O524" s="1" t="str">
        <x:f>IF(E524&gt;=Reporting!$B$4,"Outside cutoff",IF(M524=1,"Closed",IF(J524=1,"Overdue","Open - within SLA")))</x:f>
        <x:v>Open - within SLA</x:v>
      </x:c>
    </x:row>
    <x:row r="525">
      <x:c r="A525" s="14" t="str">
        <x:v>CASE-00520</x:v>
      </x:c>
      <x:c r="B525" s="14" t="str">
        <x:v>Customer Services</x:v>
      </x:c>
      <x:c r="C525" s="14" t="str">
        <x:v>Late review</x:v>
      </x:c>
      <x:c r="D525" s="14" t="str">
        <x:v>Medium</x:v>
      </x:c>
      <x:c r="E525" s="15" t="n">
        <x:v>46212.375</x:v>
      </x:c>
      <x:c r="F525" s="15" t="n">
        <x:v>46219.375</x:v>
      </x:c>
      <x:c r="G525" s="15" t="n">
        <x:v>46222.416666666664</x:v>
      </x:c>
      <x:c r="H525" s="14" t="n">
        <x:v>1</x:v>
      </x:c>
      <x:c r="I525" s="1" t="n">
        <x:f>IF(AND(E525&lt;Reporting!$B$4,OR(G525="",G525&gt;=Reporting!$B$4)),1,0)</x:f>
        <x:v>0</x:v>
      </x:c>
      <x:c r="J525" s="1" t="n">
        <x:f>IF(AND(I525=1,F525&lt;Reporting!$B$4),1,0)</x:f>
        <x:v>0</x:v>
      </x:c>
      <x:c r="K525" s="1" t="n">
        <x:f>IF(F525&lt;Reporting!$B$4,1,0)</x:f>
        <x:v>1</x:v>
      </x:c>
      <x:c r="L525" s="1" t="n">
        <x:f>IF(AND(K525=1,G525&lt;&gt;"",G525&lt;=F525),1,0)</x:f>
        <x:v>0</x:v>
      </x:c>
      <x:c r="M525" s="1" t="n">
        <x:f>IF(AND(G525&lt;&gt;"",G525&lt;Reporting!$B$4),1,0)</x:f>
        <x:v>1</x:v>
      </x:c>
      <x:c r="N525" s="16" t="n">
        <x:f>IF(M525=1,G525-E525,"")</x:f>
        <x:v>10.041666666664241</x:v>
      </x:c>
      <x:c r="O525" s="1" t="str">
        <x:f>IF(E525&gt;=Reporting!$B$4,"Outside cutoff",IF(M525=1,"Closed",IF(J525=1,"Overdue","Open - within SLA")))</x:f>
        <x:v>Closed</x:v>
      </x:c>
    </x:row>
    <x:row r="526">
      <x:c r="A526" s="14" t="str">
        <x:v>CASE-00521</x:v>
      </x:c>
      <x:c r="B526" s="14" t="str">
        <x:v>Warehouse</x:v>
      </x:c>
      <x:c r="C526" s="14" t="str">
        <x:v>Process deviation</x:v>
      </x:c>
      <x:c r="D526" s="14" t="str">
        <x:v>Medium</x:v>
      </x:c>
      <x:c r="E526" s="15" t="n">
        <x:v>46284.666666666664</x:v>
      </x:c>
      <x:c r="F526" s="15" t="n">
        <x:v>46291.666666666664</x:v>
      </x:c>
      <x:c r="G526" s="15"/>
      <x:c r="H526" s="14" t="n">
        <x:v>2</x:v>
      </x:c>
      <x:c r="I526" s="1" t="n">
        <x:f>IF(AND(E526&lt;Reporting!$B$4,OR(G526="",G526&gt;=Reporting!$B$4)),1,0)</x:f>
        <x:v>1</x:v>
      </x:c>
      <x:c r="J526" s="1" t="n">
        <x:f>IF(AND(I526=1,F526&lt;Reporting!$B$4),1,0)</x:f>
        <x:v>0</x:v>
      </x:c>
      <x:c r="K526" s="1" t="n">
        <x:f>IF(F526&lt;Reporting!$B$4,1,0)</x:f>
        <x:v>0</x:v>
      </x:c>
      <x:c r="L526" s="1" t="n">
        <x:f>IF(AND(K526=1,G526&lt;&gt;"",G526&lt;=F526),1,0)</x:f>
        <x:v>0</x:v>
      </x:c>
      <x:c r="M526" s="1" t="n">
        <x:f>IF(AND(G526&lt;&gt;"",G526&lt;Reporting!$B$4),1,0)</x:f>
        <x:v>0</x:v>
      </x:c>
      <x:c r="N526" s="16" t="str">
        <x:f>IF(M526=1,G526-E526,"")</x:f>
      </x:c>
      <x:c r="O526" s="1" t="str">
        <x:f>IF(E526&gt;=Reporting!$B$4,"Outside cutoff",IF(M526=1,"Closed",IF(J526=1,"Overdue","Open - within SLA")))</x:f>
        <x:v>Open - within SLA</x:v>
      </x:c>
    </x:row>
    <x:row r="527">
      <x:c r="A527" s="14" t="str">
        <x:v>CASE-00522</x:v>
      </x:c>
      <x:c r="B527" s="14" t="str">
        <x:v>Warehouse</x:v>
      </x:c>
      <x:c r="C527" s="14" t="str">
        <x:v>Missing evidence</x:v>
      </x:c>
      <x:c r="D527" s="14" t="str">
        <x:v>Medium</x:v>
      </x:c>
      <x:c r="E527" s="15" t="n">
        <x:v>46263.666666666664</x:v>
      </x:c>
      <x:c r="F527" s="15" t="n">
        <x:v>46270.666666666664</x:v>
      </x:c>
      <x:c r="G527" s="15" t="n">
        <x:v>46280.666666666664</x:v>
      </x:c>
      <x:c r="H527" s="14" t="n">
        <x:v>2</x:v>
      </x:c>
      <x:c r="I527" s="1" t="n">
        <x:f>IF(AND(E527&lt;Reporting!$B$4,OR(G527="",G527&gt;=Reporting!$B$4)),1,0)</x:f>
        <x:v>0</x:v>
      </x:c>
      <x:c r="J527" s="1" t="n">
        <x:f>IF(AND(I527=1,F527&lt;Reporting!$B$4),1,0)</x:f>
        <x:v>0</x:v>
      </x:c>
      <x:c r="K527" s="1" t="n">
        <x:f>IF(F527&lt;Reporting!$B$4,1,0)</x:f>
        <x:v>1</x:v>
      </x:c>
      <x:c r="L527" s="1" t="n">
        <x:f>IF(AND(K527=1,G527&lt;&gt;"",G527&lt;=F527),1,0)</x:f>
        <x:v>0</x:v>
      </x:c>
      <x:c r="M527" s="1" t="n">
        <x:f>IF(AND(G527&lt;&gt;"",G527&lt;Reporting!$B$4),1,0)</x:f>
        <x:v>1</x:v>
      </x:c>
      <x:c r="N527" s="16" t="n">
        <x:f>IF(M527=1,G527-E527,"")</x:f>
        <x:v>17</x:v>
      </x:c>
      <x:c r="O527" s="1" t="str">
        <x:f>IF(E527&gt;=Reporting!$B$4,"Outside cutoff",IF(M527=1,"Closed",IF(J527=1,"Overdue","Open - within SLA")))</x:f>
        <x:v>Closed</x:v>
      </x:c>
    </x:row>
    <x:row r="528">
      <x:c r="A528" s="14" t="str">
        <x:v>CASE-00523</x:v>
      </x:c>
      <x:c r="B528" s="14" t="str">
        <x:v>Customer Services</x:v>
      </x:c>
      <x:c r="C528" s="14" t="str">
        <x:v>Missing evidence</x:v>
      </x:c>
      <x:c r="D528" s="14" t="str">
        <x:v>Medium</x:v>
      </x:c>
      <x:c r="E528" s="15" t="n">
        <x:v>46252.458333333336</x:v>
      </x:c>
      <x:c r="F528" s="15" t="n">
        <x:v>46259.458333333336</x:v>
      </x:c>
      <x:c r="G528" s="15" t="n">
        <x:v>46264.5</x:v>
      </x:c>
      <x:c r="H528" s="14" t="n">
        <x:v>1</x:v>
      </x:c>
      <x:c r="I528" s="1" t="n">
        <x:f>IF(AND(E528&lt;Reporting!$B$4,OR(G528="",G528&gt;=Reporting!$B$4)),1,0)</x:f>
        <x:v>0</x:v>
      </x:c>
      <x:c r="J528" s="1" t="n">
        <x:f>IF(AND(I528=1,F528&lt;Reporting!$B$4),1,0)</x:f>
        <x:v>0</x:v>
      </x:c>
      <x:c r="K528" s="1" t="n">
        <x:f>IF(F528&lt;Reporting!$B$4,1,0)</x:f>
        <x:v>1</x:v>
      </x:c>
      <x:c r="L528" s="1" t="n">
        <x:f>IF(AND(K528=1,G528&lt;&gt;"",G528&lt;=F528),1,0)</x:f>
        <x:v>0</x:v>
      </x:c>
      <x:c r="M528" s="1" t="n">
        <x:f>IF(AND(G528&lt;&gt;"",G528&lt;Reporting!$B$4),1,0)</x:f>
        <x:v>1</x:v>
      </x:c>
      <x:c r="N528" s="16" t="n">
        <x:f>IF(M528=1,G528-E528,"")</x:f>
        <x:v>12.041666666664241</x:v>
      </x:c>
      <x:c r="O528" s="1" t="str">
        <x:f>IF(E528&gt;=Reporting!$B$4,"Outside cutoff",IF(M528=1,"Closed",IF(J528=1,"Overdue","Open - within SLA")))</x:f>
        <x:v>Closed</x:v>
      </x:c>
    </x:row>
    <x:row r="529">
      <x:c r="A529" s="14" t="str">
        <x:v>CASE-00524</x:v>
      </x:c>
      <x:c r="B529" s="14" t="str">
        <x:v>Installation</x:v>
      </x:c>
      <x:c r="C529" s="14" t="str">
        <x:v>Process deviation</x:v>
      </x:c>
      <x:c r="D529" s="14" t="str">
        <x:v>High</x:v>
      </x:c>
      <x:c r="E529" s="15" t="n">
        <x:v>46261.666666666664</x:v>
      </x:c>
      <x:c r="F529" s="15" t="n">
        <x:v>46264.666666666664</x:v>
      </x:c>
      <x:c r="G529" s="15" t="n">
        <x:v>46273.666666666664</x:v>
      </x:c>
      <x:c r="H529" s="14" t="n">
        <x:v>3</x:v>
      </x:c>
      <x:c r="I529" s="1" t="n">
        <x:f>IF(AND(E529&lt;Reporting!$B$4,OR(G529="",G529&gt;=Reporting!$B$4)),1,0)</x:f>
        <x:v>0</x:v>
      </x:c>
      <x:c r="J529" s="1" t="n">
        <x:f>IF(AND(I529=1,F529&lt;Reporting!$B$4),1,0)</x:f>
        <x:v>0</x:v>
      </x:c>
      <x:c r="K529" s="1" t="n">
        <x:f>IF(F529&lt;Reporting!$B$4,1,0)</x:f>
        <x:v>1</x:v>
      </x:c>
      <x:c r="L529" s="1" t="n">
        <x:f>IF(AND(K529=1,G529&lt;&gt;"",G529&lt;=F529),1,0)</x:f>
        <x:v>0</x:v>
      </x:c>
      <x:c r="M529" s="1" t="n">
        <x:f>IF(AND(G529&lt;&gt;"",G529&lt;Reporting!$B$4),1,0)</x:f>
        <x:v>1</x:v>
      </x:c>
      <x:c r="N529" s="16" t="n">
        <x:f>IF(M529=1,G529-E529,"")</x:f>
        <x:v>12</x:v>
      </x:c>
      <x:c r="O529" s="1" t="str">
        <x:f>IF(E529&gt;=Reporting!$B$4,"Outside cutoff",IF(M529=1,"Closed",IF(J529=1,"Overdue","Open - within SLA")))</x:f>
        <x:v>Closed</x:v>
      </x:c>
    </x:row>
    <x:row r="530">
      <x:c r="A530" s="14" t="str">
        <x:v>CASE-00525</x:v>
      </x:c>
      <x:c r="B530" s="14" t="str">
        <x:v>Installation</x:v>
      </x:c>
      <x:c r="C530" s="14" t="str">
        <x:v>Late review</x:v>
      </x:c>
      <x:c r="D530" s="14" t="str">
        <x:v>Medium</x:v>
      </x:c>
      <x:c r="E530" s="15" t="n">
        <x:v>46269.583333333336</x:v>
      </x:c>
      <x:c r="F530" s="15" t="n">
        <x:v>46276.583333333336</x:v>
      </x:c>
      <x:c r="G530" s="15" t="n">
        <x:v>46270.583333333336</x:v>
      </x:c>
      <x:c r="H530" s="14" t="n">
        <x:v>3</x:v>
      </x:c>
      <x:c r="I530" s="1" t="n">
        <x:f>IF(AND(E530&lt;Reporting!$B$4,OR(G530="",G530&gt;=Reporting!$B$4)),1,0)</x:f>
        <x:v>0</x:v>
      </x:c>
      <x:c r="J530" s="1" t="n">
        <x:f>IF(AND(I530=1,F530&lt;Reporting!$B$4),1,0)</x:f>
        <x:v>0</x:v>
      </x:c>
      <x:c r="K530" s="1" t="n">
        <x:f>IF(F530&lt;Reporting!$B$4,1,0)</x:f>
        <x:v>1</x:v>
      </x:c>
      <x:c r="L530" s="1" t="n">
        <x:f>IF(AND(K530=1,G530&lt;&gt;"",G530&lt;=F530),1,0)</x:f>
        <x:v>1</x:v>
      </x:c>
      <x:c r="M530" s="1" t="n">
        <x:f>IF(AND(G530&lt;&gt;"",G530&lt;Reporting!$B$4),1,0)</x:f>
        <x:v>1</x:v>
      </x:c>
      <x:c r="N530" s="16" t="n">
        <x:f>IF(M530=1,G530-E530,"")</x:f>
        <x:v>1</x:v>
      </x:c>
      <x:c r="O530" s="1" t="str">
        <x:f>IF(E530&gt;=Reporting!$B$4,"Outside cutoff",IF(M530=1,"Closed",IF(J530=1,"Overdue","Open - within SLA")))</x:f>
        <x:v>Closed</x:v>
      </x:c>
    </x:row>
    <x:row r="531">
      <x:c r="A531" s="14" t="str">
        <x:v>CASE-00526</x:v>
      </x:c>
      <x:c r="B531" s="14" t="str">
        <x:v>Customer Services</x:v>
      </x:c>
      <x:c r="C531" s="14" t="str">
        <x:v>Record mismatch</x:v>
      </x:c>
      <x:c r="D531" s="14" t="str">
        <x:v>Medium</x:v>
      </x:c>
      <x:c r="E531" s="15" t="n">
        <x:v>46248.458333333336</x:v>
      </x:c>
      <x:c r="F531" s="15" t="n">
        <x:v>46255.458333333336</x:v>
      </x:c>
      <x:c r="G531" s="15" t="n">
        <x:v>46253.541666666664</x:v>
      </x:c>
      <x:c r="H531" s="14" t="n">
        <x:v>1</x:v>
      </x:c>
      <x:c r="I531" s="1" t="n">
        <x:f>IF(AND(E531&lt;Reporting!$B$4,OR(G531="",G531&gt;=Reporting!$B$4)),1,0)</x:f>
        <x:v>0</x:v>
      </x:c>
      <x:c r="J531" s="1" t="n">
        <x:f>IF(AND(I531=1,F531&lt;Reporting!$B$4),1,0)</x:f>
        <x:v>0</x:v>
      </x:c>
      <x:c r="K531" s="1" t="n">
        <x:f>IF(F531&lt;Reporting!$B$4,1,0)</x:f>
        <x:v>1</x:v>
      </x:c>
      <x:c r="L531" s="1" t="n">
        <x:f>IF(AND(K531=1,G531&lt;&gt;"",G531&lt;=F531),1,0)</x:f>
        <x:v>1</x:v>
      </x:c>
      <x:c r="M531" s="1" t="n">
        <x:f>IF(AND(G531&lt;&gt;"",G531&lt;Reporting!$B$4),1,0)</x:f>
        <x:v>1</x:v>
      </x:c>
      <x:c r="N531" s="16" t="n">
        <x:f>IF(M531=1,G531-E531,"")</x:f>
        <x:v>5.083333333328483</x:v>
      </x:c>
      <x:c r="O531" s="1" t="str">
        <x:f>IF(E531&gt;=Reporting!$B$4,"Outside cutoff",IF(M531=1,"Closed",IF(J531=1,"Overdue","Open - within SLA")))</x:f>
        <x:v>Closed</x:v>
      </x:c>
    </x:row>
    <x:row r="532">
      <x:c r="A532" s="14" t="str">
        <x:v>CASE-00527</x:v>
      </x:c>
      <x:c r="B532" s="14" t="str">
        <x:v>Warehouse</x:v>
      </x:c>
      <x:c r="C532" s="14" t="str">
        <x:v>Record mismatch</x:v>
      </x:c>
      <x:c r="D532" s="14" t="str">
        <x:v>High</x:v>
      </x:c>
      <x:c r="E532" s="15" t="n">
        <x:v>46269.583333333336</x:v>
      </x:c>
      <x:c r="F532" s="15" t="n">
        <x:v>46272.583333333336</x:v>
      </x:c>
      <x:c r="G532" s="15"/>
      <x:c r="H532" s="14" t="n">
        <x:v>2</x:v>
      </x:c>
      <x:c r="I532" s="1" t="n">
        <x:f>IF(AND(E532&lt;Reporting!$B$4,OR(G532="",G532&gt;=Reporting!$B$4)),1,0)</x:f>
        <x:v>1</x:v>
      </x:c>
      <x:c r="J532" s="1" t="n">
        <x:f>IF(AND(I532=1,F532&lt;Reporting!$B$4),1,0)</x:f>
        <x:v>1</x:v>
      </x:c>
      <x:c r="K532" s="1" t="n">
        <x:f>IF(F532&lt;Reporting!$B$4,1,0)</x:f>
        <x:v>1</x:v>
      </x:c>
      <x:c r="L532" s="1" t="n">
        <x:f>IF(AND(K532=1,G532&lt;&gt;"",G532&lt;=F532),1,0)</x:f>
        <x:v>0</x:v>
      </x:c>
      <x:c r="M532" s="1" t="n">
        <x:f>IF(AND(G532&lt;&gt;"",G532&lt;Reporting!$B$4),1,0)</x:f>
        <x:v>0</x:v>
      </x:c>
      <x:c r="N532" s="16" t="str">
        <x:f>IF(M532=1,G532-E532,"")</x:f>
      </x:c>
      <x:c r="O532" s="1" t="str">
        <x:f>IF(E532&gt;=Reporting!$B$4,"Outside cutoff",IF(M532=1,"Closed",IF(J532=1,"Overdue","Open - within SLA")))</x:f>
        <x:v>Overdue</x:v>
      </x:c>
    </x:row>
    <x:row r="533">
      <x:c r="A533" s="14" t="str">
        <x:v>CASE-00528</x:v>
      </x:c>
      <x:c r="B533" s="14" t="str">
        <x:v>Warehouse</x:v>
      </x:c>
      <x:c r="C533" s="14" t="str">
        <x:v>Missing evidence</x:v>
      </x:c>
      <x:c r="D533" s="14" t="str">
        <x:v>Low</x:v>
      </x:c>
      <x:c r="E533" s="15" t="n">
        <x:v>46282.666666666664</x:v>
      </x:c>
      <x:c r="F533" s="15" t="n">
        <x:v>46296.666666666664</x:v>
      </x:c>
      <x:c r="G533" s="15"/>
      <x:c r="H533" s="14" t="n">
        <x:v>2</x:v>
      </x:c>
      <x:c r="I533" s="1" t="n">
        <x:f>IF(AND(E533&lt;Reporting!$B$4,OR(G533="",G533&gt;=Reporting!$B$4)),1,0)</x:f>
        <x:v>1</x:v>
      </x:c>
      <x:c r="J533" s="1" t="n">
        <x:f>IF(AND(I533=1,F533&lt;Reporting!$B$4),1,0)</x:f>
        <x:v>0</x:v>
      </x:c>
      <x:c r="K533" s="1" t="n">
        <x:f>IF(F533&lt;Reporting!$B$4,1,0)</x:f>
        <x:v>0</x:v>
      </x:c>
      <x:c r="L533" s="1" t="n">
        <x:f>IF(AND(K533=1,G533&lt;&gt;"",G533&lt;=F533),1,0)</x:f>
        <x:v>0</x:v>
      </x:c>
      <x:c r="M533" s="1" t="n">
        <x:f>IF(AND(G533&lt;&gt;"",G533&lt;Reporting!$B$4),1,0)</x:f>
        <x:v>0</x:v>
      </x:c>
      <x:c r="N533" s="16" t="str">
        <x:f>IF(M533=1,G533-E533,"")</x:f>
      </x:c>
      <x:c r="O533" s="1" t="str">
        <x:f>IF(E533&gt;=Reporting!$B$4,"Outside cutoff",IF(M533=1,"Closed",IF(J533=1,"Overdue","Open - within SLA")))</x:f>
        <x:v>Open - within SLA</x:v>
      </x:c>
    </x:row>
    <x:row r="534">
      <x:c r="A534" s="14" t="str">
        <x:v>CASE-00529</x:v>
      </x:c>
      <x:c r="B534" s="14" t="str">
        <x:v>Customer Services</x:v>
      </x:c>
      <x:c r="C534" s="14" t="str">
        <x:v>Missing evidence</x:v>
      </x:c>
      <x:c r="D534" s="14" t="str">
        <x:v>High</x:v>
      </x:c>
      <x:c r="E534" s="15" t="n">
        <x:v>46251.5</x:v>
      </x:c>
      <x:c r="F534" s="15" t="n">
        <x:v>46254.5</x:v>
      </x:c>
      <x:c r="G534" s="15" t="n">
        <x:v>46268.541666666664</x:v>
      </x:c>
      <x:c r="H534" s="14" t="n">
        <x:v>1</x:v>
      </x:c>
      <x:c r="I534" s="1" t="n">
        <x:f>IF(AND(E534&lt;Reporting!$B$4,OR(G534="",G534&gt;=Reporting!$B$4)),1,0)</x:f>
        <x:v>0</x:v>
      </x:c>
      <x:c r="J534" s="1" t="n">
        <x:f>IF(AND(I534=1,F534&lt;Reporting!$B$4),1,0)</x:f>
        <x:v>0</x:v>
      </x:c>
      <x:c r="K534" s="1" t="n">
        <x:f>IF(F534&lt;Reporting!$B$4,1,0)</x:f>
        <x:v>1</x:v>
      </x:c>
      <x:c r="L534" s="1" t="n">
        <x:f>IF(AND(K534=1,G534&lt;&gt;"",G534&lt;=F534),1,0)</x:f>
        <x:v>0</x:v>
      </x:c>
      <x:c r="M534" s="1" t="n">
        <x:f>IF(AND(G534&lt;&gt;"",G534&lt;Reporting!$B$4),1,0)</x:f>
        <x:v>1</x:v>
      </x:c>
      <x:c r="N534" s="16" t="n">
        <x:f>IF(M534=1,G534-E534,"")</x:f>
        <x:v>17.04166666666424</x:v>
      </x:c>
      <x:c r="O534" s="1" t="str">
        <x:f>IF(E534&gt;=Reporting!$B$4,"Outside cutoff",IF(M534=1,"Closed",IF(J534=1,"Overdue","Open - within SLA")))</x:f>
        <x:v>Closed</x:v>
      </x:c>
    </x:row>
    <x:row r="535">
      <x:c r="A535" s="14" t="str">
        <x:v>CASE-00530</x:v>
      </x:c>
      <x:c r="B535" s="14" t="str">
        <x:v>Installation</x:v>
      </x:c>
      <x:c r="C535" s="14" t="str">
        <x:v>Record mismatch</x:v>
      </x:c>
      <x:c r="D535" s="14" t="str">
        <x:v>Medium</x:v>
      </x:c>
      <x:c r="E535" s="15" t="n">
        <x:v>46257.541666666664</x:v>
      </x:c>
      <x:c r="F535" s="15" t="n">
        <x:v>46264.541666666664</x:v>
      </x:c>
      <x:c r="G535" s="15" t="n">
        <x:v>46274.541666666664</x:v>
      </x:c>
      <x:c r="H535" s="14" t="n">
        <x:v>3</x:v>
      </x:c>
      <x:c r="I535" s="1" t="n">
        <x:f>IF(AND(E535&lt;Reporting!$B$4,OR(G535="",G535&gt;=Reporting!$B$4)),1,0)</x:f>
        <x:v>0</x:v>
      </x:c>
      <x:c r="J535" s="1" t="n">
        <x:f>IF(AND(I535=1,F535&lt;Reporting!$B$4),1,0)</x:f>
        <x:v>0</x:v>
      </x:c>
      <x:c r="K535" s="1" t="n">
        <x:f>IF(F535&lt;Reporting!$B$4,1,0)</x:f>
        <x:v>1</x:v>
      </x:c>
      <x:c r="L535" s="1" t="n">
        <x:f>IF(AND(K535=1,G535&lt;&gt;"",G535&lt;=F535),1,0)</x:f>
        <x:v>0</x:v>
      </x:c>
      <x:c r="M535" s="1" t="n">
        <x:f>IF(AND(G535&lt;&gt;"",G535&lt;Reporting!$B$4),1,0)</x:f>
        <x:v>1</x:v>
      </x:c>
      <x:c r="N535" s="16" t="n">
        <x:f>IF(M535=1,G535-E535,"")</x:f>
        <x:v>17</x:v>
      </x:c>
      <x:c r="O535" s="1" t="str">
        <x:f>IF(E535&gt;=Reporting!$B$4,"Outside cutoff",IF(M535=1,"Closed",IF(J535=1,"Overdue","Open - within SLA")))</x:f>
        <x:v>Closed</x:v>
      </x:c>
    </x:row>
    <x:row r="536">
      <x:c r="A536" s="14" t="str">
        <x:v>CASE-00531</x:v>
      </x:c>
      <x:c r="B536" s="14" t="str">
        <x:v>Customer Services</x:v>
      </x:c>
      <x:c r="C536" s="14" t="str">
        <x:v>Late review</x:v>
      </x:c>
      <x:c r="D536" s="14" t="str">
        <x:v>Medium</x:v>
      </x:c>
      <x:c r="E536" s="15" t="n">
        <x:v>46235.458333333336</x:v>
      </x:c>
      <x:c r="F536" s="15" t="n">
        <x:v>46242.458333333336</x:v>
      </x:c>
      <x:c r="G536" s="15" t="n">
        <x:v>46244.458333333336</x:v>
      </x:c>
      <x:c r="H536" s="14" t="n">
        <x:v>1</x:v>
      </x:c>
      <x:c r="I536" s="1" t="n">
        <x:f>IF(AND(E536&lt;Reporting!$B$4,OR(G536="",G536&gt;=Reporting!$B$4)),1,0)</x:f>
        <x:v>0</x:v>
      </x:c>
      <x:c r="J536" s="1" t="n">
        <x:f>IF(AND(I536=1,F536&lt;Reporting!$B$4),1,0)</x:f>
        <x:v>0</x:v>
      </x:c>
      <x:c r="K536" s="1" t="n">
        <x:f>IF(F536&lt;Reporting!$B$4,1,0)</x:f>
        <x:v>1</x:v>
      </x:c>
      <x:c r="L536" s="1" t="n">
        <x:f>IF(AND(K536=1,G536&lt;&gt;"",G536&lt;=F536),1,0)</x:f>
        <x:v>0</x:v>
      </x:c>
      <x:c r="M536" s="1" t="n">
        <x:f>IF(AND(G536&lt;&gt;"",G536&lt;Reporting!$B$4),1,0)</x:f>
        <x:v>1</x:v>
      </x:c>
      <x:c r="N536" s="16" t="n">
        <x:f>IF(M536=1,G536-E536,"")</x:f>
        <x:v>9</x:v>
      </x:c>
      <x:c r="O536" s="1" t="str">
        <x:f>IF(E536&gt;=Reporting!$B$4,"Outside cutoff",IF(M536=1,"Closed",IF(J536=1,"Overdue","Open - within SLA")))</x:f>
        <x:v>Closed</x:v>
      </x:c>
    </x:row>
    <x:row r="537">
      <x:c r="A537" s="14" t="str">
        <x:v>CASE-00532</x:v>
      </x:c>
      <x:c r="B537" s="14" t="str">
        <x:v>Customer Services</x:v>
      </x:c>
      <x:c r="C537" s="14" t="str">
        <x:v>Missing evidence</x:v>
      </x:c>
      <x:c r="D537" s="14" t="str">
        <x:v>Low</x:v>
      </x:c>
      <x:c r="E537" s="15" t="n">
        <x:v>46274.666666666664</x:v>
      </x:c>
      <x:c r="F537" s="15" t="n">
        <x:v>46288.666666666664</x:v>
      </x:c>
      <x:c r="G537" s="15" t="n">
        <x:v>46285.666666666664</x:v>
      </x:c>
      <x:c r="H537" s="14" t="n">
        <x:v>1</x:v>
      </x:c>
      <x:c r="I537" s="1" t="n">
        <x:f>IF(AND(E537&lt;Reporting!$B$4,OR(G537="",G537&gt;=Reporting!$B$4)),1,0)</x:f>
        <x:v>0</x:v>
      </x:c>
      <x:c r="J537" s="1" t="n">
        <x:f>IF(AND(I537=1,F537&lt;Reporting!$B$4),1,0)</x:f>
        <x:v>0</x:v>
      </x:c>
      <x:c r="K537" s="1" t="n">
        <x:f>IF(F537&lt;Reporting!$B$4,1,0)</x:f>
        <x:v>0</x:v>
      </x:c>
      <x:c r="L537" s="1" t="n">
        <x:f>IF(AND(K537=1,G537&lt;&gt;"",G537&lt;=F537),1,0)</x:f>
        <x:v>0</x:v>
      </x:c>
      <x:c r="M537" s="1" t="n">
        <x:f>IF(AND(G537&lt;&gt;"",G537&lt;Reporting!$B$4),1,0)</x:f>
        <x:v>1</x:v>
      </x:c>
      <x:c r="N537" s="16" t="n">
        <x:f>IF(M537=1,G537-E537,"")</x:f>
        <x:v>11</x:v>
      </x:c>
      <x:c r="O537" s="1" t="str">
        <x:f>IF(E537&gt;=Reporting!$B$4,"Outside cutoff",IF(M537=1,"Closed",IF(J537=1,"Overdue","Open - within SLA")))</x:f>
        <x:v>Closed</x:v>
      </x:c>
    </x:row>
    <x:row r="538">
      <x:c r="A538" s="14" t="str">
        <x:v>CASE-00533</x:v>
      </x:c>
      <x:c r="B538" s="14" t="str">
        <x:v>Customer Services</x:v>
      </x:c>
      <x:c r="C538" s="14" t="str">
        <x:v>Late review</x:v>
      </x:c>
      <x:c r="D538" s="14" t="str">
        <x:v>Medium</x:v>
      </x:c>
      <x:c r="E538" s="15" t="n">
        <x:v>46276.458333333336</x:v>
      </x:c>
      <x:c r="F538" s="15" t="n">
        <x:v>46283.458333333336</x:v>
      </x:c>
      <x:c r="G538" s="15" t="n">
        <x:v>46281.541666666664</x:v>
      </x:c>
      <x:c r="H538" s="14" t="n">
        <x:v>1</x:v>
      </x:c>
      <x:c r="I538" s="1" t="n">
        <x:f>IF(AND(E538&lt;Reporting!$B$4,OR(G538="",G538&gt;=Reporting!$B$4)),1,0)</x:f>
        <x:v>0</x:v>
      </x:c>
      <x:c r="J538" s="1" t="n">
        <x:f>IF(AND(I538=1,F538&lt;Reporting!$B$4),1,0)</x:f>
        <x:v>0</x:v>
      </x:c>
      <x:c r="K538" s="1" t="n">
        <x:f>IF(F538&lt;Reporting!$B$4,1,0)</x:f>
        <x:v>1</x:v>
      </x:c>
      <x:c r="L538" s="1" t="n">
        <x:f>IF(AND(K538=1,G538&lt;&gt;"",G538&lt;=F538),1,0)</x:f>
        <x:v>1</x:v>
      </x:c>
      <x:c r="M538" s="1" t="n">
        <x:f>IF(AND(G538&lt;&gt;"",G538&lt;Reporting!$B$4),1,0)</x:f>
        <x:v>1</x:v>
      </x:c>
      <x:c r="N538" s="16" t="n">
        <x:f>IF(M538=1,G538-E538,"")</x:f>
        <x:v>5.083333333328483</x:v>
      </x:c>
      <x:c r="O538" s="1" t="str">
        <x:f>IF(E538&gt;=Reporting!$B$4,"Outside cutoff",IF(M538=1,"Closed",IF(J538=1,"Overdue","Open - within SLA")))</x:f>
        <x:v>Closed</x:v>
      </x:c>
    </x:row>
    <x:row r="539">
      <x:c r="A539" s="14" t="str">
        <x:v>CASE-00534</x:v>
      </x:c>
      <x:c r="B539" s="14" t="str">
        <x:v>Warehouse</x:v>
      </x:c>
      <x:c r="C539" s="14" t="str">
        <x:v>Missing evidence</x:v>
      </x:c>
      <x:c r="D539" s="14" t="str">
        <x:v>Medium</x:v>
      </x:c>
      <x:c r="E539" s="15" t="n">
        <x:v>46216.625</x:v>
      </x:c>
      <x:c r="F539" s="15" t="n">
        <x:v>46223.625</x:v>
      </x:c>
      <x:c r="G539" s="15" t="n">
        <x:v>46233.625</x:v>
      </x:c>
      <x:c r="H539" s="14" t="n">
        <x:v>2</x:v>
      </x:c>
      <x:c r="I539" s="1" t="n">
        <x:f>IF(AND(E539&lt;Reporting!$B$4,OR(G539="",G539&gt;=Reporting!$B$4)),1,0)</x:f>
        <x:v>0</x:v>
      </x:c>
      <x:c r="J539" s="1" t="n">
        <x:f>IF(AND(I539=1,F539&lt;Reporting!$B$4),1,0)</x:f>
        <x:v>0</x:v>
      </x:c>
      <x:c r="K539" s="1" t="n">
        <x:f>IF(F539&lt;Reporting!$B$4,1,0)</x:f>
        <x:v>1</x:v>
      </x:c>
      <x:c r="L539" s="1" t="n">
        <x:f>IF(AND(K539=1,G539&lt;&gt;"",G539&lt;=F539),1,0)</x:f>
        <x:v>0</x:v>
      </x:c>
      <x:c r="M539" s="1" t="n">
        <x:f>IF(AND(G539&lt;&gt;"",G539&lt;Reporting!$B$4),1,0)</x:f>
        <x:v>1</x:v>
      </x:c>
      <x:c r="N539" s="16" t="n">
        <x:f>IF(M539=1,G539-E539,"")</x:f>
        <x:v>17</x:v>
      </x:c>
      <x:c r="O539" s="1" t="str">
        <x:f>IF(E539&gt;=Reporting!$B$4,"Outside cutoff",IF(M539=1,"Closed",IF(J539=1,"Overdue","Open - within SLA")))</x:f>
        <x:v>Closed</x:v>
      </x:c>
    </x:row>
    <x:row r="540">
      <x:c r="A540" s="14" t="str">
        <x:v>CASE-00535</x:v>
      </x:c>
      <x:c r="B540" s="14" t="str">
        <x:v>Warehouse</x:v>
      </x:c>
      <x:c r="C540" s="14" t="str">
        <x:v>Missing evidence</x:v>
      </x:c>
      <x:c r="D540" s="14" t="str">
        <x:v>Medium</x:v>
      </x:c>
      <x:c r="E540" s="15" t="n">
        <x:v>46226.583333333336</x:v>
      </x:c>
      <x:c r="F540" s="15" t="n">
        <x:v>46233.583333333336</x:v>
      </x:c>
      <x:c r="G540" s="15" t="n">
        <x:v>46239.666666666664</x:v>
      </x:c>
      <x:c r="H540" s="14" t="n">
        <x:v>2</x:v>
      </x:c>
      <x:c r="I540" s="1" t="n">
        <x:f>IF(AND(E540&lt;Reporting!$B$4,OR(G540="",G540&gt;=Reporting!$B$4)),1,0)</x:f>
        <x:v>0</x:v>
      </x:c>
      <x:c r="J540" s="1" t="n">
        <x:f>IF(AND(I540=1,F540&lt;Reporting!$B$4),1,0)</x:f>
        <x:v>0</x:v>
      </x:c>
      <x:c r="K540" s="1" t="n">
        <x:f>IF(F540&lt;Reporting!$B$4,1,0)</x:f>
        <x:v>1</x:v>
      </x:c>
      <x:c r="L540" s="1" t="n">
        <x:f>IF(AND(K540=1,G540&lt;&gt;"",G540&lt;=F540),1,0)</x:f>
        <x:v>0</x:v>
      </x:c>
      <x:c r="M540" s="1" t="n">
        <x:f>IF(AND(G540&lt;&gt;"",G540&lt;Reporting!$B$4),1,0)</x:f>
        <x:v>1</x:v>
      </x:c>
      <x:c r="N540" s="16" t="n">
        <x:f>IF(M540=1,G540-E540,"")</x:f>
        <x:v>13.083333333328483</x:v>
      </x:c>
      <x:c r="O540" s="1" t="str">
        <x:f>IF(E540&gt;=Reporting!$B$4,"Outside cutoff",IF(M540=1,"Closed",IF(J540=1,"Overdue","Open - within SLA")))</x:f>
        <x:v>Closed</x:v>
      </x:c>
    </x:row>
    <x:row r="541">
      <x:c r="A541" s="14" t="str">
        <x:v>CASE-00536</x:v>
      </x:c>
      <x:c r="B541" s="14" t="str">
        <x:v>Installation</x:v>
      </x:c>
      <x:c r="C541" s="14" t="str">
        <x:v>Process deviation</x:v>
      </x:c>
      <x:c r="D541" s="14" t="str">
        <x:v>Medium</x:v>
      </x:c>
      <x:c r="E541" s="15" t="n">
        <x:v>46226.458333333336</x:v>
      </x:c>
      <x:c r="F541" s="15" t="n">
        <x:v>46233.458333333336</x:v>
      </x:c>
      <x:c r="G541" s="15" t="n">
        <x:v>46229.5</x:v>
      </x:c>
      <x:c r="H541" s="14" t="n">
        <x:v>3</x:v>
      </x:c>
      <x:c r="I541" s="1" t="n">
        <x:f>IF(AND(E541&lt;Reporting!$B$4,OR(G541="",G541&gt;=Reporting!$B$4)),1,0)</x:f>
        <x:v>0</x:v>
      </x:c>
      <x:c r="J541" s="1" t="n">
        <x:f>IF(AND(I541=1,F541&lt;Reporting!$B$4),1,0)</x:f>
        <x:v>0</x:v>
      </x:c>
      <x:c r="K541" s="1" t="n">
        <x:f>IF(F541&lt;Reporting!$B$4,1,0)</x:f>
        <x:v>1</x:v>
      </x:c>
      <x:c r="L541" s="1" t="n">
        <x:f>IF(AND(K541=1,G541&lt;&gt;"",G541&lt;=F541),1,0)</x:f>
        <x:v>1</x:v>
      </x:c>
      <x:c r="M541" s="1" t="n">
        <x:f>IF(AND(G541&lt;&gt;"",G541&lt;Reporting!$B$4),1,0)</x:f>
        <x:v>1</x:v>
      </x:c>
      <x:c r="N541" s="16" t="n">
        <x:f>IF(M541=1,G541-E541,"")</x:f>
        <x:v>3.0416666666642413</x:v>
      </x:c>
      <x:c r="O541" s="1" t="str">
        <x:f>IF(E541&gt;=Reporting!$B$4,"Outside cutoff",IF(M541=1,"Closed",IF(J541=1,"Overdue","Open - within SLA")))</x:f>
        <x:v>Closed</x:v>
      </x:c>
    </x:row>
    <x:row r="542">
      <x:c r="A542" s="14" t="str">
        <x:v>CASE-00537</x:v>
      </x:c>
      <x:c r="B542" s="14" t="str">
        <x:v>Customer Services</x:v>
      </x:c>
      <x:c r="C542" s="14" t="str">
        <x:v>Record mismatch</x:v>
      </x:c>
      <x:c r="D542" s="14" t="str">
        <x:v>Low</x:v>
      </x:c>
      <x:c r="E542" s="15" t="n">
        <x:v>46280.416666666664</x:v>
      </x:c>
      <x:c r="F542" s="15" t="n">
        <x:v>46294.416666666664</x:v>
      </x:c>
      <x:c r="G542" s="15"/>
      <x:c r="H542" s="14" t="n">
        <x:v>1</x:v>
      </x:c>
      <x:c r="I542" s="1" t="n">
        <x:f>IF(AND(E542&lt;Reporting!$B$4,OR(G542="",G542&gt;=Reporting!$B$4)),1,0)</x:f>
        <x:v>1</x:v>
      </x:c>
      <x:c r="J542" s="1" t="n">
        <x:f>IF(AND(I542=1,F542&lt;Reporting!$B$4),1,0)</x:f>
        <x:v>0</x:v>
      </x:c>
      <x:c r="K542" s="1" t="n">
        <x:f>IF(F542&lt;Reporting!$B$4,1,0)</x:f>
        <x:v>0</x:v>
      </x:c>
      <x:c r="L542" s="1" t="n">
        <x:f>IF(AND(K542=1,G542&lt;&gt;"",G542&lt;=F542),1,0)</x:f>
        <x:v>0</x:v>
      </x:c>
      <x:c r="M542" s="1" t="n">
        <x:f>IF(AND(G542&lt;&gt;"",G542&lt;Reporting!$B$4),1,0)</x:f>
        <x:v>0</x:v>
      </x:c>
      <x:c r="N542" s="16" t="str">
        <x:f>IF(M542=1,G542-E542,"")</x:f>
      </x:c>
      <x:c r="O542" s="1" t="str">
        <x:f>IF(E542&gt;=Reporting!$B$4,"Outside cutoff",IF(M542=1,"Closed",IF(J542=1,"Overdue","Open - within SLA")))</x:f>
        <x:v>Open - within SLA</x:v>
      </x:c>
    </x:row>
    <x:row r="543">
      <x:c r="A543" s="14" t="str">
        <x:v>CASE-00538</x:v>
      </x:c>
      <x:c r="B543" s="14" t="str">
        <x:v>Customer Services</x:v>
      </x:c>
      <x:c r="C543" s="14" t="str">
        <x:v>Record mismatch</x:v>
      </x:c>
      <x:c r="D543" s="14" t="str">
        <x:v>High</x:v>
      </x:c>
      <x:c r="E543" s="15" t="n">
        <x:v>46223.666666666664</x:v>
      </x:c>
      <x:c r="F543" s="15" t="n">
        <x:v>46226.666666666664</x:v>
      </x:c>
      <x:c r="G543" s="15" t="n">
        <x:v>46239.708333333336</x:v>
      </x:c>
      <x:c r="H543" s="14" t="n">
        <x:v>1</x:v>
      </x:c>
      <x:c r="I543" s="1" t="n">
        <x:f>IF(AND(E543&lt;Reporting!$B$4,OR(G543="",G543&gt;=Reporting!$B$4)),1,0)</x:f>
        <x:v>0</x:v>
      </x:c>
      <x:c r="J543" s="1" t="n">
        <x:f>IF(AND(I543=1,F543&lt;Reporting!$B$4),1,0)</x:f>
        <x:v>0</x:v>
      </x:c>
      <x:c r="K543" s="1" t="n">
        <x:f>IF(F543&lt;Reporting!$B$4,1,0)</x:f>
        <x:v>1</x:v>
      </x:c>
      <x:c r="L543" s="1" t="n">
        <x:f>IF(AND(K543=1,G543&lt;&gt;"",G543&lt;=F543),1,0)</x:f>
        <x:v>0</x:v>
      </x:c>
      <x:c r="M543" s="1" t="n">
        <x:f>IF(AND(G543&lt;&gt;"",G543&lt;Reporting!$B$4),1,0)</x:f>
        <x:v>1</x:v>
      </x:c>
      <x:c r="N543" s="16" t="n">
        <x:f>IF(M543=1,G543-E543,"")</x:f>
        <x:v>16.041666666671517</x:v>
      </x:c>
      <x:c r="O543" s="1" t="str">
        <x:f>IF(E543&gt;=Reporting!$B$4,"Outside cutoff",IF(M543=1,"Closed",IF(J543=1,"Overdue","Open - within SLA")))</x:f>
        <x:v>Closed</x:v>
      </x:c>
    </x:row>
    <x:row r="544">
      <x:c r="A544" s="14" t="str">
        <x:v>CASE-00539</x:v>
      </x:c>
      <x:c r="B544" s="14" t="str">
        <x:v>Installation</x:v>
      </x:c>
      <x:c r="C544" s="14" t="str">
        <x:v>Record mismatch</x:v>
      </x:c>
      <x:c r="D544" s="14" t="str">
        <x:v>Medium</x:v>
      </x:c>
      <x:c r="E544" s="15" t="n">
        <x:v>46202.625</x:v>
      </x:c>
      <x:c r="F544" s="15" t="n">
        <x:v>46209.625</x:v>
      </x:c>
      <x:c r="G544" s="15" t="n">
        <x:v>46212.625</x:v>
      </x:c>
      <x:c r="H544" s="14" t="n">
        <x:v>3</x:v>
      </x:c>
      <x:c r="I544" s="1" t="n">
        <x:f>IF(AND(E544&lt;Reporting!$B$4,OR(G544="",G544&gt;=Reporting!$B$4)),1,0)</x:f>
        <x:v>0</x:v>
      </x:c>
      <x:c r="J544" s="1" t="n">
        <x:f>IF(AND(I544=1,F544&lt;Reporting!$B$4),1,0)</x:f>
        <x:v>0</x:v>
      </x:c>
      <x:c r="K544" s="1" t="n">
        <x:f>IF(F544&lt;Reporting!$B$4,1,0)</x:f>
        <x:v>1</x:v>
      </x:c>
      <x:c r="L544" s="1" t="n">
        <x:f>IF(AND(K544=1,G544&lt;&gt;"",G544&lt;=F544),1,0)</x:f>
        <x:v>0</x:v>
      </x:c>
      <x:c r="M544" s="1" t="n">
        <x:f>IF(AND(G544&lt;&gt;"",G544&lt;Reporting!$B$4),1,0)</x:f>
        <x:v>1</x:v>
      </x:c>
      <x:c r="N544" s="16" t="n">
        <x:f>IF(M544=1,G544-E544,"")</x:f>
        <x:v>10</x:v>
      </x:c>
      <x:c r="O544" s="1" t="str">
        <x:f>IF(E544&gt;=Reporting!$B$4,"Outside cutoff",IF(M544=1,"Closed",IF(J544=1,"Overdue","Open - within SLA")))</x:f>
        <x:v>Closed</x:v>
      </x:c>
    </x:row>
    <x:row r="545">
      <x:c r="A545" s="14" t="str">
        <x:v>CASE-00540</x:v>
      </x:c>
      <x:c r="B545" s="14" t="str">
        <x:v>Warehouse</x:v>
      </x:c>
      <x:c r="C545" s="14" t="str">
        <x:v>Process deviation</x:v>
      </x:c>
      <x:c r="D545" s="14" t="str">
        <x:v>Medium</x:v>
      </x:c>
      <x:c r="E545" s="15" t="n">
        <x:v>46277.333333333336</x:v>
      </x:c>
      <x:c r="F545" s="15" t="n">
        <x:v>46284.333333333336</x:v>
      </x:c>
      <x:c r="G545" s="15"/>
      <x:c r="H545" s="14" t="n">
        <x:v>2</x:v>
      </x:c>
      <x:c r="I545" s="1" t="n">
        <x:f>IF(AND(E545&lt;Reporting!$B$4,OR(G545="",G545&gt;=Reporting!$B$4)),1,0)</x:f>
        <x:v>1</x:v>
      </x:c>
      <x:c r="J545" s="1" t="n">
        <x:f>IF(AND(I545=1,F545&lt;Reporting!$B$4),1,0)</x:f>
        <x:v>1</x:v>
      </x:c>
      <x:c r="K545" s="1" t="n">
        <x:f>IF(F545&lt;Reporting!$B$4,1,0)</x:f>
        <x:v>1</x:v>
      </x:c>
      <x:c r="L545" s="1" t="n">
        <x:f>IF(AND(K545=1,G545&lt;&gt;"",G545&lt;=F545),1,0)</x:f>
        <x:v>0</x:v>
      </x:c>
      <x:c r="M545" s="1" t="n">
        <x:f>IF(AND(G545&lt;&gt;"",G545&lt;Reporting!$B$4),1,0)</x:f>
        <x:v>0</x:v>
      </x:c>
      <x:c r="N545" s="16" t="str">
        <x:f>IF(M545=1,G545-E545,"")</x:f>
      </x:c>
      <x:c r="O545" s="1" t="str">
        <x:f>IF(E545&gt;=Reporting!$B$4,"Outside cutoff",IF(M545=1,"Closed",IF(J545=1,"Overdue","Open - within SLA")))</x:f>
        <x:v>Overdue</x:v>
      </x:c>
    </x:row>
    <x:row r="546">
      <x:c r="A546" s="14" t="str">
        <x:v>CASE-00541</x:v>
      </x:c>
      <x:c r="B546" s="14" t="str">
        <x:v>Customer Services</x:v>
      </x:c>
      <x:c r="C546" s="14" t="str">
        <x:v>Process deviation</x:v>
      </x:c>
      <x:c r="D546" s="14" t="str">
        <x:v>Low</x:v>
      </x:c>
      <x:c r="E546" s="15" t="n">
        <x:v>46226.666666666664</x:v>
      </x:c>
      <x:c r="F546" s="15" t="n">
        <x:v>46240.666666666664</x:v>
      </x:c>
      <x:c r="G546" s="15"/>
      <x:c r="H546" s="14" t="n">
        <x:v>1</x:v>
      </x:c>
      <x:c r="I546" s="1" t="n">
        <x:f>IF(AND(E546&lt;Reporting!$B$4,OR(G546="",G546&gt;=Reporting!$B$4)),1,0)</x:f>
        <x:v>1</x:v>
      </x:c>
      <x:c r="J546" s="1" t="n">
        <x:f>IF(AND(I546=1,F546&lt;Reporting!$B$4),1,0)</x:f>
        <x:v>1</x:v>
      </x:c>
      <x:c r="K546" s="1" t="n">
        <x:f>IF(F546&lt;Reporting!$B$4,1,0)</x:f>
        <x:v>1</x:v>
      </x:c>
      <x:c r="L546" s="1" t="n">
        <x:f>IF(AND(K546=1,G546&lt;&gt;"",G546&lt;=F546),1,0)</x:f>
        <x:v>0</x:v>
      </x:c>
      <x:c r="M546" s="1" t="n">
        <x:f>IF(AND(G546&lt;&gt;"",G546&lt;Reporting!$B$4),1,0)</x:f>
        <x:v>0</x:v>
      </x:c>
      <x:c r="N546" s="16" t="str">
        <x:f>IF(M546=1,G546-E546,"")</x:f>
      </x:c>
      <x:c r="O546" s="1" t="str">
        <x:f>IF(E546&gt;=Reporting!$B$4,"Outside cutoff",IF(M546=1,"Closed",IF(J546=1,"Overdue","Open - within SLA")))</x:f>
        <x:v>Overdue</x:v>
      </x:c>
    </x:row>
    <x:row r="547">
      <x:c r="A547" s="14" t="str">
        <x:v>CASE-00542</x:v>
      </x:c>
      <x:c r="B547" s="14" t="str">
        <x:v>Warehouse</x:v>
      </x:c>
      <x:c r="C547" s="14" t="str">
        <x:v>Process deviation</x:v>
      </x:c>
      <x:c r="D547" s="14" t="str">
        <x:v>Low</x:v>
      </x:c>
      <x:c r="E547" s="15" t="n">
        <x:v>46210.625</x:v>
      </x:c>
      <x:c r="F547" s="15" t="n">
        <x:v>46224.625</x:v>
      </x:c>
      <x:c r="G547" s="15" t="n">
        <x:v>46225.666666666664</x:v>
      </x:c>
      <x:c r="H547" s="14" t="n">
        <x:v>2</x:v>
      </x:c>
      <x:c r="I547" s="1" t="n">
        <x:f>IF(AND(E547&lt;Reporting!$B$4,OR(G547="",G547&gt;=Reporting!$B$4)),1,0)</x:f>
        <x:v>0</x:v>
      </x:c>
      <x:c r="J547" s="1" t="n">
        <x:f>IF(AND(I547=1,F547&lt;Reporting!$B$4),1,0)</x:f>
        <x:v>0</x:v>
      </x:c>
      <x:c r="K547" s="1" t="n">
        <x:f>IF(F547&lt;Reporting!$B$4,1,0)</x:f>
        <x:v>1</x:v>
      </x:c>
      <x:c r="L547" s="1" t="n">
        <x:f>IF(AND(K547=1,G547&lt;&gt;"",G547&lt;=F547),1,0)</x:f>
        <x:v>0</x:v>
      </x:c>
      <x:c r="M547" s="1" t="n">
        <x:f>IF(AND(G547&lt;&gt;"",G547&lt;Reporting!$B$4),1,0)</x:f>
        <x:v>1</x:v>
      </x:c>
      <x:c r="N547" s="16" t="n">
        <x:f>IF(M547=1,G547-E547,"")</x:f>
        <x:v>15.041666666664241</x:v>
      </x:c>
      <x:c r="O547" s="1" t="str">
        <x:f>IF(E547&gt;=Reporting!$B$4,"Outside cutoff",IF(M547=1,"Closed",IF(J547=1,"Overdue","Open - within SLA")))</x:f>
        <x:v>Closed</x:v>
      </x:c>
    </x:row>
    <x:row r="548">
      <x:c r="A548" s="14" t="str">
        <x:v>CASE-00543</x:v>
      </x:c>
      <x:c r="B548" s="14" t="str">
        <x:v>Customer Services</x:v>
      </x:c>
      <x:c r="C548" s="14" t="str">
        <x:v>Missing evidence</x:v>
      </x:c>
      <x:c r="D548" s="14" t="str">
        <x:v>Low</x:v>
      </x:c>
      <x:c r="E548" s="15" t="n">
        <x:v>46256.416666666664</x:v>
      </x:c>
      <x:c r="F548" s="15" t="n">
        <x:v>46270.416666666664</x:v>
      </x:c>
      <x:c r="G548" s="15" t="n">
        <x:v>46266.458333333336</x:v>
      </x:c>
      <x:c r="H548" s="14" t="n">
        <x:v>1</x:v>
      </x:c>
      <x:c r="I548" s="1" t="n">
        <x:f>IF(AND(E548&lt;Reporting!$B$4,OR(G548="",G548&gt;=Reporting!$B$4)),1,0)</x:f>
        <x:v>0</x:v>
      </x:c>
      <x:c r="J548" s="1" t="n">
        <x:f>IF(AND(I548=1,F548&lt;Reporting!$B$4),1,0)</x:f>
        <x:v>0</x:v>
      </x:c>
      <x:c r="K548" s="1" t="n">
        <x:f>IF(F548&lt;Reporting!$B$4,1,0)</x:f>
        <x:v>1</x:v>
      </x:c>
      <x:c r="L548" s="1" t="n">
        <x:f>IF(AND(K548=1,G548&lt;&gt;"",G548&lt;=F548),1,0)</x:f>
        <x:v>1</x:v>
      </x:c>
      <x:c r="M548" s="1" t="n">
        <x:f>IF(AND(G548&lt;&gt;"",G548&lt;Reporting!$B$4),1,0)</x:f>
        <x:v>1</x:v>
      </x:c>
      <x:c r="N548" s="16" t="n">
        <x:f>IF(M548=1,G548-E548,"")</x:f>
        <x:v>10.041666666671517</x:v>
      </x:c>
      <x:c r="O548" s="1" t="str">
        <x:f>IF(E548&gt;=Reporting!$B$4,"Outside cutoff",IF(M548=1,"Closed",IF(J548=1,"Overdue","Open - within SLA")))</x:f>
        <x:v>Closed</x:v>
      </x:c>
    </x:row>
    <x:row r="549">
      <x:c r="A549" s="14" t="str">
        <x:v>CASE-00544</x:v>
      </x:c>
      <x:c r="B549" s="14" t="str">
        <x:v>Customer Services</x:v>
      </x:c>
      <x:c r="C549" s="14" t="str">
        <x:v>Missing evidence</x:v>
      </x:c>
      <x:c r="D549" s="14" t="str">
        <x:v>Medium</x:v>
      </x:c>
      <x:c r="E549" s="15" t="n">
        <x:v>46242.458333333336</x:v>
      </x:c>
      <x:c r="F549" s="15" t="n">
        <x:v>46249.458333333336</x:v>
      </x:c>
      <x:c r="G549" s="15" t="n">
        <x:v>46243.5</x:v>
      </x:c>
      <x:c r="H549" s="14" t="n">
        <x:v>1</x:v>
      </x:c>
      <x:c r="I549" s="1" t="n">
        <x:f>IF(AND(E549&lt;Reporting!$B$4,OR(G549="",G549&gt;=Reporting!$B$4)),1,0)</x:f>
        <x:v>0</x:v>
      </x:c>
      <x:c r="J549" s="1" t="n">
        <x:f>IF(AND(I549=1,F549&lt;Reporting!$B$4),1,0)</x:f>
        <x:v>0</x:v>
      </x:c>
      <x:c r="K549" s="1" t="n">
        <x:f>IF(F549&lt;Reporting!$B$4,1,0)</x:f>
        <x:v>1</x:v>
      </x:c>
      <x:c r="L549" s="1" t="n">
        <x:f>IF(AND(K549=1,G549&lt;&gt;"",G549&lt;=F549),1,0)</x:f>
        <x:v>1</x:v>
      </x:c>
      <x:c r="M549" s="1" t="n">
        <x:f>IF(AND(G549&lt;&gt;"",G549&lt;Reporting!$B$4),1,0)</x:f>
        <x:v>1</x:v>
      </x:c>
      <x:c r="N549" s="16" t="n">
        <x:f>IF(M549=1,G549-E549,"")</x:f>
        <x:v>1.0416666666642413</x:v>
      </x:c>
      <x:c r="O549" s="1" t="str">
        <x:f>IF(E549&gt;=Reporting!$B$4,"Outside cutoff",IF(M549=1,"Closed",IF(J549=1,"Overdue","Open - within SLA")))</x:f>
        <x:v>Closed</x:v>
      </x:c>
    </x:row>
    <x:row r="550">
      <x:c r="A550" s="14" t="str">
        <x:v>CASE-00545</x:v>
      </x:c>
      <x:c r="B550" s="14" t="str">
        <x:v>Installation</x:v>
      </x:c>
      <x:c r="C550" s="14" t="str">
        <x:v>Record mismatch</x:v>
      </x:c>
      <x:c r="D550" s="14" t="str">
        <x:v>Medium</x:v>
      </x:c>
      <x:c r="E550" s="15" t="n">
        <x:v>46211.583333333336</x:v>
      </x:c>
      <x:c r="F550" s="15" t="n">
        <x:v>46218.583333333336</x:v>
      </x:c>
      <x:c r="G550" s="15" t="n">
        <x:v>46219.583333333336</x:v>
      </x:c>
      <x:c r="H550" s="14" t="n">
        <x:v>3</x:v>
      </x:c>
      <x:c r="I550" s="1" t="n">
        <x:f>IF(AND(E550&lt;Reporting!$B$4,OR(G550="",G550&gt;=Reporting!$B$4)),1,0)</x:f>
        <x:v>0</x:v>
      </x:c>
      <x:c r="J550" s="1" t="n">
        <x:f>IF(AND(I550=1,F550&lt;Reporting!$B$4),1,0)</x:f>
        <x:v>0</x:v>
      </x:c>
      <x:c r="K550" s="1" t="n">
        <x:f>IF(F550&lt;Reporting!$B$4,1,0)</x:f>
        <x:v>1</x:v>
      </x:c>
      <x:c r="L550" s="1" t="n">
        <x:f>IF(AND(K550=1,G550&lt;&gt;"",G550&lt;=F550),1,0)</x:f>
        <x:v>0</x:v>
      </x:c>
      <x:c r="M550" s="1" t="n">
        <x:f>IF(AND(G550&lt;&gt;"",G550&lt;Reporting!$B$4),1,0)</x:f>
        <x:v>1</x:v>
      </x:c>
      <x:c r="N550" s="16" t="n">
        <x:f>IF(M550=1,G550-E550,"")</x:f>
        <x:v>8</x:v>
      </x:c>
      <x:c r="O550" s="1" t="str">
        <x:f>IF(E550&gt;=Reporting!$B$4,"Outside cutoff",IF(M550=1,"Closed",IF(J550=1,"Overdue","Open - within SLA")))</x:f>
        <x:v>Closed</x:v>
      </x:c>
    </x:row>
    <x:row r="551">
      <x:c r="A551" s="14" t="str">
        <x:v>CASE-00546</x:v>
      </x:c>
      <x:c r="B551" s="14" t="str">
        <x:v>Warehouse</x:v>
      </x:c>
      <x:c r="C551" s="14" t="str">
        <x:v>Missing evidence</x:v>
      </x:c>
      <x:c r="D551" s="14" t="str">
        <x:v>Medium</x:v>
      </x:c>
      <x:c r="E551" s="15" t="n">
        <x:v>46224.666666666664</x:v>
      </x:c>
      <x:c r="F551" s="15" t="n">
        <x:v>46231.666666666664</x:v>
      </x:c>
      <x:c r="G551" s="15" t="n">
        <x:v>46242.708333333336</x:v>
      </x:c>
      <x:c r="H551" s="14" t="n">
        <x:v>2</x:v>
      </x:c>
      <x:c r="I551" s="1" t="n">
        <x:f>IF(AND(E551&lt;Reporting!$B$4,OR(G551="",G551&gt;=Reporting!$B$4)),1,0)</x:f>
        <x:v>0</x:v>
      </x:c>
      <x:c r="J551" s="1" t="n">
        <x:f>IF(AND(I551=1,F551&lt;Reporting!$B$4),1,0)</x:f>
        <x:v>0</x:v>
      </x:c>
      <x:c r="K551" s="1" t="n">
        <x:f>IF(F551&lt;Reporting!$B$4,1,0)</x:f>
        <x:v>1</x:v>
      </x:c>
      <x:c r="L551" s="1" t="n">
        <x:f>IF(AND(K551=1,G551&lt;&gt;"",G551&lt;=F551),1,0)</x:f>
        <x:v>0</x:v>
      </x:c>
      <x:c r="M551" s="1" t="n">
        <x:f>IF(AND(G551&lt;&gt;"",G551&lt;Reporting!$B$4),1,0)</x:f>
        <x:v>1</x:v>
      </x:c>
      <x:c r="N551" s="16" t="n">
        <x:f>IF(M551=1,G551-E551,"")</x:f>
        <x:v>18.041666666671517</x:v>
      </x:c>
      <x:c r="O551" s="1" t="str">
        <x:f>IF(E551&gt;=Reporting!$B$4,"Outside cutoff",IF(M551=1,"Closed",IF(J551=1,"Overdue","Open - within SLA")))</x:f>
        <x:v>Closed</x:v>
      </x:c>
    </x:row>
    <x:row r="552">
      <x:c r="A552" s="14" t="str">
        <x:v>CASE-00547</x:v>
      </x:c>
      <x:c r="B552" s="14" t="str">
        <x:v>Installation</x:v>
      </x:c>
      <x:c r="C552" s="14" t="str">
        <x:v>Record mismatch</x:v>
      </x:c>
      <x:c r="D552" s="14" t="str">
        <x:v>Low</x:v>
      </x:c>
      <x:c r="E552" s="15" t="n">
        <x:v>46229.333333333336</x:v>
      </x:c>
      <x:c r="F552" s="15" t="n">
        <x:v>46243.333333333336</x:v>
      </x:c>
      <x:c r="G552" s="15" t="n">
        <x:v>46236.416666666664</x:v>
      </x:c>
      <x:c r="H552" s="14" t="n">
        <x:v>3</x:v>
      </x:c>
      <x:c r="I552" s="1" t="n">
        <x:f>IF(AND(E552&lt;Reporting!$B$4,OR(G552="",G552&gt;=Reporting!$B$4)),1,0)</x:f>
        <x:v>0</x:v>
      </x:c>
      <x:c r="J552" s="1" t="n">
        <x:f>IF(AND(I552=1,F552&lt;Reporting!$B$4),1,0)</x:f>
        <x:v>0</x:v>
      </x:c>
      <x:c r="K552" s="1" t="n">
        <x:f>IF(F552&lt;Reporting!$B$4,1,0)</x:f>
        <x:v>1</x:v>
      </x:c>
      <x:c r="L552" s="1" t="n">
        <x:f>IF(AND(K552=1,G552&lt;&gt;"",G552&lt;=F552),1,0)</x:f>
        <x:v>1</x:v>
      </x:c>
      <x:c r="M552" s="1" t="n">
        <x:f>IF(AND(G552&lt;&gt;"",G552&lt;Reporting!$B$4),1,0)</x:f>
        <x:v>1</x:v>
      </x:c>
      <x:c r="N552" s="16" t="n">
        <x:f>IF(M552=1,G552-E552,"")</x:f>
        <x:v>7.083333333328483</x:v>
      </x:c>
      <x:c r="O552" s="1" t="str">
        <x:f>IF(E552&gt;=Reporting!$B$4,"Outside cutoff",IF(M552=1,"Closed",IF(J552=1,"Overdue","Open - within SLA")))</x:f>
        <x:v>Closed</x:v>
      </x:c>
    </x:row>
    <x:row r="553">
      <x:c r="A553" s="14" t="str">
        <x:v>CASE-00548</x:v>
      </x:c>
      <x:c r="B553" s="14" t="str">
        <x:v>Installation</x:v>
      </x:c>
      <x:c r="C553" s="14" t="str">
        <x:v>Process deviation</x:v>
      </x:c>
      <x:c r="D553" s="14" t="str">
        <x:v>Low</x:v>
      </x:c>
      <x:c r="E553" s="15" t="n">
        <x:v>46255.375</x:v>
      </x:c>
      <x:c r="F553" s="15" t="n">
        <x:v>46269.375</x:v>
      </x:c>
      <x:c r="G553" s="15" t="n">
        <x:v>46262.375</x:v>
      </x:c>
      <x:c r="H553" s="14" t="n">
        <x:v>3</x:v>
      </x:c>
      <x:c r="I553" s="1" t="n">
        <x:f>IF(AND(E553&lt;Reporting!$B$4,OR(G553="",G553&gt;=Reporting!$B$4)),1,0)</x:f>
        <x:v>0</x:v>
      </x:c>
      <x:c r="J553" s="1" t="n">
        <x:f>IF(AND(I553=1,F553&lt;Reporting!$B$4),1,0)</x:f>
        <x:v>0</x:v>
      </x:c>
      <x:c r="K553" s="1" t="n">
        <x:f>IF(F553&lt;Reporting!$B$4,1,0)</x:f>
        <x:v>1</x:v>
      </x:c>
      <x:c r="L553" s="1" t="n">
        <x:f>IF(AND(K553=1,G553&lt;&gt;"",G553&lt;=F553),1,0)</x:f>
        <x:v>1</x:v>
      </x:c>
      <x:c r="M553" s="1" t="n">
        <x:f>IF(AND(G553&lt;&gt;"",G553&lt;Reporting!$B$4),1,0)</x:f>
        <x:v>1</x:v>
      </x:c>
      <x:c r="N553" s="16" t="n">
        <x:f>IF(M553=1,G553-E553,"")</x:f>
        <x:v>7</x:v>
      </x:c>
      <x:c r="O553" s="1" t="str">
        <x:f>IF(E553&gt;=Reporting!$B$4,"Outside cutoff",IF(M553=1,"Closed",IF(J553=1,"Overdue","Open - within SLA")))</x:f>
        <x:v>Closed</x:v>
      </x:c>
    </x:row>
    <x:row r="554">
      <x:c r="A554" s="14" t="str">
        <x:v>CASE-00549</x:v>
      </x:c>
      <x:c r="B554" s="14" t="str">
        <x:v>Installation</x:v>
      </x:c>
      <x:c r="C554" s="14" t="str">
        <x:v>Record mismatch</x:v>
      </x:c>
      <x:c r="D554" s="14" t="str">
        <x:v>Medium</x:v>
      </x:c>
      <x:c r="E554" s="15" t="n">
        <x:v>46230.666666666664</x:v>
      </x:c>
      <x:c r="F554" s="15" t="n">
        <x:v>46237.666666666664</x:v>
      </x:c>
      <x:c r="G554" s="15"/>
      <x:c r="H554" s="14" t="n">
        <x:v>3</x:v>
      </x:c>
      <x:c r="I554" s="1" t="n">
        <x:f>IF(AND(E554&lt;Reporting!$B$4,OR(G554="",G554&gt;=Reporting!$B$4)),1,0)</x:f>
        <x:v>1</x:v>
      </x:c>
      <x:c r="J554" s="1" t="n">
        <x:f>IF(AND(I554=1,F554&lt;Reporting!$B$4),1,0)</x:f>
        <x:v>1</x:v>
      </x:c>
      <x:c r="K554" s="1" t="n">
        <x:f>IF(F554&lt;Reporting!$B$4,1,0)</x:f>
        <x:v>1</x:v>
      </x:c>
      <x:c r="L554" s="1" t="n">
        <x:f>IF(AND(K554=1,G554&lt;&gt;"",G554&lt;=F554),1,0)</x:f>
        <x:v>0</x:v>
      </x:c>
      <x:c r="M554" s="1" t="n">
        <x:f>IF(AND(G554&lt;&gt;"",G554&lt;Reporting!$B$4),1,0)</x:f>
        <x:v>0</x:v>
      </x:c>
      <x:c r="N554" s="16" t="str">
        <x:f>IF(M554=1,G554-E554,"")</x:f>
      </x:c>
      <x:c r="O554" s="1" t="str">
        <x:f>IF(E554&gt;=Reporting!$B$4,"Outside cutoff",IF(M554=1,"Closed",IF(J554=1,"Overdue","Open - within SLA")))</x:f>
        <x:v>Overdue</x:v>
      </x:c>
    </x:row>
    <x:row r="555">
      <x:c r="A555" s="14" t="str">
        <x:v>CASE-00550</x:v>
      </x:c>
      <x:c r="B555" s="14" t="str">
        <x:v>Installation</x:v>
      </x:c>
      <x:c r="C555" s="14" t="str">
        <x:v>Process deviation</x:v>
      </x:c>
      <x:c r="D555" s="14" t="str">
        <x:v>Low</x:v>
      </x:c>
      <x:c r="E555" s="15" t="n">
        <x:v>46207.375</x:v>
      </x:c>
      <x:c r="F555" s="15" t="n">
        <x:v>46221.375</x:v>
      </x:c>
      <x:c r="G555" s="15" t="n">
        <x:v>46223.375</x:v>
      </x:c>
      <x:c r="H555" s="14" t="n">
        <x:v>3</x:v>
      </x:c>
      <x:c r="I555" s="1" t="n">
        <x:f>IF(AND(E555&lt;Reporting!$B$4,OR(G555="",G555&gt;=Reporting!$B$4)),1,0)</x:f>
        <x:v>0</x:v>
      </x:c>
      <x:c r="J555" s="1" t="n">
        <x:f>IF(AND(I555=1,F555&lt;Reporting!$B$4),1,0)</x:f>
        <x:v>0</x:v>
      </x:c>
      <x:c r="K555" s="1" t="n">
        <x:f>IF(F555&lt;Reporting!$B$4,1,0)</x:f>
        <x:v>1</x:v>
      </x:c>
      <x:c r="L555" s="1" t="n">
        <x:f>IF(AND(K555=1,G555&lt;&gt;"",G555&lt;=F555),1,0)</x:f>
        <x:v>0</x:v>
      </x:c>
      <x:c r="M555" s="1" t="n">
        <x:f>IF(AND(G555&lt;&gt;"",G555&lt;Reporting!$B$4),1,0)</x:f>
        <x:v>1</x:v>
      </x:c>
      <x:c r="N555" s="16" t="n">
        <x:f>IF(M555=1,G555-E555,"")</x:f>
        <x:v>16</x:v>
      </x:c>
      <x:c r="O555" s="1" t="str">
        <x:f>IF(E555&gt;=Reporting!$B$4,"Outside cutoff",IF(M555=1,"Closed",IF(J555=1,"Overdue","Open - within SLA")))</x:f>
        <x:v>Closed</x:v>
      </x:c>
    </x:row>
    <x:row r="556">
      <x:c r="A556" s="14" t="str">
        <x:v>CASE-00551</x:v>
      </x:c>
      <x:c r="B556" s="14" t="str">
        <x:v>Warehouse</x:v>
      </x:c>
      <x:c r="C556" s="14" t="str">
        <x:v>Missing evidence</x:v>
      </x:c>
      <x:c r="D556" s="14" t="str">
        <x:v>Low</x:v>
      </x:c>
      <x:c r="E556" s="15" t="n">
        <x:v>46261.375</x:v>
      </x:c>
      <x:c r="F556" s="15" t="n">
        <x:v>46275.375</x:v>
      </x:c>
      <x:c r="G556" s="15" t="n">
        <x:v>46275.458333333336</x:v>
      </x:c>
      <x:c r="H556" s="14" t="n">
        <x:v>2</x:v>
      </x:c>
      <x:c r="I556" s="1" t="n">
        <x:f>IF(AND(E556&lt;Reporting!$B$4,OR(G556="",G556&gt;=Reporting!$B$4)),1,0)</x:f>
        <x:v>0</x:v>
      </x:c>
      <x:c r="J556" s="1" t="n">
        <x:f>IF(AND(I556=1,F556&lt;Reporting!$B$4),1,0)</x:f>
        <x:v>0</x:v>
      </x:c>
      <x:c r="K556" s="1" t="n">
        <x:f>IF(F556&lt;Reporting!$B$4,1,0)</x:f>
        <x:v>1</x:v>
      </x:c>
      <x:c r="L556" s="1" t="n">
        <x:f>IF(AND(K556=1,G556&lt;&gt;"",G556&lt;=F556),1,0)</x:f>
        <x:v>0</x:v>
      </x:c>
      <x:c r="M556" s="1" t="n">
        <x:f>IF(AND(G556&lt;&gt;"",G556&lt;Reporting!$B$4),1,0)</x:f>
        <x:v>1</x:v>
      </x:c>
      <x:c r="N556" s="16" t="n">
        <x:f>IF(M556=1,G556-E556,"")</x:f>
        <x:v>14.083333333335759</x:v>
      </x:c>
      <x:c r="O556" s="1" t="str">
        <x:f>IF(E556&gt;=Reporting!$B$4,"Outside cutoff",IF(M556=1,"Closed",IF(J556=1,"Overdue","Open - within SLA")))</x:f>
        <x:v>Closed</x:v>
      </x:c>
    </x:row>
    <x:row r="557">
      <x:c r="A557" s="14" t="str">
        <x:v>CASE-00552</x:v>
      </x:c>
      <x:c r="B557" s="14" t="str">
        <x:v>Customer Services</x:v>
      </x:c>
      <x:c r="C557" s="14" t="str">
        <x:v>Missing evidence</x:v>
      </x:c>
      <x:c r="D557" s="14" t="str">
        <x:v>Low</x:v>
      </x:c>
      <x:c r="E557" s="15" t="n">
        <x:v>46268.416666666664</x:v>
      </x:c>
      <x:c r="F557" s="15" t="n">
        <x:v>46282.416666666664</x:v>
      </x:c>
      <x:c r="G557" s="15" t="n">
        <x:v>46269.458333333336</x:v>
      </x:c>
      <x:c r="H557" s="14" t="n">
        <x:v>1</x:v>
      </x:c>
      <x:c r="I557" s="1" t="n">
        <x:f>IF(AND(E557&lt;Reporting!$B$4,OR(G557="",G557&gt;=Reporting!$B$4)),1,0)</x:f>
        <x:v>0</x:v>
      </x:c>
      <x:c r="J557" s="1" t="n">
        <x:f>IF(AND(I557=1,F557&lt;Reporting!$B$4),1,0)</x:f>
        <x:v>0</x:v>
      </x:c>
      <x:c r="K557" s="1" t="n">
        <x:f>IF(F557&lt;Reporting!$B$4,1,0)</x:f>
        <x:v>1</x:v>
      </x:c>
      <x:c r="L557" s="1" t="n">
        <x:f>IF(AND(K557=1,G557&lt;&gt;"",G557&lt;=F557),1,0)</x:f>
        <x:v>1</x:v>
      </x:c>
      <x:c r="M557" s="1" t="n">
        <x:f>IF(AND(G557&lt;&gt;"",G557&lt;Reporting!$B$4),1,0)</x:f>
        <x:v>1</x:v>
      </x:c>
      <x:c r="N557" s="16" t="n">
        <x:f>IF(M557=1,G557-E557,"")</x:f>
        <x:v>1.0416666666715173</x:v>
      </x:c>
      <x:c r="O557" s="1" t="str">
        <x:f>IF(E557&gt;=Reporting!$B$4,"Outside cutoff",IF(M557=1,"Closed",IF(J557=1,"Overdue","Open - within SLA")))</x:f>
        <x:v>Closed</x:v>
      </x:c>
    </x:row>
    <x:row r="558">
      <x:c r="A558" s="14" t="str">
        <x:v>CASE-00553</x:v>
      </x:c>
      <x:c r="B558" s="14" t="str">
        <x:v>Installation</x:v>
      </x:c>
      <x:c r="C558" s="14" t="str">
        <x:v>Missing evidence</x:v>
      </x:c>
      <x:c r="D558" s="14" t="str">
        <x:v>Medium</x:v>
      </x:c>
      <x:c r="E558" s="15" t="n">
        <x:v>46245.5</x:v>
      </x:c>
      <x:c r="F558" s="15" t="n">
        <x:v>46252.5</x:v>
      </x:c>
      <x:c r="G558" s="15" t="n">
        <x:v>46263.541666666664</x:v>
      </x:c>
      <x:c r="H558" s="14" t="n">
        <x:v>3</x:v>
      </x:c>
      <x:c r="I558" s="1" t="n">
        <x:f>IF(AND(E558&lt;Reporting!$B$4,OR(G558="",G558&gt;=Reporting!$B$4)),1,0)</x:f>
        <x:v>0</x:v>
      </x:c>
      <x:c r="J558" s="1" t="n">
        <x:f>IF(AND(I558=1,F558&lt;Reporting!$B$4),1,0)</x:f>
        <x:v>0</x:v>
      </x:c>
      <x:c r="K558" s="1" t="n">
        <x:f>IF(F558&lt;Reporting!$B$4,1,0)</x:f>
        <x:v>1</x:v>
      </x:c>
      <x:c r="L558" s="1" t="n">
        <x:f>IF(AND(K558=1,G558&lt;&gt;"",G558&lt;=F558),1,0)</x:f>
        <x:v>0</x:v>
      </x:c>
      <x:c r="M558" s="1" t="n">
        <x:f>IF(AND(G558&lt;&gt;"",G558&lt;Reporting!$B$4),1,0)</x:f>
        <x:v>1</x:v>
      </x:c>
      <x:c r="N558" s="16" t="n">
        <x:f>IF(M558=1,G558-E558,"")</x:f>
        <x:v>18.04166666666424</x:v>
      </x:c>
      <x:c r="O558" s="1" t="str">
        <x:f>IF(E558&gt;=Reporting!$B$4,"Outside cutoff",IF(M558=1,"Closed",IF(J558=1,"Overdue","Open - within SLA")))</x:f>
        <x:v>Closed</x:v>
      </x:c>
    </x:row>
    <x:row r="559">
      <x:c r="A559" s="14" t="str">
        <x:v>CASE-00554</x:v>
      </x:c>
      <x:c r="B559" s="14" t="str">
        <x:v>Warehouse</x:v>
      </x:c>
      <x:c r="C559" s="14" t="str">
        <x:v>Missing evidence</x:v>
      </x:c>
      <x:c r="D559" s="14" t="str">
        <x:v>Low</x:v>
      </x:c>
      <x:c r="E559" s="15" t="n">
        <x:v>46254.625</x:v>
      </x:c>
      <x:c r="F559" s="15" t="n">
        <x:v>46268.625</x:v>
      </x:c>
      <x:c r="G559" s="15" t="n">
        <x:v>46280.708333333336</x:v>
      </x:c>
      <x:c r="H559" s="14" t="n">
        <x:v>2</x:v>
      </x:c>
      <x:c r="I559" s="1" t="n">
        <x:f>IF(AND(E559&lt;Reporting!$B$4,OR(G559="",G559&gt;=Reporting!$B$4)),1,0)</x:f>
        <x:v>0</x:v>
      </x:c>
      <x:c r="J559" s="1" t="n">
        <x:f>IF(AND(I559=1,F559&lt;Reporting!$B$4),1,0)</x:f>
        <x:v>0</x:v>
      </x:c>
      <x:c r="K559" s="1" t="n">
        <x:f>IF(F559&lt;Reporting!$B$4,1,0)</x:f>
        <x:v>1</x:v>
      </x:c>
      <x:c r="L559" s="1" t="n">
        <x:f>IF(AND(K559=1,G559&lt;&gt;"",G559&lt;=F559),1,0)</x:f>
        <x:v>0</x:v>
      </x:c>
      <x:c r="M559" s="1" t="n">
        <x:f>IF(AND(G559&lt;&gt;"",G559&lt;Reporting!$B$4),1,0)</x:f>
        <x:v>1</x:v>
      </x:c>
      <x:c r="N559" s="16" t="n">
        <x:f>IF(M559=1,G559-E559,"")</x:f>
        <x:v>26.08333333333576</x:v>
      </x:c>
      <x:c r="O559" s="1" t="str">
        <x:f>IF(E559&gt;=Reporting!$B$4,"Outside cutoff",IF(M559=1,"Closed",IF(J559=1,"Overdue","Open - within SLA")))</x:f>
        <x:v>Closed</x:v>
      </x:c>
    </x:row>
    <x:row r="560">
      <x:c r="A560" s="14" t="str">
        <x:v>CASE-00555</x:v>
      </x:c>
      <x:c r="B560" s="14" t="str">
        <x:v>Warehouse</x:v>
      </x:c>
      <x:c r="C560" s="14" t="str">
        <x:v>Late review</x:v>
      </x:c>
      <x:c r="D560" s="14" t="str">
        <x:v>Low</x:v>
      </x:c>
      <x:c r="E560" s="15" t="n">
        <x:v>46279.541666666664</x:v>
      </x:c>
      <x:c r="F560" s="15" t="n">
        <x:v>46293.541666666664</x:v>
      </x:c>
      <x:c r="G560" s="15"/>
      <x:c r="H560" s="14" t="n">
        <x:v>2</x:v>
      </x:c>
      <x:c r="I560" s="1" t="n">
        <x:f>IF(AND(E560&lt;Reporting!$B$4,OR(G560="",G560&gt;=Reporting!$B$4)),1,0)</x:f>
        <x:v>1</x:v>
      </x:c>
      <x:c r="J560" s="1" t="n">
        <x:f>IF(AND(I560=1,F560&lt;Reporting!$B$4),1,0)</x:f>
        <x:v>0</x:v>
      </x:c>
      <x:c r="K560" s="1" t="n">
        <x:f>IF(F560&lt;Reporting!$B$4,1,0)</x:f>
        <x:v>0</x:v>
      </x:c>
      <x:c r="L560" s="1" t="n">
        <x:f>IF(AND(K560=1,G560&lt;&gt;"",G560&lt;=F560),1,0)</x:f>
        <x:v>0</x:v>
      </x:c>
      <x:c r="M560" s="1" t="n">
        <x:f>IF(AND(G560&lt;&gt;"",G560&lt;Reporting!$B$4),1,0)</x:f>
        <x:v>0</x:v>
      </x:c>
      <x:c r="N560" s="16" t="str">
        <x:f>IF(M560=1,G560-E560,"")</x:f>
      </x:c>
      <x:c r="O560" s="1" t="str">
        <x:f>IF(E560&gt;=Reporting!$B$4,"Outside cutoff",IF(M560=1,"Closed",IF(J560=1,"Overdue","Open - within SLA")))</x:f>
        <x:v>Open - within SLA</x:v>
      </x:c>
    </x:row>
    <x:row r="561">
      <x:c r="A561" s="14" t="str">
        <x:v>CASE-00556</x:v>
      </x:c>
      <x:c r="B561" s="14" t="str">
        <x:v>Warehouse</x:v>
      </x:c>
      <x:c r="C561" s="14" t="str">
        <x:v>Missing evidence</x:v>
      </x:c>
      <x:c r="D561" s="14" t="str">
        <x:v>Medium</x:v>
      </x:c>
      <x:c r="E561" s="15" t="n">
        <x:v>46202.458333333336</x:v>
      </x:c>
      <x:c r="F561" s="15" t="n">
        <x:v>46209.458333333336</x:v>
      </x:c>
      <x:c r="G561" s="15" t="n">
        <x:v>46209.541666666664</x:v>
      </x:c>
      <x:c r="H561" s="14" t="n">
        <x:v>2</x:v>
      </x:c>
      <x:c r="I561" s="1" t="n">
        <x:f>IF(AND(E561&lt;Reporting!$B$4,OR(G561="",G561&gt;=Reporting!$B$4)),1,0)</x:f>
        <x:v>0</x:v>
      </x:c>
      <x:c r="J561" s="1" t="n">
        <x:f>IF(AND(I561=1,F561&lt;Reporting!$B$4),1,0)</x:f>
        <x:v>0</x:v>
      </x:c>
      <x:c r="K561" s="1" t="n">
        <x:f>IF(F561&lt;Reporting!$B$4,1,0)</x:f>
        <x:v>1</x:v>
      </x:c>
      <x:c r="L561" s="1" t="n">
        <x:f>IF(AND(K561=1,G561&lt;&gt;"",G561&lt;=F561),1,0)</x:f>
        <x:v>0</x:v>
      </x:c>
      <x:c r="M561" s="1" t="n">
        <x:f>IF(AND(G561&lt;&gt;"",G561&lt;Reporting!$B$4),1,0)</x:f>
        <x:v>1</x:v>
      </x:c>
      <x:c r="N561" s="16" t="n">
        <x:f>IF(M561=1,G561-E561,"")</x:f>
        <x:v>7.083333333328483</x:v>
      </x:c>
      <x:c r="O561" s="1" t="str">
        <x:f>IF(E561&gt;=Reporting!$B$4,"Outside cutoff",IF(M561=1,"Closed",IF(J561=1,"Overdue","Open - within SLA")))</x:f>
        <x:v>Closed</x:v>
      </x:c>
    </x:row>
    <x:row r="562">
      <x:c r="A562" s="14" t="str">
        <x:v>CASE-00557</x:v>
      </x:c>
      <x:c r="B562" s="14" t="str">
        <x:v>Warehouse</x:v>
      </x:c>
      <x:c r="C562" s="14" t="str">
        <x:v>Late review</x:v>
      </x:c>
      <x:c r="D562" s="14" t="str">
        <x:v>High</x:v>
      </x:c>
      <x:c r="E562" s="15" t="n">
        <x:v>46234.625</x:v>
      </x:c>
      <x:c r="F562" s="15" t="n">
        <x:v>46237.625</x:v>
      </x:c>
      <x:c r="G562" s="15" t="n">
        <x:v>46249.625</x:v>
      </x:c>
      <x:c r="H562" s="14" t="n">
        <x:v>2</x:v>
      </x:c>
      <x:c r="I562" s="1" t="n">
        <x:f>IF(AND(E562&lt;Reporting!$B$4,OR(G562="",G562&gt;=Reporting!$B$4)),1,0)</x:f>
        <x:v>0</x:v>
      </x:c>
      <x:c r="J562" s="1" t="n">
        <x:f>IF(AND(I562=1,F562&lt;Reporting!$B$4),1,0)</x:f>
        <x:v>0</x:v>
      </x:c>
      <x:c r="K562" s="1" t="n">
        <x:f>IF(F562&lt;Reporting!$B$4,1,0)</x:f>
        <x:v>1</x:v>
      </x:c>
      <x:c r="L562" s="1" t="n">
        <x:f>IF(AND(K562=1,G562&lt;&gt;"",G562&lt;=F562),1,0)</x:f>
        <x:v>0</x:v>
      </x:c>
      <x:c r="M562" s="1" t="n">
        <x:f>IF(AND(G562&lt;&gt;"",G562&lt;Reporting!$B$4),1,0)</x:f>
        <x:v>1</x:v>
      </x:c>
      <x:c r="N562" s="16" t="n">
        <x:f>IF(M562=1,G562-E562,"")</x:f>
        <x:v>15</x:v>
      </x:c>
      <x:c r="O562" s="1" t="str">
        <x:f>IF(E562&gt;=Reporting!$B$4,"Outside cutoff",IF(M562=1,"Closed",IF(J562=1,"Overdue","Open - within SLA")))</x:f>
        <x:v>Closed</x:v>
      </x:c>
    </x:row>
    <x:row r="563">
      <x:c r="A563" s="14" t="str">
        <x:v>CASE-00558</x:v>
      </x:c>
      <x:c r="B563" s="14" t="str">
        <x:v>Customer Services</x:v>
      </x:c>
      <x:c r="C563" s="14" t="str">
        <x:v>Record mismatch</x:v>
      </x:c>
      <x:c r="D563" s="14" t="str">
        <x:v>Low</x:v>
      </x:c>
      <x:c r="E563" s="15" t="n">
        <x:v>46262.541666666664</x:v>
      </x:c>
      <x:c r="F563" s="15" t="n">
        <x:v>46276.541666666664</x:v>
      </x:c>
      <x:c r="G563" s="15" t="n">
        <x:v>46274.541666666664</x:v>
      </x:c>
      <x:c r="H563" s="14" t="n">
        <x:v>1</x:v>
      </x:c>
      <x:c r="I563" s="1" t="n">
        <x:f>IF(AND(E563&lt;Reporting!$B$4,OR(G563="",G563&gt;=Reporting!$B$4)),1,0)</x:f>
        <x:v>0</x:v>
      </x:c>
      <x:c r="J563" s="1" t="n">
        <x:f>IF(AND(I563=1,F563&lt;Reporting!$B$4),1,0)</x:f>
        <x:v>0</x:v>
      </x:c>
      <x:c r="K563" s="1" t="n">
        <x:f>IF(F563&lt;Reporting!$B$4,1,0)</x:f>
        <x:v>1</x:v>
      </x:c>
      <x:c r="L563" s="1" t="n">
        <x:f>IF(AND(K563=1,G563&lt;&gt;"",G563&lt;=F563),1,0)</x:f>
        <x:v>1</x:v>
      </x:c>
      <x:c r="M563" s="1" t="n">
        <x:f>IF(AND(G563&lt;&gt;"",G563&lt;Reporting!$B$4),1,0)</x:f>
        <x:v>1</x:v>
      </x:c>
      <x:c r="N563" s="16" t="n">
        <x:f>IF(M563=1,G563-E563,"")</x:f>
        <x:v>12</x:v>
      </x:c>
      <x:c r="O563" s="1" t="str">
        <x:f>IF(E563&gt;=Reporting!$B$4,"Outside cutoff",IF(M563=1,"Closed",IF(J563=1,"Overdue","Open - within SLA")))</x:f>
        <x:v>Closed</x:v>
      </x:c>
    </x:row>
    <x:row r="564">
      <x:c r="A564" s="14" t="str">
        <x:v>CASE-00559</x:v>
      </x:c>
      <x:c r="B564" s="14" t="str">
        <x:v>Installation</x:v>
      </x:c>
      <x:c r="C564" s="14" t="str">
        <x:v>Record mismatch</x:v>
      </x:c>
      <x:c r="D564" s="14" t="str">
        <x:v>High</x:v>
      </x:c>
      <x:c r="E564" s="15" t="n">
        <x:v>46251.625</x:v>
      </x:c>
      <x:c r="F564" s="15" t="n">
        <x:v>46254.625</x:v>
      </x:c>
      <x:c r="G564" s="15"/>
      <x:c r="H564" s="14" t="n">
        <x:v>3</x:v>
      </x:c>
      <x:c r="I564" s="1" t="n">
        <x:f>IF(AND(E564&lt;Reporting!$B$4,OR(G564="",G564&gt;=Reporting!$B$4)),1,0)</x:f>
        <x:v>1</x:v>
      </x:c>
      <x:c r="J564" s="1" t="n">
        <x:f>IF(AND(I564=1,F564&lt;Reporting!$B$4),1,0)</x:f>
        <x:v>1</x:v>
      </x:c>
      <x:c r="K564" s="1" t="n">
        <x:f>IF(F564&lt;Reporting!$B$4,1,0)</x:f>
        <x:v>1</x:v>
      </x:c>
      <x:c r="L564" s="1" t="n">
        <x:f>IF(AND(K564=1,G564&lt;&gt;"",G564&lt;=F564),1,0)</x:f>
        <x:v>0</x:v>
      </x:c>
      <x:c r="M564" s="1" t="n">
        <x:f>IF(AND(G564&lt;&gt;"",G564&lt;Reporting!$B$4),1,0)</x:f>
        <x:v>0</x:v>
      </x:c>
      <x:c r="N564" s="16" t="str">
        <x:f>IF(M564=1,G564-E564,"")</x:f>
      </x:c>
      <x:c r="O564" s="1" t="str">
        <x:f>IF(E564&gt;=Reporting!$B$4,"Outside cutoff",IF(M564=1,"Closed",IF(J564=1,"Overdue","Open - within SLA")))</x:f>
        <x:v>Overdue</x:v>
      </x:c>
    </x:row>
    <x:row r="565">
      <x:c r="A565" s="14" t="str">
        <x:v>CASE-00560</x:v>
      </x:c>
      <x:c r="B565" s="14" t="str">
        <x:v>Installation</x:v>
      </x:c>
      <x:c r="C565" s="14" t="str">
        <x:v>Missing evidence</x:v>
      </x:c>
      <x:c r="D565" s="14" t="str">
        <x:v>Low</x:v>
      </x:c>
      <x:c r="E565" s="15" t="n">
        <x:v>46255.375</x:v>
      </x:c>
      <x:c r="F565" s="15" t="n">
        <x:v>46269.375</x:v>
      </x:c>
      <x:c r="G565" s="15" t="n">
        <x:v>46258.375</x:v>
      </x:c>
      <x:c r="H565" s="14" t="n">
        <x:v>3</x:v>
      </x:c>
      <x:c r="I565" s="1" t="n">
        <x:f>IF(AND(E565&lt;Reporting!$B$4,OR(G565="",G565&gt;=Reporting!$B$4)),1,0)</x:f>
        <x:v>0</x:v>
      </x:c>
      <x:c r="J565" s="1" t="n">
        <x:f>IF(AND(I565=1,F565&lt;Reporting!$B$4),1,0)</x:f>
        <x:v>0</x:v>
      </x:c>
      <x:c r="K565" s="1" t="n">
        <x:f>IF(F565&lt;Reporting!$B$4,1,0)</x:f>
        <x:v>1</x:v>
      </x:c>
      <x:c r="L565" s="1" t="n">
        <x:f>IF(AND(K565=1,G565&lt;&gt;"",G565&lt;=F565),1,0)</x:f>
        <x:v>1</x:v>
      </x:c>
      <x:c r="M565" s="1" t="n">
        <x:f>IF(AND(G565&lt;&gt;"",G565&lt;Reporting!$B$4),1,0)</x:f>
        <x:v>1</x:v>
      </x:c>
      <x:c r="N565" s="16" t="n">
        <x:f>IF(M565=1,G565-E565,"")</x:f>
        <x:v>3</x:v>
      </x:c>
      <x:c r="O565" s="1" t="str">
        <x:f>IF(E565&gt;=Reporting!$B$4,"Outside cutoff",IF(M565=1,"Closed",IF(J565=1,"Overdue","Open - within SLA")))</x:f>
        <x:v>Closed</x:v>
      </x:c>
    </x:row>
    <x:row r="566">
      <x:c r="A566" s="14" t="str">
        <x:v>CASE-00561</x:v>
      </x:c>
      <x:c r="B566" s="14" t="str">
        <x:v>Installation</x:v>
      </x:c>
      <x:c r="C566" s="14" t="str">
        <x:v>Process deviation</x:v>
      </x:c>
      <x:c r="D566" s="14" t="str">
        <x:v>Medium</x:v>
      </x:c>
      <x:c r="E566" s="15" t="n">
        <x:v>46282.666666666664</x:v>
      </x:c>
      <x:c r="F566" s="15" t="n">
        <x:v>46289.666666666664</x:v>
      </x:c>
      <x:c r="G566" s="15" t="n">
        <x:v>46285.75</x:v>
      </x:c>
      <x:c r="H566" s="14" t="n">
        <x:v>3</x:v>
      </x:c>
      <x:c r="I566" s="1" t="n">
        <x:f>IF(AND(E566&lt;Reporting!$B$4,OR(G566="",G566&gt;=Reporting!$B$4)),1,0)</x:f>
        <x:v>0</x:v>
      </x:c>
      <x:c r="J566" s="1" t="n">
        <x:f>IF(AND(I566=1,F566&lt;Reporting!$B$4),1,0)</x:f>
        <x:v>0</x:v>
      </x:c>
      <x:c r="K566" s="1" t="n">
        <x:f>IF(F566&lt;Reporting!$B$4,1,0)</x:f>
        <x:v>0</x:v>
      </x:c>
      <x:c r="L566" s="1" t="n">
        <x:f>IF(AND(K566=1,G566&lt;&gt;"",G566&lt;=F566),1,0)</x:f>
        <x:v>0</x:v>
      </x:c>
      <x:c r="M566" s="1" t="n">
        <x:f>IF(AND(G566&lt;&gt;"",G566&lt;Reporting!$B$4),1,0)</x:f>
        <x:v>1</x:v>
      </x:c>
      <x:c r="N566" s="16" t="n">
        <x:f>IF(M566=1,G566-E566,"")</x:f>
        <x:v>3.0833333333357587</x:v>
      </x:c>
      <x:c r="O566" s="1" t="str">
        <x:f>IF(E566&gt;=Reporting!$B$4,"Outside cutoff",IF(M566=1,"Closed",IF(J566=1,"Overdue","Open - within SLA")))</x:f>
        <x:v>Closed</x:v>
      </x:c>
    </x:row>
    <x:row r="567">
      <x:c r="A567" s="14" t="str">
        <x:v>CASE-00562</x:v>
      </x:c>
      <x:c r="B567" s="14" t="str">
        <x:v>Customer Services</x:v>
      </x:c>
      <x:c r="C567" s="14" t="str">
        <x:v>Process deviation</x:v>
      </x:c>
      <x:c r="D567" s="14" t="str">
        <x:v>Medium</x:v>
      </x:c>
      <x:c r="E567" s="15" t="n">
        <x:v>46227.375</x:v>
      </x:c>
      <x:c r="F567" s="15" t="n">
        <x:v>46234.375</x:v>
      </x:c>
      <x:c r="G567" s="15" t="n">
        <x:v>46241.375</x:v>
      </x:c>
      <x:c r="H567" s="14" t="n">
        <x:v>1</x:v>
      </x:c>
      <x:c r="I567" s="1" t="n">
        <x:f>IF(AND(E567&lt;Reporting!$B$4,OR(G567="",G567&gt;=Reporting!$B$4)),1,0)</x:f>
        <x:v>0</x:v>
      </x:c>
      <x:c r="J567" s="1" t="n">
        <x:f>IF(AND(I567=1,F567&lt;Reporting!$B$4),1,0)</x:f>
        <x:v>0</x:v>
      </x:c>
      <x:c r="K567" s="1" t="n">
        <x:f>IF(F567&lt;Reporting!$B$4,1,0)</x:f>
        <x:v>1</x:v>
      </x:c>
      <x:c r="L567" s="1" t="n">
        <x:f>IF(AND(K567=1,G567&lt;&gt;"",G567&lt;=F567),1,0)</x:f>
        <x:v>0</x:v>
      </x:c>
      <x:c r="M567" s="1" t="n">
        <x:f>IF(AND(G567&lt;&gt;"",G567&lt;Reporting!$B$4),1,0)</x:f>
        <x:v>1</x:v>
      </x:c>
      <x:c r="N567" s="16" t="n">
        <x:f>IF(M567=1,G567-E567,"")</x:f>
        <x:v>14</x:v>
      </x:c>
      <x:c r="O567" s="1" t="str">
        <x:f>IF(E567&gt;=Reporting!$B$4,"Outside cutoff",IF(M567=1,"Closed",IF(J567=1,"Overdue","Open - within SLA")))</x:f>
        <x:v>Closed</x:v>
      </x:c>
    </x:row>
    <x:row r="568">
      <x:c r="A568" s="14" t="str">
        <x:v>CASE-00563</x:v>
      </x:c>
      <x:c r="B568" s="14" t="str">
        <x:v>Warehouse</x:v>
      </x:c>
      <x:c r="C568" s="14" t="str">
        <x:v>Missing evidence</x:v>
      </x:c>
      <x:c r="D568" s="14" t="str">
        <x:v>High</x:v>
      </x:c>
      <x:c r="E568" s="15" t="n">
        <x:v>46248.541666666664</x:v>
      </x:c>
      <x:c r="F568" s="15" t="n">
        <x:v>46251.541666666664</x:v>
      </x:c>
      <x:c r="G568" s="15" t="n">
        <x:v>46266.583333333336</x:v>
      </x:c>
      <x:c r="H568" s="14" t="n">
        <x:v>2</x:v>
      </x:c>
      <x:c r="I568" s="1" t="n">
        <x:f>IF(AND(E568&lt;Reporting!$B$4,OR(G568="",G568&gt;=Reporting!$B$4)),1,0)</x:f>
        <x:v>0</x:v>
      </x:c>
      <x:c r="J568" s="1" t="n">
        <x:f>IF(AND(I568=1,F568&lt;Reporting!$B$4),1,0)</x:f>
        <x:v>0</x:v>
      </x:c>
      <x:c r="K568" s="1" t="n">
        <x:f>IF(F568&lt;Reporting!$B$4,1,0)</x:f>
        <x:v>1</x:v>
      </x:c>
      <x:c r="L568" s="1" t="n">
        <x:f>IF(AND(K568=1,G568&lt;&gt;"",G568&lt;=F568),1,0)</x:f>
        <x:v>0</x:v>
      </x:c>
      <x:c r="M568" s="1" t="n">
        <x:f>IF(AND(G568&lt;&gt;"",G568&lt;Reporting!$B$4),1,0)</x:f>
        <x:v>1</x:v>
      </x:c>
      <x:c r="N568" s="16" t="n">
        <x:f>IF(M568=1,G568-E568,"")</x:f>
        <x:v>18.041666666671517</x:v>
      </x:c>
      <x:c r="O568" s="1" t="str">
        <x:f>IF(E568&gt;=Reporting!$B$4,"Outside cutoff",IF(M568=1,"Closed",IF(J568=1,"Overdue","Open - within SLA")))</x:f>
        <x:v>Closed</x:v>
      </x:c>
    </x:row>
    <x:row r="569">
      <x:c r="A569" s="14" t="str">
        <x:v>CASE-00564</x:v>
      </x:c>
      <x:c r="B569" s="14" t="str">
        <x:v>Warehouse</x:v>
      </x:c>
      <x:c r="C569" s="14" t="str">
        <x:v>Process deviation</x:v>
      </x:c>
      <x:c r="D569" s="14" t="str">
        <x:v>Low</x:v>
      </x:c>
      <x:c r="E569" s="15" t="n">
        <x:v>46280.333333333336</x:v>
      </x:c>
      <x:c r="F569" s="15" t="n">
        <x:v>46294.333333333336</x:v>
      </x:c>
      <x:c r="G569" s="15"/>
      <x:c r="H569" s="14" t="n">
        <x:v>2</x:v>
      </x:c>
      <x:c r="I569" s="1" t="n">
        <x:f>IF(AND(E569&lt;Reporting!$B$4,OR(G569="",G569&gt;=Reporting!$B$4)),1,0)</x:f>
        <x:v>1</x:v>
      </x:c>
      <x:c r="J569" s="1" t="n">
        <x:f>IF(AND(I569=1,F569&lt;Reporting!$B$4),1,0)</x:f>
        <x:v>0</x:v>
      </x:c>
      <x:c r="K569" s="1" t="n">
        <x:f>IF(F569&lt;Reporting!$B$4,1,0)</x:f>
        <x:v>0</x:v>
      </x:c>
      <x:c r="L569" s="1" t="n">
        <x:f>IF(AND(K569=1,G569&lt;&gt;"",G569&lt;=F569),1,0)</x:f>
        <x:v>0</x:v>
      </x:c>
      <x:c r="M569" s="1" t="n">
        <x:f>IF(AND(G569&lt;&gt;"",G569&lt;Reporting!$B$4),1,0)</x:f>
        <x:v>0</x:v>
      </x:c>
      <x:c r="N569" s="16" t="str">
        <x:f>IF(M569=1,G569-E569,"")</x:f>
      </x:c>
      <x:c r="O569" s="1" t="str">
        <x:f>IF(E569&gt;=Reporting!$B$4,"Outside cutoff",IF(M569=1,"Closed",IF(J569=1,"Overdue","Open - within SLA")))</x:f>
        <x:v>Open - within SLA</x:v>
      </x:c>
    </x:row>
    <x:row r="570">
      <x:c r="A570" s="14" t="str">
        <x:v>CASE-00565</x:v>
      </x:c>
      <x:c r="B570" s="14" t="str">
        <x:v>Installation</x:v>
      </x:c>
      <x:c r="C570" s="14" t="str">
        <x:v>Missing evidence</x:v>
      </x:c>
      <x:c r="D570" s="14" t="str">
        <x:v>Low</x:v>
      </x:c>
      <x:c r="E570" s="15" t="n">
        <x:v>46230.333333333336</x:v>
      </x:c>
      <x:c r="F570" s="15" t="n">
        <x:v>46244.333333333336</x:v>
      </x:c>
      <x:c r="G570" s="15" t="n">
        <x:v>46234.375</x:v>
      </x:c>
      <x:c r="H570" s="14" t="n">
        <x:v>3</x:v>
      </x:c>
      <x:c r="I570" s="1" t="n">
        <x:f>IF(AND(E570&lt;Reporting!$B$4,OR(G570="",G570&gt;=Reporting!$B$4)),1,0)</x:f>
        <x:v>0</x:v>
      </x:c>
      <x:c r="J570" s="1" t="n">
        <x:f>IF(AND(I570=1,F570&lt;Reporting!$B$4),1,0)</x:f>
        <x:v>0</x:v>
      </x:c>
      <x:c r="K570" s="1" t="n">
        <x:f>IF(F570&lt;Reporting!$B$4,1,0)</x:f>
        <x:v>1</x:v>
      </x:c>
      <x:c r="L570" s="1" t="n">
        <x:f>IF(AND(K570=1,G570&lt;&gt;"",G570&lt;=F570),1,0)</x:f>
        <x:v>1</x:v>
      </x:c>
      <x:c r="M570" s="1" t="n">
        <x:f>IF(AND(G570&lt;&gt;"",G570&lt;Reporting!$B$4),1,0)</x:f>
        <x:v>1</x:v>
      </x:c>
      <x:c r="N570" s="16" t="n">
        <x:f>IF(M570=1,G570-E570,"")</x:f>
        <x:v>4.041666666664241</x:v>
      </x:c>
      <x:c r="O570" s="1" t="str">
        <x:f>IF(E570&gt;=Reporting!$B$4,"Outside cutoff",IF(M570=1,"Closed",IF(J570=1,"Overdue","Open - within SLA")))</x:f>
        <x:v>Closed</x:v>
      </x:c>
    </x:row>
    <x:row r="571">
      <x:c r="A571" s="14" t="str">
        <x:v>CASE-00566</x:v>
      </x:c>
      <x:c r="B571" s="14" t="str">
        <x:v>Installation</x:v>
      </x:c>
      <x:c r="C571" s="14" t="str">
        <x:v>Record mismatch</x:v>
      </x:c>
      <x:c r="D571" s="14" t="str">
        <x:v>High</x:v>
      </x:c>
      <x:c r="E571" s="15" t="n">
        <x:v>46281.416666666664</x:v>
      </x:c>
      <x:c r="F571" s="15" t="n">
        <x:v>46284.416666666664</x:v>
      </x:c>
      <x:c r="G571" s="15"/>
      <x:c r="H571" s="14" t="n">
        <x:v>3</x:v>
      </x:c>
      <x:c r="I571" s="1" t="n">
        <x:f>IF(AND(E571&lt;Reporting!$B$4,OR(G571="",G571&gt;=Reporting!$B$4)),1,0)</x:f>
        <x:v>1</x:v>
      </x:c>
      <x:c r="J571" s="1" t="n">
        <x:f>IF(AND(I571=1,F571&lt;Reporting!$B$4),1,0)</x:f>
        <x:v>1</x:v>
      </x:c>
      <x:c r="K571" s="1" t="n">
        <x:f>IF(F571&lt;Reporting!$B$4,1,0)</x:f>
        <x:v>1</x:v>
      </x:c>
      <x:c r="L571" s="1" t="n">
        <x:f>IF(AND(K571=1,G571&lt;&gt;"",G571&lt;=F571),1,0)</x:f>
        <x:v>0</x:v>
      </x:c>
      <x:c r="M571" s="1" t="n">
        <x:f>IF(AND(G571&lt;&gt;"",G571&lt;Reporting!$B$4),1,0)</x:f>
        <x:v>0</x:v>
      </x:c>
      <x:c r="N571" s="16" t="str">
        <x:f>IF(M571=1,G571-E571,"")</x:f>
      </x:c>
      <x:c r="O571" s="1" t="str">
        <x:f>IF(E571&gt;=Reporting!$B$4,"Outside cutoff",IF(M571=1,"Closed",IF(J571=1,"Overdue","Open - within SLA")))</x:f>
        <x:v>Overdue</x:v>
      </x:c>
    </x:row>
    <x:row r="572">
      <x:c r="A572" s="14" t="str">
        <x:v>CASE-00567</x:v>
      </x:c>
      <x:c r="B572" s="14" t="str">
        <x:v>Installation</x:v>
      </x:c>
      <x:c r="C572" s="14" t="str">
        <x:v>Missing evidence</x:v>
      </x:c>
      <x:c r="D572" s="14" t="str">
        <x:v>Medium</x:v>
      </x:c>
      <x:c r="E572" s="15" t="n">
        <x:v>46202.333333333336</x:v>
      </x:c>
      <x:c r="F572" s="15" t="n">
        <x:v>46209.333333333336</x:v>
      </x:c>
      <x:c r="G572" s="15" t="n">
        <x:v>46204.333333333336</x:v>
      </x:c>
      <x:c r="H572" s="14" t="n">
        <x:v>3</x:v>
      </x:c>
      <x:c r="I572" s="1" t="n">
        <x:f>IF(AND(E572&lt;Reporting!$B$4,OR(G572="",G572&gt;=Reporting!$B$4)),1,0)</x:f>
        <x:v>0</x:v>
      </x:c>
      <x:c r="J572" s="1" t="n">
        <x:f>IF(AND(I572=1,F572&lt;Reporting!$B$4),1,0)</x:f>
        <x:v>0</x:v>
      </x:c>
      <x:c r="K572" s="1" t="n">
        <x:f>IF(F572&lt;Reporting!$B$4,1,0)</x:f>
        <x:v>1</x:v>
      </x:c>
      <x:c r="L572" s="1" t="n">
        <x:f>IF(AND(K572=1,G572&lt;&gt;"",G572&lt;=F572),1,0)</x:f>
        <x:v>1</x:v>
      </x:c>
      <x:c r="M572" s="1" t="n">
        <x:f>IF(AND(G572&lt;&gt;"",G572&lt;Reporting!$B$4),1,0)</x:f>
        <x:v>1</x:v>
      </x:c>
      <x:c r="N572" s="16" t="n">
        <x:f>IF(M572=1,G572-E572,"")</x:f>
        <x:v>2</x:v>
      </x:c>
      <x:c r="O572" s="1" t="str">
        <x:f>IF(E572&gt;=Reporting!$B$4,"Outside cutoff",IF(M572=1,"Closed",IF(J572=1,"Overdue","Open - within SLA")))</x:f>
        <x:v>Closed</x:v>
      </x:c>
    </x:row>
    <x:row r="573">
      <x:c r="A573" s="14" t="str">
        <x:v>CASE-00568</x:v>
      </x:c>
      <x:c r="B573" s="14" t="str">
        <x:v>Warehouse</x:v>
      </x:c>
      <x:c r="C573" s="14" t="str">
        <x:v>Record mismatch</x:v>
      </x:c>
      <x:c r="D573" s="14" t="str">
        <x:v>Medium</x:v>
      </x:c>
      <x:c r="E573" s="15" t="n">
        <x:v>46213.333333333336</x:v>
      </x:c>
      <x:c r="F573" s="15" t="n">
        <x:v>46220.333333333336</x:v>
      </x:c>
      <x:c r="G573" s="15" t="n">
        <x:v>46227.416666666664</x:v>
      </x:c>
      <x:c r="H573" s="14" t="n">
        <x:v>2</x:v>
      </x:c>
      <x:c r="I573" s="1" t="n">
        <x:f>IF(AND(E573&lt;Reporting!$B$4,OR(G573="",G573&gt;=Reporting!$B$4)),1,0)</x:f>
        <x:v>0</x:v>
      </x:c>
      <x:c r="J573" s="1" t="n">
        <x:f>IF(AND(I573=1,F573&lt;Reporting!$B$4),1,0)</x:f>
        <x:v>0</x:v>
      </x:c>
      <x:c r="K573" s="1" t="n">
        <x:f>IF(F573&lt;Reporting!$B$4,1,0)</x:f>
        <x:v>1</x:v>
      </x:c>
      <x:c r="L573" s="1" t="n">
        <x:f>IF(AND(K573=1,G573&lt;&gt;"",G573&lt;=F573),1,0)</x:f>
        <x:v>0</x:v>
      </x:c>
      <x:c r="M573" s="1" t="n">
        <x:f>IF(AND(G573&lt;&gt;"",G573&lt;Reporting!$B$4),1,0)</x:f>
        <x:v>1</x:v>
      </x:c>
      <x:c r="N573" s="16" t="n">
        <x:f>IF(M573=1,G573-E573,"")</x:f>
        <x:v>14.083333333328483</x:v>
      </x:c>
      <x:c r="O573" s="1" t="str">
        <x:f>IF(E573&gt;=Reporting!$B$4,"Outside cutoff",IF(M573=1,"Closed",IF(J573=1,"Overdue","Open - within SLA")))</x:f>
        <x:v>Closed</x:v>
      </x:c>
    </x:row>
    <x:row r="574">
      <x:c r="A574" s="14" t="str">
        <x:v>CASE-00569</x:v>
      </x:c>
      <x:c r="B574" s="14" t="str">
        <x:v>Customer Services</x:v>
      </x:c>
      <x:c r="C574" s="14" t="str">
        <x:v>Late review</x:v>
      </x:c>
      <x:c r="D574" s="14" t="str">
        <x:v>Low</x:v>
      </x:c>
      <x:c r="E574" s="15" t="n">
        <x:v>46247.333333333336</x:v>
      </x:c>
      <x:c r="F574" s="15" t="n">
        <x:v>46261.333333333336</x:v>
      </x:c>
      <x:c r="G574" s="15" t="n">
        <x:v>46253.375</x:v>
      </x:c>
      <x:c r="H574" s="14" t="n">
        <x:v>1</x:v>
      </x:c>
      <x:c r="I574" s="1" t="n">
        <x:f>IF(AND(E574&lt;Reporting!$B$4,OR(G574="",G574&gt;=Reporting!$B$4)),1,0)</x:f>
        <x:v>0</x:v>
      </x:c>
      <x:c r="J574" s="1" t="n">
        <x:f>IF(AND(I574=1,F574&lt;Reporting!$B$4),1,0)</x:f>
        <x:v>0</x:v>
      </x:c>
      <x:c r="K574" s="1" t="n">
        <x:f>IF(F574&lt;Reporting!$B$4,1,0)</x:f>
        <x:v>1</x:v>
      </x:c>
      <x:c r="L574" s="1" t="n">
        <x:f>IF(AND(K574=1,G574&lt;&gt;"",G574&lt;=F574),1,0)</x:f>
        <x:v>1</x:v>
      </x:c>
      <x:c r="M574" s="1" t="n">
        <x:f>IF(AND(G574&lt;&gt;"",G574&lt;Reporting!$B$4),1,0)</x:f>
        <x:v>1</x:v>
      </x:c>
      <x:c r="N574" s="16" t="n">
        <x:f>IF(M574=1,G574-E574,"")</x:f>
        <x:v>6.041666666664241</x:v>
      </x:c>
      <x:c r="O574" s="1" t="str">
        <x:f>IF(E574&gt;=Reporting!$B$4,"Outside cutoff",IF(M574=1,"Closed",IF(J574=1,"Overdue","Open - within SLA")))</x:f>
        <x:v>Closed</x:v>
      </x:c>
    </x:row>
    <x:row r="575">
      <x:c r="A575" s="14" t="str">
        <x:v>CASE-00570</x:v>
      </x:c>
      <x:c r="B575" s="14" t="str">
        <x:v>Customer Services</x:v>
      </x:c>
      <x:c r="C575" s="14" t="str">
        <x:v>Missing evidence</x:v>
      </x:c>
      <x:c r="D575" s="14" t="str">
        <x:v>Low</x:v>
      </x:c>
      <x:c r="E575" s="15" t="n">
        <x:v>46238.375</x:v>
      </x:c>
      <x:c r="F575" s="15" t="n">
        <x:v>46252.375</x:v>
      </x:c>
      <x:c r="G575" s="15" t="n">
        <x:v>46254.458333333336</x:v>
      </x:c>
      <x:c r="H575" s="14" t="n">
        <x:v>1</x:v>
      </x:c>
      <x:c r="I575" s="1" t="n">
        <x:f>IF(AND(E575&lt;Reporting!$B$4,OR(G575="",G575&gt;=Reporting!$B$4)),1,0)</x:f>
        <x:v>0</x:v>
      </x:c>
      <x:c r="J575" s="1" t="n">
        <x:f>IF(AND(I575=1,F575&lt;Reporting!$B$4),1,0)</x:f>
        <x:v>0</x:v>
      </x:c>
      <x:c r="K575" s="1" t="n">
        <x:f>IF(F575&lt;Reporting!$B$4,1,0)</x:f>
        <x:v>1</x:v>
      </x:c>
      <x:c r="L575" s="1" t="n">
        <x:f>IF(AND(K575=1,G575&lt;&gt;"",G575&lt;=F575),1,0)</x:f>
        <x:v>0</x:v>
      </x:c>
      <x:c r="M575" s="1" t="n">
        <x:f>IF(AND(G575&lt;&gt;"",G575&lt;Reporting!$B$4),1,0)</x:f>
        <x:v>1</x:v>
      </x:c>
      <x:c r="N575" s="16" t="n">
        <x:f>IF(M575=1,G575-E575,"")</x:f>
        <x:v>16.08333333333576</x:v>
      </x:c>
      <x:c r="O575" s="1" t="str">
        <x:f>IF(E575&gt;=Reporting!$B$4,"Outside cutoff",IF(M575=1,"Closed",IF(J575=1,"Overdue","Open - within SLA")))</x:f>
        <x:v>Closed</x:v>
      </x:c>
    </x:row>
    <x:row r="576">
      <x:c r="A576" s="14" t="str">
        <x:v>CASE-00571</x:v>
      </x:c>
      <x:c r="B576" s="14" t="str">
        <x:v>Customer Services</x:v>
      </x:c>
      <x:c r="C576" s="14" t="str">
        <x:v>Record mismatch</x:v>
      </x:c>
      <x:c r="D576" s="14" t="str">
        <x:v>High</x:v>
      </x:c>
      <x:c r="E576" s="15" t="n">
        <x:v>46253.458333333336</x:v>
      </x:c>
      <x:c r="F576" s="15" t="n">
        <x:v>46256.458333333336</x:v>
      </x:c>
      <x:c r="G576" s="15" t="n">
        <x:v>46257.458333333336</x:v>
      </x:c>
      <x:c r="H576" s="14" t="n">
        <x:v>1</x:v>
      </x:c>
      <x:c r="I576" s="1" t="n">
        <x:f>IF(AND(E576&lt;Reporting!$B$4,OR(G576="",G576&gt;=Reporting!$B$4)),1,0)</x:f>
        <x:v>0</x:v>
      </x:c>
      <x:c r="J576" s="1" t="n">
        <x:f>IF(AND(I576=1,F576&lt;Reporting!$B$4),1,0)</x:f>
        <x:v>0</x:v>
      </x:c>
      <x:c r="K576" s="1" t="n">
        <x:f>IF(F576&lt;Reporting!$B$4,1,0)</x:f>
        <x:v>1</x:v>
      </x:c>
      <x:c r="L576" s="1" t="n">
        <x:f>IF(AND(K576=1,G576&lt;&gt;"",G576&lt;=F576),1,0)</x:f>
        <x:v>0</x:v>
      </x:c>
      <x:c r="M576" s="1" t="n">
        <x:f>IF(AND(G576&lt;&gt;"",G576&lt;Reporting!$B$4),1,0)</x:f>
        <x:v>1</x:v>
      </x:c>
      <x:c r="N576" s="16" t="n">
        <x:f>IF(M576=1,G576-E576,"")</x:f>
        <x:v>4</x:v>
      </x:c>
      <x:c r="O576" s="1" t="str">
        <x:f>IF(E576&gt;=Reporting!$B$4,"Outside cutoff",IF(M576=1,"Closed",IF(J576=1,"Overdue","Open - within SLA")))</x:f>
        <x:v>Closed</x:v>
      </x:c>
    </x:row>
    <x:row r="577">
      <x:c r="A577" s="14" t="str">
        <x:v>CASE-00572</x:v>
      </x:c>
      <x:c r="B577" s="14" t="str">
        <x:v>Installation</x:v>
      </x:c>
      <x:c r="C577" s="14" t="str">
        <x:v>Late review</x:v>
      </x:c>
      <x:c r="D577" s="14" t="str">
        <x:v>Medium</x:v>
      </x:c>
      <x:c r="E577" s="15" t="n">
        <x:v>46243.375</x:v>
      </x:c>
      <x:c r="F577" s="15" t="n">
        <x:v>46250.375</x:v>
      </x:c>
      <x:c r="G577" s="15" t="n">
        <x:v>46244.416666666664</x:v>
      </x:c>
      <x:c r="H577" s="14" t="n">
        <x:v>3</x:v>
      </x:c>
      <x:c r="I577" s="1" t="n">
        <x:f>IF(AND(E577&lt;Reporting!$B$4,OR(G577="",G577&gt;=Reporting!$B$4)),1,0)</x:f>
        <x:v>0</x:v>
      </x:c>
      <x:c r="J577" s="1" t="n">
        <x:f>IF(AND(I577=1,F577&lt;Reporting!$B$4),1,0)</x:f>
        <x:v>0</x:v>
      </x:c>
      <x:c r="K577" s="1" t="n">
        <x:f>IF(F577&lt;Reporting!$B$4,1,0)</x:f>
        <x:v>1</x:v>
      </x:c>
      <x:c r="L577" s="1" t="n">
        <x:f>IF(AND(K577=1,G577&lt;&gt;"",G577&lt;=F577),1,0)</x:f>
        <x:v>1</x:v>
      </x:c>
      <x:c r="M577" s="1" t="n">
        <x:f>IF(AND(G577&lt;&gt;"",G577&lt;Reporting!$B$4),1,0)</x:f>
        <x:v>1</x:v>
      </x:c>
      <x:c r="N577" s="16" t="n">
        <x:f>IF(M577=1,G577-E577,"")</x:f>
        <x:v>1.0416666666642413</x:v>
      </x:c>
      <x:c r="O577" s="1" t="str">
        <x:f>IF(E577&gt;=Reporting!$B$4,"Outside cutoff",IF(M577=1,"Closed",IF(J577=1,"Overdue","Open - within SLA")))</x:f>
        <x:v>Closed</x:v>
      </x:c>
    </x:row>
    <x:row r="578">
      <x:c r="A578" s="14" t="str">
        <x:v>CASE-00573</x:v>
      </x:c>
      <x:c r="B578" s="14" t="str">
        <x:v>Customer Services</x:v>
      </x:c>
      <x:c r="C578" s="14" t="str">
        <x:v>Record mismatch</x:v>
      </x:c>
      <x:c r="D578" s="14" t="str">
        <x:v>High</x:v>
      </x:c>
      <x:c r="E578" s="15" t="n">
        <x:v>46239.625</x:v>
      </x:c>
      <x:c r="F578" s="15" t="n">
        <x:v>46242.625</x:v>
      </x:c>
      <x:c r="G578" s="15" t="n">
        <x:v>46247.625</x:v>
      </x:c>
      <x:c r="H578" s="14" t="n">
        <x:v>1</x:v>
      </x:c>
      <x:c r="I578" s="1" t="n">
        <x:f>IF(AND(E578&lt;Reporting!$B$4,OR(G578="",G578&gt;=Reporting!$B$4)),1,0)</x:f>
        <x:v>0</x:v>
      </x:c>
      <x:c r="J578" s="1" t="n">
        <x:f>IF(AND(I578=1,F578&lt;Reporting!$B$4),1,0)</x:f>
        <x:v>0</x:v>
      </x:c>
      <x:c r="K578" s="1" t="n">
        <x:f>IF(F578&lt;Reporting!$B$4,1,0)</x:f>
        <x:v>1</x:v>
      </x:c>
      <x:c r="L578" s="1" t="n">
        <x:f>IF(AND(K578=1,G578&lt;&gt;"",G578&lt;=F578),1,0)</x:f>
        <x:v>0</x:v>
      </x:c>
      <x:c r="M578" s="1" t="n">
        <x:f>IF(AND(G578&lt;&gt;"",G578&lt;Reporting!$B$4),1,0)</x:f>
        <x:v>1</x:v>
      </x:c>
      <x:c r="N578" s="16" t="n">
        <x:f>IF(M578=1,G578-E578,"")</x:f>
        <x:v>8</x:v>
      </x:c>
      <x:c r="O578" s="1" t="str">
        <x:f>IF(E578&gt;=Reporting!$B$4,"Outside cutoff",IF(M578=1,"Closed",IF(J578=1,"Overdue","Open - within SLA")))</x:f>
        <x:v>Closed</x:v>
      </x:c>
    </x:row>
    <x:row r="579">
      <x:c r="A579" s="14" t="str">
        <x:v>CASE-00574</x:v>
      </x:c>
      <x:c r="B579" s="14" t="str">
        <x:v>Warehouse</x:v>
      </x:c>
      <x:c r="C579" s="14" t="str">
        <x:v>Late review</x:v>
      </x:c>
      <x:c r="D579" s="14" t="str">
        <x:v>Medium</x:v>
      </x:c>
      <x:c r="E579" s="15" t="n">
        <x:v>46243.333333333336</x:v>
      </x:c>
      <x:c r="F579" s="15" t="n">
        <x:v>46250.333333333336</x:v>
      </x:c>
      <x:c r="G579" s="15" t="n">
        <x:v>46256.375</x:v>
      </x:c>
      <x:c r="H579" s="14" t="n">
        <x:v>2</x:v>
      </x:c>
      <x:c r="I579" s="1" t="n">
        <x:f>IF(AND(E579&lt;Reporting!$B$4,OR(G579="",G579&gt;=Reporting!$B$4)),1,0)</x:f>
        <x:v>0</x:v>
      </x:c>
      <x:c r="J579" s="1" t="n">
        <x:f>IF(AND(I579=1,F579&lt;Reporting!$B$4),1,0)</x:f>
        <x:v>0</x:v>
      </x:c>
      <x:c r="K579" s="1" t="n">
        <x:f>IF(F579&lt;Reporting!$B$4,1,0)</x:f>
        <x:v>1</x:v>
      </x:c>
      <x:c r="L579" s="1" t="n">
        <x:f>IF(AND(K579=1,G579&lt;&gt;"",G579&lt;=F579),1,0)</x:f>
        <x:v>0</x:v>
      </x:c>
      <x:c r="M579" s="1" t="n">
        <x:f>IF(AND(G579&lt;&gt;"",G579&lt;Reporting!$B$4),1,0)</x:f>
        <x:v>1</x:v>
      </x:c>
      <x:c r="N579" s="16" t="n">
        <x:f>IF(M579=1,G579-E579,"")</x:f>
        <x:v>13.041666666664241</x:v>
      </x:c>
      <x:c r="O579" s="1" t="str">
        <x:f>IF(E579&gt;=Reporting!$B$4,"Outside cutoff",IF(M579=1,"Closed",IF(J579=1,"Overdue","Open - within SLA")))</x:f>
        <x:v>Closed</x:v>
      </x:c>
    </x:row>
    <x:row r="580">
      <x:c r="A580" s="14" t="str">
        <x:v>CASE-00575</x:v>
      </x:c>
      <x:c r="B580" s="14" t="str">
        <x:v>Installation</x:v>
      </x:c>
      <x:c r="C580" s="14" t="str">
        <x:v>Missing evidence</x:v>
      </x:c>
      <x:c r="D580" s="14" t="str">
        <x:v>Low</x:v>
      </x:c>
      <x:c r="E580" s="15" t="n">
        <x:v>46222.375</x:v>
      </x:c>
      <x:c r="F580" s="15" t="n">
        <x:v>46236.375</x:v>
      </x:c>
      <x:c r="G580" s="15" t="n">
        <x:v>46240.458333333336</x:v>
      </x:c>
      <x:c r="H580" s="14" t="n">
        <x:v>3</x:v>
      </x:c>
      <x:c r="I580" s="1" t="n">
        <x:f>IF(AND(E580&lt;Reporting!$B$4,OR(G580="",G580&gt;=Reporting!$B$4)),1,0)</x:f>
        <x:v>0</x:v>
      </x:c>
      <x:c r="J580" s="1" t="n">
        <x:f>IF(AND(I580=1,F580&lt;Reporting!$B$4),1,0)</x:f>
        <x:v>0</x:v>
      </x:c>
      <x:c r="K580" s="1" t="n">
        <x:f>IF(F580&lt;Reporting!$B$4,1,0)</x:f>
        <x:v>1</x:v>
      </x:c>
      <x:c r="L580" s="1" t="n">
        <x:f>IF(AND(K580=1,G580&lt;&gt;"",G580&lt;=F580),1,0)</x:f>
        <x:v>0</x:v>
      </x:c>
      <x:c r="M580" s="1" t="n">
        <x:f>IF(AND(G580&lt;&gt;"",G580&lt;Reporting!$B$4),1,0)</x:f>
        <x:v>1</x:v>
      </x:c>
      <x:c r="N580" s="16" t="n">
        <x:f>IF(M580=1,G580-E580,"")</x:f>
        <x:v>18.08333333333576</x:v>
      </x:c>
      <x:c r="O580" s="1" t="str">
        <x:f>IF(E580&gt;=Reporting!$B$4,"Outside cutoff",IF(M580=1,"Closed",IF(J580=1,"Overdue","Open - within SLA")))</x:f>
        <x:v>Closed</x:v>
      </x:c>
    </x:row>
    <x:row r="581">
      <x:c r="A581" s="14" t="str">
        <x:v>CASE-00576</x:v>
      </x:c>
      <x:c r="B581" s="14" t="str">
        <x:v>Warehouse</x:v>
      </x:c>
      <x:c r="C581" s="14" t="str">
        <x:v>Process deviation</x:v>
      </x:c>
      <x:c r="D581" s="14" t="str">
        <x:v>Low</x:v>
      </x:c>
      <x:c r="E581" s="15" t="n">
        <x:v>46211.458333333336</x:v>
      </x:c>
      <x:c r="F581" s="15" t="n">
        <x:v>46225.458333333336</x:v>
      </x:c>
      <x:c r="G581" s="15" t="n">
        <x:v>46221.5</x:v>
      </x:c>
      <x:c r="H581" s="14" t="n">
        <x:v>2</x:v>
      </x:c>
      <x:c r="I581" s="1" t="n">
        <x:f>IF(AND(E581&lt;Reporting!$B$4,OR(G581="",G581&gt;=Reporting!$B$4)),1,0)</x:f>
        <x:v>0</x:v>
      </x:c>
      <x:c r="J581" s="1" t="n">
        <x:f>IF(AND(I581=1,F581&lt;Reporting!$B$4),1,0)</x:f>
        <x:v>0</x:v>
      </x:c>
      <x:c r="K581" s="1" t="n">
        <x:f>IF(F581&lt;Reporting!$B$4,1,0)</x:f>
        <x:v>1</x:v>
      </x:c>
      <x:c r="L581" s="1" t="n">
        <x:f>IF(AND(K581=1,G581&lt;&gt;"",G581&lt;=F581),1,0)</x:f>
        <x:v>1</x:v>
      </x:c>
      <x:c r="M581" s="1" t="n">
        <x:f>IF(AND(G581&lt;&gt;"",G581&lt;Reporting!$B$4),1,0)</x:f>
        <x:v>1</x:v>
      </x:c>
      <x:c r="N581" s="16" t="n">
        <x:f>IF(M581=1,G581-E581,"")</x:f>
        <x:v>10.041666666664241</x:v>
      </x:c>
      <x:c r="O581" s="1" t="str">
        <x:f>IF(E581&gt;=Reporting!$B$4,"Outside cutoff",IF(M581=1,"Closed",IF(J581=1,"Overdue","Open - within SLA")))</x:f>
        <x:v>Closed</x:v>
      </x:c>
    </x:row>
    <x:row r="582">
      <x:c r="A582" s="14" t="str">
        <x:v>CASE-00577</x:v>
      </x:c>
      <x:c r="B582" s="14" t="str">
        <x:v>Installation</x:v>
      </x:c>
      <x:c r="C582" s="14" t="str">
        <x:v>Missing evidence</x:v>
      </x:c>
      <x:c r="D582" s="14" t="str">
        <x:v>Medium</x:v>
      </x:c>
      <x:c r="E582" s="15" t="n">
        <x:v>46212.5</x:v>
      </x:c>
      <x:c r="F582" s="15" t="n">
        <x:v>46219.5</x:v>
      </x:c>
      <x:c r="G582" s="15" t="n">
        <x:v>46226.583333333336</x:v>
      </x:c>
      <x:c r="H582" s="14" t="n">
        <x:v>3</x:v>
      </x:c>
      <x:c r="I582" s="1" t="n">
        <x:f>IF(AND(E582&lt;Reporting!$B$4,OR(G582="",G582&gt;=Reporting!$B$4)),1,0)</x:f>
        <x:v>0</x:v>
      </x:c>
      <x:c r="J582" s="1" t="n">
        <x:f>IF(AND(I582=1,F582&lt;Reporting!$B$4),1,0)</x:f>
        <x:v>0</x:v>
      </x:c>
      <x:c r="K582" s="1" t="n">
        <x:f>IF(F582&lt;Reporting!$B$4,1,0)</x:f>
        <x:v>1</x:v>
      </x:c>
      <x:c r="L582" s="1" t="n">
        <x:f>IF(AND(K582=1,G582&lt;&gt;"",G582&lt;=F582),1,0)</x:f>
        <x:v>0</x:v>
      </x:c>
      <x:c r="M582" s="1" t="n">
        <x:f>IF(AND(G582&lt;&gt;"",G582&lt;Reporting!$B$4),1,0)</x:f>
        <x:v>1</x:v>
      </x:c>
      <x:c r="N582" s="16" t="n">
        <x:f>IF(M582=1,G582-E582,"")</x:f>
        <x:v>14.083333333335759</x:v>
      </x:c>
      <x:c r="O582" s="1" t="str">
        <x:f>IF(E582&gt;=Reporting!$B$4,"Outside cutoff",IF(M582=1,"Closed",IF(J582=1,"Overdue","Open - within SLA")))</x:f>
        <x:v>Closed</x:v>
      </x:c>
    </x:row>
    <x:row r="583">
      <x:c r="A583" s="14" t="str">
        <x:v>CASE-00578</x:v>
      </x:c>
      <x:c r="B583" s="14" t="str">
        <x:v>Customer Services</x:v>
      </x:c>
      <x:c r="C583" s="14" t="str">
        <x:v>Record mismatch</x:v>
      </x:c>
      <x:c r="D583" s="14" t="str">
        <x:v>High</x:v>
      </x:c>
      <x:c r="E583" s="15" t="n">
        <x:v>46215.666666666664</x:v>
      </x:c>
      <x:c r="F583" s="15" t="n">
        <x:v>46218.666666666664</x:v>
      </x:c>
      <x:c r="G583" s="15" t="n">
        <x:v>46226.75</x:v>
      </x:c>
      <x:c r="H583" s="14" t="n">
        <x:v>1</x:v>
      </x:c>
      <x:c r="I583" s="1" t="n">
        <x:f>IF(AND(E583&lt;Reporting!$B$4,OR(G583="",G583&gt;=Reporting!$B$4)),1,0)</x:f>
        <x:v>0</x:v>
      </x:c>
      <x:c r="J583" s="1" t="n">
        <x:f>IF(AND(I583=1,F583&lt;Reporting!$B$4),1,0)</x:f>
        <x:v>0</x:v>
      </x:c>
      <x:c r="K583" s="1" t="n">
        <x:f>IF(F583&lt;Reporting!$B$4,1,0)</x:f>
        <x:v>1</x:v>
      </x:c>
      <x:c r="L583" s="1" t="n">
        <x:f>IF(AND(K583=1,G583&lt;&gt;"",G583&lt;=F583),1,0)</x:f>
        <x:v>0</x:v>
      </x:c>
      <x:c r="M583" s="1" t="n">
        <x:f>IF(AND(G583&lt;&gt;"",G583&lt;Reporting!$B$4),1,0)</x:f>
        <x:v>1</x:v>
      </x:c>
      <x:c r="N583" s="16" t="n">
        <x:f>IF(M583=1,G583-E583,"")</x:f>
        <x:v>11.083333333335759</x:v>
      </x:c>
      <x:c r="O583" s="1" t="str">
        <x:f>IF(E583&gt;=Reporting!$B$4,"Outside cutoff",IF(M583=1,"Closed",IF(J583=1,"Overdue","Open - within SLA")))</x:f>
        <x:v>Closed</x:v>
      </x:c>
    </x:row>
    <x:row r="584">
      <x:c r="A584" s="14" t="str">
        <x:v>CASE-00579</x:v>
      </x:c>
      <x:c r="B584" s="14" t="str">
        <x:v>Customer Services</x:v>
      </x:c>
      <x:c r="C584" s="14" t="str">
        <x:v>Record mismatch</x:v>
      </x:c>
      <x:c r="D584" s="14" t="str">
        <x:v>High</x:v>
      </x:c>
      <x:c r="E584" s="15" t="n">
        <x:v>46250.541666666664</x:v>
      </x:c>
      <x:c r="F584" s="15" t="n">
        <x:v>46253.541666666664</x:v>
      </x:c>
      <x:c r="G584" s="15" t="n">
        <x:v>46266.625</x:v>
      </x:c>
      <x:c r="H584" s="14" t="n">
        <x:v>1</x:v>
      </x:c>
      <x:c r="I584" s="1" t="n">
        <x:f>IF(AND(E584&lt;Reporting!$B$4,OR(G584="",G584&gt;=Reporting!$B$4)),1,0)</x:f>
        <x:v>0</x:v>
      </x:c>
      <x:c r="J584" s="1" t="n">
        <x:f>IF(AND(I584=1,F584&lt;Reporting!$B$4),1,0)</x:f>
        <x:v>0</x:v>
      </x:c>
      <x:c r="K584" s="1" t="n">
        <x:f>IF(F584&lt;Reporting!$B$4,1,0)</x:f>
        <x:v>1</x:v>
      </x:c>
      <x:c r="L584" s="1" t="n">
        <x:f>IF(AND(K584=1,G584&lt;&gt;"",G584&lt;=F584),1,0)</x:f>
        <x:v>0</x:v>
      </x:c>
      <x:c r="M584" s="1" t="n">
        <x:f>IF(AND(G584&lt;&gt;"",G584&lt;Reporting!$B$4),1,0)</x:f>
        <x:v>1</x:v>
      </x:c>
      <x:c r="N584" s="16" t="n">
        <x:f>IF(M584=1,G584-E584,"")</x:f>
        <x:v>16.08333333333576</x:v>
      </x:c>
      <x:c r="O584" s="1" t="str">
        <x:f>IF(E584&gt;=Reporting!$B$4,"Outside cutoff",IF(M584=1,"Closed",IF(J584=1,"Overdue","Open - within SLA")))</x:f>
        <x:v>Closed</x:v>
      </x:c>
    </x:row>
    <x:row r="585">
      <x:c r="A585" s="14" t="str">
        <x:v>CASE-00580</x:v>
      </x:c>
      <x:c r="B585" s="14" t="str">
        <x:v>Warehouse</x:v>
      </x:c>
      <x:c r="C585" s="14" t="str">
        <x:v>Process deviation</x:v>
      </x:c>
      <x:c r="D585" s="14" t="str">
        <x:v>Low</x:v>
      </x:c>
      <x:c r="E585" s="15" t="n">
        <x:v>46274.375</x:v>
      </x:c>
      <x:c r="F585" s="15" t="n">
        <x:v>46288.375</x:v>
      </x:c>
      <x:c r="G585" s="15"/>
      <x:c r="H585" s="14" t="n">
        <x:v>2</x:v>
      </x:c>
      <x:c r="I585" s="1" t="n">
        <x:f>IF(AND(E585&lt;Reporting!$B$4,OR(G585="",G585&gt;=Reporting!$B$4)),1,0)</x:f>
        <x:v>1</x:v>
      </x:c>
      <x:c r="J585" s="1" t="n">
        <x:f>IF(AND(I585=1,F585&lt;Reporting!$B$4),1,0)</x:f>
        <x:v>0</x:v>
      </x:c>
      <x:c r="K585" s="1" t="n">
        <x:f>IF(F585&lt;Reporting!$B$4,1,0)</x:f>
        <x:v>0</x:v>
      </x:c>
      <x:c r="L585" s="1" t="n">
        <x:f>IF(AND(K585=1,G585&lt;&gt;"",G585&lt;=F585),1,0)</x:f>
        <x:v>0</x:v>
      </x:c>
      <x:c r="M585" s="1" t="n">
        <x:f>IF(AND(G585&lt;&gt;"",G585&lt;Reporting!$B$4),1,0)</x:f>
        <x:v>0</x:v>
      </x:c>
      <x:c r="N585" s="16" t="str">
        <x:f>IF(M585=1,G585-E585,"")</x:f>
      </x:c>
      <x:c r="O585" s="1" t="str">
        <x:f>IF(E585&gt;=Reporting!$B$4,"Outside cutoff",IF(M585=1,"Closed",IF(J585=1,"Overdue","Open - within SLA")))</x:f>
        <x:v>Open - within SLA</x:v>
      </x:c>
    </x:row>
    <x:row r="586">
      <x:c r="A586" s="14" t="str">
        <x:v>CASE-00581</x:v>
      </x:c>
      <x:c r="B586" s="14" t="str">
        <x:v>Customer Services</x:v>
      </x:c>
      <x:c r="C586" s="14" t="str">
        <x:v>Record mismatch</x:v>
      </x:c>
      <x:c r="D586" s="14" t="str">
        <x:v>Medium</x:v>
      </x:c>
      <x:c r="E586" s="15" t="n">
        <x:v>46258.625</x:v>
      </x:c>
      <x:c r="F586" s="15" t="n">
        <x:v>46265.625</x:v>
      </x:c>
      <x:c r="G586" s="15" t="n">
        <x:v>46276.625</x:v>
      </x:c>
      <x:c r="H586" s="14" t="n">
        <x:v>1</x:v>
      </x:c>
      <x:c r="I586" s="1" t="n">
        <x:f>IF(AND(E586&lt;Reporting!$B$4,OR(G586="",G586&gt;=Reporting!$B$4)),1,0)</x:f>
        <x:v>0</x:v>
      </x:c>
      <x:c r="J586" s="1" t="n">
        <x:f>IF(AND(I586=1,F586&lt;Reporting!$B$4),1,0)</x:f>
        <x:v>0</x:v>
      </x:c>
      <x:c r="K586" s="1" t="n">
        <x:f>IF(F586&lt;Reporting!$B$4,1,0)</x:f>
        <x:v>1</x:v>
      </x:c>
      <x:c r="L586" s="1" t="n">
        <x:f>IF(AND(K586=1,G586&lt;&gt;"",G586&lt;=F586),1,0)</x:f>
        <x:v>0</x:v>
      </x:c>
      <x:c r="M586" s="1" t="n">
        <x:f>IF(AND(G586&lt;&gt;"",G586&lt;Reporting!$B$4),1,0)</x:f>
        <x:v>1</x:v>
      </x:c>
      <x:c r="N586" s="16" t="n">
        <x:f>IF(M586=1,G586-E586,"")</x:f>
        <x:v>18</x:v>
      </x:c>
      <x:c r="O586" s="1" t="str">
        <x:f>IF(E586&gt;=Reporting!$B$4,"Outside cutoff",IF(M586=1,"Closed",IF(J586=1,"Overdue","Open - within SLA")))</x:f>
        <x:v>Closed</x:v>
      </x:c>
    </x:row>
    <x:row r="587">
      <x:c r="A587" s="14" t="str">
        <x:v>CASE-00582</x:v>
      </x:c>
      <x:c r="B587" s="14" t="str">
        <x:v>Warehouse</x:v>
      </x:c>
      <x:c r="C587" s="14" t="str">
        <x:v>Late review</x:v>
      </x:c>
      <x:c r="D587" s="14" t="str">
        <x:v>Medium</x:v>
      </x:c>
      <x:c r="E587" s="15" t="n">
        <x:v>46252.458333333336</x:v>
      </x:c>
      <x:c r="F587" s="15" t="n">
        <x:v>46259.458333333336</x:v>
      </x:c>
      <x:c r="G587" s="15" t="n">
        <x:v>46265.458333333336</x:v>
      </x:c>
      <x:c r="H587" s="14" t="n">
        <x:v>2</x:v>
      </x:c>
      <x:c r="I587" s="1" t="n">
        <x:f>IF(AND(E587&lt;Reporting!$B$4,OR(G587="",G587&gt;=Reporting!$B$4)),1,0)</x:f>
        <x:v>0</x:v>
      </x:c>
      <x:c r="J587" s="1" t="n">
        <x:f>IF(AND(I587=1,F587&lt;Reporting!$B$4),1,0)</x:f>
        <x:v>0</x:v>
      </x:c>
      <x:c r="K587" s="1" t="n">
        <x:f>IF(F587&lt;Reporting!$B$4,1,0)</x:f>
        <x:v>1</x:v>
      </x:c>
      <x:c r="L587" s="1" t="n">
        <x:f>IF(AND(K587=1,G587&lt;&gt;"",G587&lt;=F587),1,0)</x:f>
        <x:v>0</x:v>
      </x:c>
      <x:c r="M587" s="1" t="n">
        <x:f>IF(AND(G587&lt;&gt;"",G587&lt;Reporting!$B$4),1,0)</x:f>
        <x:v>1</x:v>
      </x:c>
      <x:c r="N587" s="16" t="n">
        <x:f>IF(M587=1,G587-E587,"")</x:f>
        <x:v>13</x:v>
      </x:c>
      <x:c r="O587" s="1" t="str">
        <x:f>IF(E587&gt;=Reporting!$B$4,"Outside cutoff",IF(M587=1,"Closed",IF(J587=1,"Overdue","Open - within SLA")))</x:f>
        <x:v>Closed</x:v>
      </x:c>
    </x:row>
    <x:row r="588">
      <x:c r="A588" s="14" t="str">
        <x:v>CASE-00583</x:v>
      </x:c>
      <x:c r="B588" s="14" t="str">
        <x:v>Installation</x:v>
      </x:c>
      <x:c r="C588" s="14" t="str">
        <x:v>Missing evidence</x:v>
      </x:c>
      <x:c r="D588" s="14" t="str">
        <x:v>Medium</x:v>
      </x:c>
      <x:c r="E588" s="15" t="n">
        <x:v>46262.583333333336</x:v>
      </x:c>
      <x:c r="F588" s="15" t="n">
        <x:v>46269.583333333336</x:v>
      </x:c>
      <x:c r="G588" s="15" t="n">
        <x:v>46271.625</x:v>
      </x:c>
      <x:c r="H588" s="14" t="n">
        <x:v>3</x:v>
      </x:c>
      <x:c r="I588" s="1" t="n">
        <x:f>IF(AND(E588&lt;Reporting!$B$4,OR(G588="",G588&gt;=Reporting!$B$4)),1,0)</x:f>
        <x:v>0</x:v>
      </x:c>
      <x:c r="J588" s="1" t="n">
        <x:f>IF(AND(I588=1,F588&lt;Reporting!$B$4),1,0)</x:f>
        <x:v>0</x:v>
      </x:c>
      <x:c r="K588" s="1" t="n">
        <x:f>IF(F588&lt;Reporting!$B$4,1,0)</x:f>
        <x:v>1</x:v>
      </x:c>
      <x:c r="L588" s="1" t="n">
        <x:f>IF(AND(K588=1,G588&lt;&gt;"",G588&lt;=F588),1,0)</x:f>
        <x:v>0</x:v>
      </x:c>
      <x:c r="M588" s="1" t="n">
        <x:f>IF(AND(G588&lt;&gt;"",G588&lt;Reporting!$B$4),1,0)</x:f>
        <x:v>1</x:v>
      </x:c>
      <x:c r="N588" s="16" t="n">
        <x:f>IF(M588=1,G588-E588,"")</x:f>
        <x:v>9.041666666664241</x:v>
      </x:c>
      <x:c r="O588" s="1" t="str">
        <x:f>IF(E588&gt;=Reporting!$B$4,"Outside cutoff",IF(M588=1,"Closed",IF(J588=1,"Overdue","Open - within SLA")))</x:f>
        <x:v>Closed</x:v>
      </x:c>
    </x:row>
    <x:row r="589">
      <x:c r="A589" s="14" t="str">
        <x:v>CASE-00584</x:v>
      </x:c>
      <x:c r="B589" s="14" t="str">
        <x:v>Customer Services</x:v>
      </x:c>
      <x:c r="C589" s="14" t="str">
        <x:v>Late review</x:v>
      </x:c>
      <x:c r="D589" s="14" t="str">
        <x:v>High</x:v>
      </x:c>
      <x:c r="E589" s="15" t="n">
        <x:v>46285.541666666664</x:v>
      </x:c>
      <x:c r="F589" s="15" t="n">
        <x:v>46288.541666666664</x:v>
      </x:c>
      <x:c r="G589" s="15"/>
      <x:c r="H589" s="14" t="n">
        <x:v>1</x:v>
      </x:c>
      <x:c r="I589" s="1" t="n">
        <x:f>IF(AND(E589&lt;Reporting!$B$4,OR(G589="",G589&gt;=Reporting!$B$4)),1,0)</x:f>
        <x:v>1</x:v>
      </x:c>
      <x:c r="J589" s="1" t="n">
        <x:f>IF(AND(I589=1,F589&lt;Reporting!$B$4),1,0)</x:f>
        <x:v>0</x:v>
      </x:c>
      <x:c r="K589" s="1" t="n">
        <x:f>IF(F589&lt;Reporting!$B$4,1,0)</x:f>
        <x:v>0</x:v>
      </x:c>
      <x:c r="L589" s="1" t="n">
        <x:f>IF(AND(K589=1,G589&lt;&gt;"",G589&lt;=F589),1,0)</x:f>
        <x:v>0</x:v>
      </x:c>
      <x:c r="M589" s="1" t="n">
        <x:f>IF(AND(G589&lt;&gt;"",G589&lt;Reporting!$B$4),1,0)</x:f>
        <x:v>0</x:v>
      </x:c>
      <x:c r="N589" s="16" t="str">
        <x:f>IF(M589=1,G589-E589,"")</x:f>
      </x:c>
      <x:c r="O589" s="1" t="str">
        <x:f>IF(E589&gt;=Reporting!$B$4,"Outside cutoff",IF(M589=1,"Closed",IF(J589=1,"Overdue","Open - within SLA")))</x:f>
        <x:v>Open - within SLA</x:v>
      </x:c>
    </x:row>
    <x:row r="590">
      <x:c r="A590" s="14" t="str">
        <x:v>CASE-00585</x:v>
      </x:c>
      <x:c r="B590" s="14" t="str">
        <x:v>Customer Services</x:v>
      </x:c>
      <x:c r="C590" s="14" t="str">
        <x:v>Missing evidence</x:v>
      </x:c>
      <x:c r="D590" s="14" t="str">
        <x:v>Medium</x:v>
      </x:c>
      <x:c r="E590" s="15" t="n">
        <x:v>46263.541666666664</x:v>
      </x:c>
      <x:c r="F590" s="15" t="n">
        <x:v>46270.541666666664</x:v>
      </x:c>
      <x:c r="G590" s="15" t="n">
        <x:v>46272.583333333336</x:v>
      </x:c>
      <x:c r="H590" s="14" t="n">
        <x:v>1</x:v>
      </x:c>
      <x:c r="I590" s="1" t="n">
        <x:f>IF(AND(E590&lt;Reporting!$B$4,OR(G590="",G590&gt;=Reporting!$B$4)),1,0)</x:f>
        <x:v>0</x:v>
      </x:c>
      <x:c r="J590" s="1" t="n">
        <x:f>IF(AND(I590=1,F590&lt;Reporting!$B$4),1,0)</x:f>
        <x:v>0</x:v>
      </x:c>
      <x:c r="K590" s="1" t="n">
        <x:f>IF(F590&lt;Reporting!$B$4,1,0)</x:f>
        <x:v>1</x:v>
      </x:c>
      <x:c r="L590" s="1" t="n">
        <x:f>IF(AND(K590=1,G590&lt;&gt;"",G590&lt;=F590),1,0)</x:f>
        <x:v>0</x:v>
      </x:c>
      <x:c r="M590" s="1" t="n">
        <x:f>IF(AND(G590&lt;&gt;"",G590&lt;Reporting!$B$4),1,0)</x:f>
        <x:v>1</x:v>
      </x:c>
      <x:c r="N590" s="16" t="n">
        <x:f>IF(M590=1,G590-E590,"")</x:f>
        <x:v>9.041666666671517</x:v>
      </x:c>
      <x:c r="O590" s="1" t="str">
        <x:f>IF(E590&gt;=Reporting!$B$4,"Outside cutoff",IF(M590=1,"Closed",IF(J590=1,"Overdue","Open - within SLA")))</x:f>
        <x:v>Closed</x:v>
      </x:c>
    </x:row>
    <x:row r="591">
      <x:c r="A591" s="14" t="str">
        <x:v>CASE-00586</x:v>
      </x:c>
      <x:c r="B591" s="14" t="str">
        <x:v>Warehouse</x:v>
      </x:c>
      <x:c r="C591" s="14" t="str">
        <x:v>Record mismatch</x:v>
      </x:c>
      <x:c r="D591" s="14" t="str">
        <x:v>Medium</x:v>
      </x:c>
      <x:c r="E591" s="15" t="n">
        <x:v>46258.458333333336</x:v>
      </x:c>
      <x:c r="F591" s="15" t="n">
        <x:v>46265.458333333336</x:v>
      </x:c>
      <x:c r="G591" s="15"/>
      <x:c r="H591" s="14" t="n">
        <x:v>2</x:v>
      </x:c>
      <x:c r="I591" s="1" t="n">
        <x:f>IF(AND(E591&lt;Reporting!$B$4,OR(G591="",G591&gt;=Reporting!$B$4)),1,0)</x:f>
        <x:v>1</x:v>
      </x:c>
      <x:c r="J591" s="1" t="n">
        <x:f>IF(AND(I591=1,F591&lt;Reporting!$B$4),1,0)</x:f>
        <x:v>1</x:v>
      </x:c>
      <x:c r="K591" s="1" t="n">
        <x:f>IF(F591&lt;Reporting!$B$4,1,0)</x:f>
        <x:v>1</x:v>
      </x:c>
      <x:c r="L591" s="1" t="n">
        <x:f>IF(AND(K591=1,G591&lt;&gt;"",G591&lt;=F591),1,0)</x:f>
        <x:v>0</x:v>
      </x:c>
      <x:c r="M591" s="1" t="n">
        <x:f>IF(AND(G591&lt;&gt;"",G591&lt;Reporting!$B$4),1,0)</x:f>
        <x:v>0</x:v>
      </x:c>
      <x:c r="N591" s="16" t="str">
        <x:f>IF(M591=1,G591-E591,"")</x:f>
      </x:c>
      <x:c r="O591" s="1" t="str">
        <x:f>IF(E591&gt;=Reporting!$B$4,"Outside cutoff",IF(M591=1,"Closed",IF(J591=1,"Overdue","Open - within SLA")))</x:f>
        <x:v>Overdue</x:v>
      </x:c>
    </x:row>
    <x:row r="592">
      <x:c r="A592" s="14" t="str">
        <x:v>CASE-00587</x:v>
      </x:c>
      <x:c r="B592" s="14" t="str">
        <x:v>Warehouse</x:v>
      </x:c>
      <x:c r="C592" s="14" t="str">
        <x:v>Missing evidence</x:v>
      </x:c>
      <x:c r="D592" s="14" t="str">
        <x:v>Low</x:v>
      </x:c>
      <x:c r="E592" s="15" t="n">
        <x:v>46278.625</x:v>
      </x:c>
      <x:c r="F592" s="15" t="n">
        <x:v>46292.625</x:v>
      </x:c>
      <x:c r="G592" s="15"/>
      <x:c r="H592" s="14" t="n">
        <x:v>2</x:v>
      </x:c>
      <x:c r="I592" s="1" t="n">
        <x:f>IF(AND(E592&lt;Reporting!$B$4,OR(G592="",G592&gt;=Reporting!$B$4)),1,0)</x:f>
        <x:v>1</x:v>
      </x:c>
      <x:c r="J592" s="1" t="n">
        <x:f>IF(AND(I592=1,F592&lt;Reporting!$B$4),1,0)</x:f>
        <x:v>0</x:v>
      </x:c>
      <x:c r="K592" s="1" t="n">
        <x:f>IF(F592&lt;Reporting!$B$4,1,0)</x:f>
        <x:v>0</x:v>
      </x:c>
      <x:c r="L592" s="1" t="n">
        <x:f>IF(AND(K592=1,G592&lt;&gt;"",G592&lt;=F592),1,0)</x:f>
        <x:v>0</x:v>
      </x:c>
      <x:c r="M592" s="1" t="n">
        <x:f>IF(AND(G592&lt;&gt;"",G592&lt;Reporting!$B$4),1,0)</x:f>
        <x:v>0</x:v>
      </x:c>
      <x:c r="N592" s="16" t="str">
        <x:f>IF(M592=1,G592-E592,"")</x:f>
      </x:c>
      <x:c r="O592" s="1" t="str">
        <x:f>IF(E592&gt;=Reporting!$B$4,"Outside cutoff",IF(M592=1,"Closed",IF(J592=1,"Overdue","Open - within SLA")))</x:f>
        <x:v>Open - within SLA</x:v>
      </x:c>
    </x:row>
    <x:row r="593">
      <x:c r="A593" s="14" t="str">
        <x:v>CASE-00588</x:v>
      </x:c>
      <x:c r="B593" s="14" t="str">
        <x:v>Customer Services</x:v>
      </x:c>
      <x:c r="C593" s="14" t="str">
        <x:v>Record mismatch</x:v>
      </x:c>
      <x:c r="D593" s="14" t="str">
        <x:v>Medium</x:v>
      </x:c>
      <x:c r="E593" s="15" t="n">
        <x:v>46224.458333333336</x:v>
      </x:c>
      <x:c r="F593" s="15" t="n">
        <x:v>46231.458333333336</x:v>
      </x:c>
      <x:c r="G593" s="15" t="n">
        <x:v>46239.5</x:v>
      </x:c>
      <x:c r="H593" s="14" t="n">
        <x:v>1</x:v>
      </x:c>
      <x:c r="I593" s="1" t="n">
        <x:f>IF(AND(E593&lt;Reporting!$B$4,OR(G593="",G593&gt;=Reporting!$B$4)),1,0)</x:f>
        <x:v>0</x:v>
      </x:c>
      <x:c r="J593" s="1" t="n">
        <x:f>IF(AND(I593=1,F593&lt;Reporting!$B$4),1,0)</x:f>
        <x:v>0</x:v>
      </x:c>
      <x:c r="K593" s="1" t="n">
        <x:f>IF(F593&lt;Reporting!$B$4,1,0)</x:f>
        <x:v>1</x:v>
      </x:c>
      <x:c r="L593" s="1" t="n">
        <x:f>IF(AND(K593=1,G593&lt;&gt;"",G593&lt;=F593),1,0)</x:f>
        <x:v>0</x:v>
      </x:c>
      <x:c r="M593" s="1" t="n">
        <x:f>IF(AND(G593&lt;&gt;"",G593&lt;Reporting!$B$4),1,0)</x:f>
        <x:v>1</x:v>
      </x:c>
      <x:c r="N593" s="16" t="n">
        <x:f>IF(M593=1,G593-E593,"")</x:f>
        <x:v>15.041666666664241</x:v>
      </x:c>
      <x:c r="O593" s="1" t="str">
        <x:f>IF(E593&gt;=Reporting!$B$4,"Outside cutoff",IF(M593=1,"Closed",IF(J593=1,"Overdue","Open - within SLA")))</x:f>
        <x:v>Closed</x:v>
      </x:c>
    </x:row>
    <x:row r="594">
      <x:c r="A594" s="14" t="str">
        <x:v>CASE-00589</x:v>
      </x:c>
      <x:c r="B594" s="14" t="str">
        <x:v>Customer Services</x:v>
      </x:c>
      <x:c r="C594" s="14" t="str">
        <x:v>Late review</x:v>
      </x:c>
      <x:c r="D594" s="14" t="str">
        <x:v>Medium</x:v>
      </x:c>
      <x:c r="E594" s="15" t="n">
        <x:v>46283.416666666664</x:v>
      </x:c>
      <x:c r="F594" s="15" t="n">
        <x:v>46290.416666666664</x:v>
      </x:c>
      <x:c r="G594" s="15"/>
      <x:c r="H594" s="14" t="n">
        <x:v>1</x:v>
      </x:c>
      <x:c r="I594" s="1" t="n">
        <x:f>IF(AND(E594&lt;Reporting!$B$4,OR(G594="",G594&gt;=Reporting!$B$4)),1,0)</x:f>
        <x:v>1</x:v>
      </x:c>
      <x:c r="J594" s="1" t="n">
        <x:f>IF(AND(I594=1,F594&lt;Reporting!$B$4),1,0)</x:f>
        <x:v>0</x:v>
      </x:c>
      <x:c r="K594" s="1" t="n">
        <x:f>IF(F594&lt;Reporting!$B$4,1,0)</x:f>
        <x:v>0</x:v>
      </x:c>
      <x:c r="L594" s="1" t="n">
        <x:f>IF(AND(K594=1,G594&lt;&gt;"",G594&lt;=F594),1,0)</x:f>
        <x:v>0</x:v>
      </x:c>
      <x:c r="M594" s="1" t="n">
        <x:f>IF(AND(G594&lt;&gt;"",G594&lt;Reporting!$B$4),1,0)</x:f>
        <x:v>0</x:v>
      </x:c>
      <x:c r="N594" s="16" t="str">
        <x:f>IF(M594=1,G594-E594,"")</x:f>
      </x:c>
      <x:c r="O594" s="1" t="str">
        <x:f>IF(E594&gt;=Reporting!$B$4,"Outside cutoff",IF(M594=1,"Closed",IF(J594=1,"Overdue","Open - within SLA")))</x:f>
        <x:v>Open - within SLA</x:v>
      </x:c>
    </x:row>
    <x:row r="595">
      <x:c r="A595" s="14" t="str">
        <x:v>CASE-00590</x:v>
      </x:c>
      <x:c r="B595" s="14" t="str">
        <x:v>Warehouse</x:v>
      </x:c>
      <x:c r="C595" s="14" t="str">
        <x:v>Process deviation</x:v>
      </x:c>
      <x:c r="D595" s="14" t="str">
        <x:v>Low</x:v>
      </x:c>
      <x:c r="E595" s="15" t="n">
        <x:v>46205.625</x:v>
      </x:c>
      <x:c r="F595" s="15" t="n">
        <x:v>46219.625</x:v>
      </x:c>
      <x:c r="G595" s="15" t="n">
        <x:v>46220.666666666664</x:v>
      </x:c>
      <x:c r="H595" s="14" t="n">
        <x:v>2</x:v>
      </x:c>
      <x:c r="I595" s="1" t="n">
        <x:f>IF(AND(E595&lt;Reporting!$B$4,OR(G595="",G595&gt;=Reporting!$B$4)),1,0)</x:f>
        <x:v>0</x:v>
      </x:c>
      <x:c r="J595" s="1" t="n">
        <x:f>IF(AND(I595=1,F595&lt;Reporting!$B$4),1,0)</x:f>
        <x:v>0</x:v>
      </x:c>
      <x:c r="K595" s="1" t="n">
        <x:f>IF(F595&lt;Reporting!$B$4,1,0)</x:f>
        <x:v>1</x:v>
      </x:c>
      <x:c r="L595" s="1" t="n">
        <x:f>IF(AND(K595=1,G595&lt;&gt;"",G595&lt;=F595),1,0)</x:f>
        <x:v>0</x:v>
      </x:c>
      <x:c r="M595" s="1" t="n">
        <x:f>IF(AND(G595&lt;&gt;"",G595&lt;Reporting!$B$4),1,0)</x:f>
        <x:v>1</x:v>
      </x:c>
      <x:c r="N595" s="16" t="n">
        <x:f>IF(M595=1,G595-E595,"")</x:f>
        <x:v>15.041666666664241</x:v>
      </x:c>
      <x:c r="O595" s="1" t="str">
        <x:f>IF(E595&gt;=Reporting!$B$4,"Outside cutoff",IF(M595=1,"Closed",IF(J595=1,"Overdue","Open - within SLA")))</x:f>
        <x:v>Closed</x:v>
      </x:c>
    </x:row>
    <x:row r="596">
      <x:c r="A596" s="14" t="str">
        <x:v>CASE-00591</x:v>
      </x:c>
      <x:c r="B596" s="14" t="str">
        <x:v>Warehouse</x:v>
      </x:c>
      <x:c r="C596" s="14" t="str">
        <x:v>Missing evidence</x:v>
      </x:c>
      <x:c r="D596" s="14" t="str">
        <x:v>Medium</x:v>
      </x:c>
      <x:c r="E596" s="15" t="n">
        <x:v>46262.541666666664</x:v>
      </x:c>
      <x:c r="F596" s="15" t="n">
        <x:v>46269.541666666664</x:v>
      </x:c>
      <x:c r="G596" s="15"/>
      <x:c r="H596" s="14" t="n">
        <x:v>2</x:v>
      </x:c>
      <x:c r="I596" s="1" t="n">
        <x:f>IF(AND(E596&lt;Reporting!$B$4,OR(G596="",G596&gt;=Reporting!$B$4)),1,0)</x:f>
        <x:v>1</x:v>
      </x:c>
      <x:c r="J596" s="1" t="n">
        <x:f>IF(AND(I596=1,F596&lt;Reporting!$B$4),1,0)</x:f>
        <x:v>1</x:v>
      </x:c>
      <x:c r="K596" s="1" t="n">
        <x:f>IF(F596&lt;Reporting!$B$4,1,0)</x:f>
        <x:v>1</x:v>
      </x:c>
      <x:c r="L596" s="1" t="n">
        <x:f>IF(AND(K596=1,G596&lt;&gt;"",G596&lt;=F596),1,0)</x:f>
        <x:v>0</x:v>
      </x:c>
      <x:c r="M596" s="1" t="n">
        <x:f>IF(AND(G596&lt;&gt;"",G596&lt;Reporting!$B$4),1,0)</x:f>
        <x:v>0</x:v>
      </x:c>
      <x:c r="N596" s="16" t="str">
        <x:f>IF(M596=1,G596-E596,"")</x:f>
      </x:c>
      <x:c r="O596" s="1" t="str">
        <x:f>IF(E596&gt;=Reporting!$B$4,"Outside cutoff",IF(M596=1,"Closed",IF(J596=1,"Overdue","Open - within SLA")))</x:f>
        <x:v>Overdue</x:v>
      </x:c>
    </x:row>
    <x:row r="597">
      <x:c r="A597" s="14" t="str">
        <x:v>CASE-00592</x:v>
      </x:c>
      <x:c r="B597" s="14" t="str">
        <x:v>Installation</x:v>
      </x:c>
      <x:c r="C597" s="14" t="str">
        <x:v>Missing evidence</x:v>
      </x:c>
      <x:c r="D597" s="14" t="str">
        <x:v>Medium</x:v>
      </x:c>
      <x:c r="E597" s="15" t="n">
        <x:v>46228.666666666664</x:v>
      </x:c>
      <x:c r="F597" s="15" t="n">
        <x:v>46235.666666666664</x:v>
      </x:c>
      <x:c r="G597" s="15" t="n">
        <x:v>46240.666666666664</x:v>
      </x:c>
      <x:c r="H597" s="14" t="n">
        <x:v>3</x:v>
      </x:c>
      <x:c r="I597" s="1" t="n">
        <x:f>IF(AND(E597&lt;Reporting!$B$4,OR(G597="",G597&gt;=Reporting!$B$4)),1,0)</x:f>
        <x:v>0</x:v>
      </x:c>
      <x:c r="J597" s="1" t="n">
        <x:f>IF(AND(I597=1,F597&lt;Reporting!$B$4),1,0)</x:f>
        <x:v>0</x:v>
      </x:c>
      <x:c r="K597" s="1" t="n">
        <x:f>IF(F597&lt;Reporting!$B$4,1,0)</x:f>
        <x:v>1</x:v>
      </x:c>
      <x:c r="L597" s="1" t="n">
        <x:f>IF(AND(K597=1,G597&lt;&gt;"",G597&lt;=F597),1,0)</x:f>
        <x:v>0</x:v>
      </x:c>
      <x:c r="M597" s="1" t="n">
        <x:f>IF(AND(G597&lt;&gt;"",G597&lt;Reporting!$B$4),1,0)</x:f>
        <x:v>1</x:v>
      </x:c>
      <x:c r="N597" s="16" t="n">
        <x:f>IF(M597=1,G597-E597,"")</x:f>
        <x:v>12</x:v>
      </x:c>
      <x:c r="O597" s="1" t="str">
        <x:f>IF(E597&gt;=Reporting!$B$4,"Outside cutoff",IF(M597=1,"Closed",IF(J597=1,"Overdue","Open - within SLA")))</x:f>
        <x:v>Closed</x:v>
      </x:c>
    </x:row>
    <x:row r="598">
      <x:c r="A598" s="14" t="str">
        <x:v>CASE-00593</x:v>
      </x:c>
      <x:c r="B598" s="14" t="str">
        <x:v>Customer Services</x:v>
      </x:c>
      <x:c r="C598" s="14" t="str">
        <x:v>Process deviation</x:v>
      </x:c>
      <x:c r="D598" s="14" t="str">
        <x:v>Medium</x:v>
      </x:c>
      <x:c r="E598" s="15" t="n">
        <x:v>46252.625</x:v>
      </x:c>
      <x:c r="F598" s="15" t="n">
        <x:v>46259.625</x:v>
      </x:c>
      <x:c r="G598" s="15" t="n">
        <x:v>46259.625</x:v>
      </x:c>
      <x:c r="H598" s="14" t="n">
        <x:v>1</x:v>
      </x:c>
      <x:c r="I598" s="1" t="n">
        <x:f>IF(AND(E598&lt;Reporting!$B$4,OR(G598="",G598&gt;=Reporting!$B$4)),1,0)</x:f>
        <x:v>0</x:v>
      </x:c>
      <x:c r="J598" s="1" t="n">
        <x:f>IF(AND(I598=1,F598&lt;Reporting!$B$4),1,0)</x:f>
        <x:v>0</x:v>
      </x:c>
      <x:c r="K598" s="1" t="n">
        <x:f>IF(F598&lt;Reporting!$B$4,1,0)</x:f>
        <x:v>1</x:v>
      </x:c>
      <x:c r="L598" s="1" t="n">
        <x:f>IF(AND(K598=1,G598&lt;&gt;"",G598&lt;=F598),1,0)</x:f>
        <x:v>1</x:v>
      </x:c>
      <x:c r="M598" s="1" t="n">
        <x:f>IF(AND(G598&lt;&gt;"",G598&lt;Reporting!$B$4),1,0)</x:f>
        <x:v>1</x:v>
      </x:c>
      <x:c r="N598" s="16" t="n">
        <x:f>IF(M598=1,G598-E598,"")</x:f>
        <x:v>7</x:v>
      </x:c>
      <x:c r="O598" s="1" t="str">
        <x:f>IF(E598&gt;=Reporting!$B$4,"Outside cutoff",IF(M598=1,"Closed",IF(J598=1,"Overdue","Open - within SLA")))</x:f>
        <x:v>Closed</x:v>
      </x:c>
    </x:row>
    <x:row r="599">
      <x:c r="A599" s="14" t="str">
        <x:v>CASE-00594</x:v>
      </x:c>
      <x:c r="B599" s="14" t="str">
        <x:v>Installation</x:v>
      </x:c>
      <x:c r="C599" s="14" t="str">
        <x:v>Late review</x:v>
      </x:c>
      <x:c r="D599" s="14" t="str">
        <x:v>Medium</x:v>
      </x:c>
      <x:c r="E599" s="15" t="n">
        <x:v>46232.458333333336</x:v>
      </x:c>
      <x:c r="F599" s="15" t="n">
        <x:v>46239.458333333336</x:v>
      </x:c>
      <x:c r="G599" s="15" t="n">
        <x:v>46250.5</x:v>
      </x:c>
      <x:c r="H599" s="14" t="n">
        <x:v>3</x:v>
      </x:c>
      <x:c r="I599" s="1" t="n">
        <x:f>IF(AND(E599&lt;Reporting!$B$4,OR(G599="",G599&gt;=Reporting!$B$4)),1,0)</x:f>
        <x:v>0</x:v>
      </x:c>
      <x:c r="J599" s="1" t="n">
        <x:f>IF(AND(I599=1,F599&lt;Reporting!$B$4),1,0)</x:f>
        <x:v>0</x:v>
      </x:c>
      <x:c r="K599" s="1" t="n">
        <x:f>IF(F599&lt;Reporting!$B$4,1,0)</x:f>
        <x:v>1</x:v>
      </x:c>
      <x:c r="L599" s="1" t="n">
        <x:f>IF(AND(K599=1,G599&lt;&gt;"",G599&lt;=F599),1,0)</x:f>
        <x:v>0</x:v>
      </x:c>
      <x:c r="M599" s="1" t="n">
        <x:f>IF(AND(G599&lt;&gt;"",G599&lt;Reporting!$B$4),1,0)</x:f>
        <x:v>1</x:v>
      </x:c>
      <x:c r="N599" s="16" t="n">
        <x:f>IF(M599=1,G599-E599,"")</x:f>
        <x:v>18.04166666666424</x:v>
      </x:c>
      <x:c r="O599" s="1" t="str">
        <x:f>IF(E599&gt;=Reporting!$B$4,"Outside cutoff",IF(M599=1,"Closed",IF(J599=1,"Overdue","Open - within SLA")))</x:f>
        <x:v>Closed</x:v>
      </x:c>
    </x:row>
    <x:row r="600">
      <x:c r="A600" s="14" t="str">
        <x:v>CASE-00595</x:v>
      </x:c>
      <x:c r="B600" s="14" t="str">
        <x:v>Warehouse</x:v>
      </x:c>
      <x:c r="C600" s="14" t="str">
        <x:v>Process deviation</x:v>
      </x:c>
      <x:c r="D600" s="14" t="str">
        <x:v>Medium</x:v>
      </x:c>
      <x:c r="E600" s="15" t="n">
        <x:v>46271.458333333336</x:v>
      </x:c>
      <x:c r="F600" s="15" t="n">
        <x:v>46278.458333333336</x:v>
      </x:c>
      <x:c r="G600" s="15"/>
      <x:c r="H600" s="14" t="n">
        <x:v>2</x:v>
      </x:c>
      <x:c r="I600" s="1" t="n">
        <x:f>IF(AND(E600&lt;Reporting!$B$4,OR(G600="",G600&gt;=Reporting!$B$4)),1,0)</x:f>
        <x:v>1</x:v>
      </x:c>
      <x:c r="J600" s="1" t="n">
        <x:f>IF(AND(I600=1,F600&lt;Reporting!$B$4),1,0)</x:f>
        <x:v>1</x:v>
      </x:c>
      <x:c r="K600" s="1" t="n">
        <x:f>IF(F600&lt;Reporting!$B$4,1,0)</x:f>
        <x:v>1</x:v>
      </x:c>
      <x:c r="L600" s="1" t="n">
        <x:f>IF(AND(K600=1,G600&lt;&gt;"",G600&lt;=F600),1,0)</x:f>
        <x:v>0</x:v>
      </x:c>
      <x:c r="M600" s="1" t="n">
        <x:f>IF(AND(G600&lt;&gt;"",G600&lt;Reporting!$B$4),1,0)</x:f>
        <x:v>0</x:v>
      </x:c>
      <x:c r="N600" s="16" t="str">
        <x:f>IF(M600=1,G600-E600,"")</x:f>
      </x:c>
      <x:c r="O600" s="1" t="str">
        <x:f>IF(E600&gt;=Reporting!$B$4,"Outside cutoff",IF(M600=1,"Closed",IF(J600=1,"Overdue","Open - within SLA")))</x:f>
        <x:v>Overdue</x:v>
      </x:c>
    </x:row>
    <x:row r="601">
      <x:c r="A601" s="14" t="str">
        <x:v>CASE-00596</x:v>
      </x:c>
      <x:c r="B601" s="14" t="str">
        <x:v>Warehouse</x:v>
      </x:c>
      <x:c r="C601" s="14" t="str">
        <x:v>Record mismatch</x:v>
      </x:c>
      <x:c r="D601" s="14" t="str">
        <x:v>Medium</x:v>
      </x:c>
      <x:c r="E601" s="15" t="n">
        <x:v>46220.625</x:v>
      </x:c>
      <x:c r="F601" s="15" t="n">
        <x:v>46227.625</x:v>
      </x:c>
      <x:c r="G601" s="15" t="n">
        <x:v>46226.625</x:v>
      </x:c>
      <x:c r="H601" s="14" t="n">
        <x:v>2</x:v>
      </x:c>
      <x:c r="I601" s="1" t="n">
        <x:f>IF(AND(E601&lt;Reporting!$B$4,OR(G601="",G601&gt;=Reporting!$B$4)),1,0)</x:f>
        <x:v>0</x:v>
      </x:c>
      <x:c r="J601" s="1" t="n">
        <x:f>IF(AND(I601=1,F601&lt;Reporting!$B$4),1,0)</x:f>
        <x:v>0</x:v>
      </x:c>
      <x:c r="K601" s="1" t="n">
        <x:f>IF(F601&lt;Reporting!$B$4,1,0)</x:f>
        <x:v>1</x:v>
      </x:c>
      <x:c r="L601" s="1" t="n">
        <x:f>IF(AND(K601=1,G601&lt;&gt;"",G601&lt;=F601),1,0)</x:f>
        <x:v>1</x:v>
      </x:c>
      <x:c r="M601" s="1" t="n">
        <x:f>IF(AND(G601&lt;&gt;"",G601&lt;Reporting!$B$4),1,0)</x:f>
        <x:v>1</x:v>
      </x:c>
      <x:c r="N601" s="16" t="n">
        <x:f>IF(M601=1,G601-E601,"")</x:f>
        <x:v>6</x:v>
      </x:c>
      <x:c r="O601" s="1" t="str">
        <x:f>IF(E601&gt;=Reporting!$B$4,"Outside cutoff",IF(M601=1,"Closed",IF(J601=1,"Overdue","Open - within SLA")))</x:f>
        <x:v>Closed</x:v>
      </x:c>
    </x:row>
    <x:row r="602">
      <x:c r="A602" s="14" t="str">
        <x:v>CASE-00597</x:v>
      </x:c>
      <x:c r="B602" s="14" t="str">
        <x:v>Installation</x:v>
      </x:c>
      <x:c r="C602" s="14" t="str">
        <x:v>Late review</x:v>
      </x:c>
      <x:c r="D602" s="14" t="str">
        <x:v>Medium</x:v>
      </x:c>
      <x:c r="E602" s="15" t="n">
        <x:v>46231.541666666664</x:v>
      </x:c>
      <x:c r="F602" s="15" t="n">
        <x:v>46238.541666666664</x:v>
      </x:c>
      <x:c r="G602" s="15" t="n">
        <x:v>46240.541666666664</x:v>
      </x:c>
      <x:c r="H602" s="14" t="n">
        <x:v>3</x:v>
      </x:c>
      <x:c r="I602" s="1" t="n">
        <x:f>IF(AND(E602&lt;Reporting!$B$4,OR(G602="",G602&gt;=Reporting!$B$4)),1,0)</x:f>
        <x:v>0</x:v>
      </x:c>
      <x:c r="J602" s="1" t="n">
        <x:f>IF(AND(I602=1,F602&lt;Reporting!$B$4),1,0)</x:f>
        <x:v>0</x:v>
      </x:c>
      <x:c r="K602" s="1" t="n">
        <x:f>IF(F602&lt;Reporting!$B$4,1,0)</x:f>
        <x:v>1</x:v>
      </x:c>
      <x:c r="L602" s="1" t="n">
        <x:f>IF(AND(K602=1,G602&lt;&gt;"",G602&lt;=F602),1,0)</x:f>
        <x:v>0</x:v>
      </x:c>
      <x:c r="M602" s="1" t="n">
        <x:f>IF(AND(G602&lt;&gt;"",G602&lt;Reporting!$B$4),1,0)</x:f>
        <x:v>1</x:v>
      </x:c>
      <x:c r="N602" s="16" t="n">
        <x:f>IF(M602=1,G602-E602,"")</x:f>
        <x:v>9</x:v>
      </x:c>
      <x:c r="O602" s="1" t="str">
        <x:f>IF(E602&gt;=Reporting!$B$4,"Outside cutoff",IF(M602=1,"Closed",IF(J602=1,"Overdue","Open - within SLA")))</x:f>
        <x:v>Closed</x:v>
      </x:c>
    </x:row>
    <x:row r="603">
      <x:c r="A603" s="14" t="str">
        <x:v>CASE-00598</x:v>
      </x:c>
      <x:c r="B603" s="14" t="str">
        <x:v>Warehouse</x:v>
      </x:c>
      <x:c r="C603" s="14" t="str">
        <x:v>Late review</x:v>
      </x:c>
      <x:c r="D603" s="14" t="str">
        <x:v>Low</x:v>
      </x:c>
      <x:c r="E603" s="15" t="n">
        <x:v>46219.666666666664</x:v>
      </x:c>
      <x:c r="F603" s="15" t="n">
        <x:v>46233.666666666664</x:v>
      </x:c>
      <x:c r="G603" s="15" t="n">
        <x:v>46229.75</x:v>
      </x:c>
      <x:c r="H603" s="14" t="n">
        <x:v>2</x:v>
      </x:c>
      <x:c r="I603" s="1" t="n">
        <x:f>IF(AND(E603&lt;Reporting!$B$4,OR(G603="",G603&gt;=Reporting!$B$4)),1,0)</x:f>
        <x:v>0</x:v>
      </x:c>
      <x:c r="J603" s="1" t="n">
        <x:f>IF(AND(I603=1,F603&lt;Reporting!$B$4),1,0)</x:f>
        <x:v>0</x:v>
      </x:c>
      <x:c r="K603" s="1" t="n">
        <x:f>IF(F603&lt;Reporting!$B$4,1,0)</x:f>
        <x:v>1</x:v>
      </x:c>
      <x:c r="L603" s="1" t="n">
        <x:f>IF(AND(K603=1,G603&lt;&gt;"",G603&lt;=F603),1,0)</x:f>
        <x:v>1</x:v>
      </x:c>
      <x:c r="M603" s="1" t="n">
        <x:f>IF(AND(G603&lt;&gt;"",G603&lt;Reporting!$B$4),1,0)</x:f>
        <x:v>1</x:v>
      </x:c>
      <x:c r="N603" s="16" t="n">
        <x:f>IF(M603=1,G603-E603,"")</x:f>
        <x:v>10.083333333335759</x:v>
      </x:c>
      <x:c r="O603" s="1" t="str">
        <x:f>IF(E603&gt;=Reporting!$B$4,"Outside cutoff",IF(M603=1,"Closed",IF(J603=1,"Overdue","Open - within SLA")))</x:f>
        <x:v>Closed</x:v>
      </x:c>
    </x:row>
    <x:row r="604">
      <x:c r="A604" s="14" t="str">
        <x:v>CASE-00599</x:v>
      </x:c>
      <x:c r="B604" s="14" t="str">
        <x:v>Installation</x:v>
      </x:c>
      <x:c r="C604" s="14" t="str">
        <x:v>Record mismatch</x:v>
      </x:c>
      <x:c r="D604" s="14" t="str">
        <x:v>Medium</x:v>
      </x:c>
      <x:c r="E604" s="15" t="n">
        <x:v>46211.583333333336</x:v>
      </x:c>
      <x:c r="F604" s="15" t="n">
        <x:v>46218.583333333336</x:v>
      </x:c>
      <x:c r="G604" s="15" t="n">
        <x:v>46220.625</x:v>
      </x:c>
      <x:c r="H604" s="14" t="n">
        <x:v>3</x:v>
      </x:c>
      <x:c r="I604" s="1" t="n">
        <x:f>IF(AND(E604&lt;Reporting!$B$4,OR(G604="",G604&gt;=Reporting!$B$4)),1,0)</x:f>
        <x:v>0</x:v>
      </x:c>
      <x:c r="J604" s="1" t="n">
        <x:f>IF(AND(I604=1,F604&lt;Reporting!$B$4),1,0)</x:f>
        <x:v>0</x:v>
      </x:c>
      <x:c r="K604" s="1" t="n">
        <x:f>IF(F604&lt;Reporting!$B$4,1,0)</x:f>
        <x:v>1</x:v>
      </x:c>
      <x:c r="L604" s="1" t="n">
        <x:f>IF(AND(K604=1,G604&lt;&gt;"",G604&lt;=F604),1,0)</x:f>
        <x:v>0</x:v>
      </x:c>
      <x:c r="M604" s="1" t="n">
        <x:f>IF(AND(G604&lt;&gt;"",G604&lt;Reporting!$B$4),1,0)</x:f>
        <x:v>1</x:v>
      </x:c>
      <x:c r="N604" s="16" t="n">
        <x:f>IF(M604=1,G604-E604,"")</x:f>
        <x:v>9.041666666664241</x:v>
      </x:c>
      <x:c r="O604" s="1" t="str">
        <x:f>IF(E604&gt;=Reporting!$B$4,"Outside cutoff",IF(M604=1,"Closed",IF(J604=1,"Overdue","Open - within SLA")))</x:f>
        <x:v>Closed</x:v>
      </x:c>
    </x:row>
    <x:row r="605">
      <x:c r="A605" s="14" t="str">
        <x:v>CASE-00600</x:v>
      </x:c>
      <x:c r="B605" s="14" t="str">
        <x:v>Customer Services</x:v>
      </x:c>
      <x:c r="C605" s="14" t="str">
        <x:v>Record mismatch</x:v>
      </x:c>
      <x:c r="D605" s="14" t="str">
        <x:v>Low</x:v>
      </x:c>
      <x:c r="E605" s="15" t="n">
        <x:v>46219.5</x:v>
      </x:c>
      <x:c r="F605" s="15" t="n">
        <x:v>46233.5</x:v>
      </x:c>
      <x:c r="G605" s="15" t="n">
        <x:v>46234.5</x:v>
      </x:c>
      <x:c r="H605" s="14" t="n">
        <x:v>1</x:v>
      </x:c>
      <x:c r="I605" s="1" t="n">
        <x:f>IF(AND(E605&lt;Reporting!$B$4,OR(G605="",G605&gt;=Reporting!$B$4)),1,0)</x:f>
        <x:v>0</x:v>
      </x:c>
      <x:c r="J605" s="1" t="n">
        <x:f>IF(AND(I605=1,F605&lt;Reporting!$B$4),1,0)</x:f>
        <x:v>0</x:v>
      </x:c>
      <x:c r="K605" s="1" t="n">
        <x:f>IF(F605&lt;Reporting!$B$4,1,0)</x:f>
        <x:v>1</x:v>
      </x:c>
      <x:c r="L605" s="1" t="n">
        <x:f>IF(AND(K605=1,G605&lt;&gt;"",G605&lt;=F605),1,0)</x:f>
        <x:v>0</x:v>
      </x:c>
      <x:c r="M605" s="1" t="n">
        <x:f>IF(AND(G605&lt;&gt;"",G605&lt;Reporting!$B$4),1,0)</x:f>
        <x:v>1</x:v>
      </x:c>
      <x:c r="N605" s="16" t="n">
        <x:f>IF(M605=1,G605-E605,"")</x:f>
        <x:v>15</x:v>
      </x:c>
      <x:c r="O605" s="1" t="str">
        <x:f>IF(E605&gt;=Reporting!$B$4,"Outside cutoff",IF(M605=1,"Closed",IF(J605=1,"Overdue","Open - within SLA")))</x:f>
        <x:v>Closed</x:v>
      </x:c>
    </x:row>
    <x:row r="606">
      <x:c r="A606" s="14" t="str">
        <x:v>CASE-00601</x:v>
      </x:c>
      <x:c r="B606" s="14" t="str">
        <x:v>Customer Services</x:v>
      </x:c>
      <x:c r="C606" s="14" t="str">
        <x:v>Record mismatch</x:v>
      </x:c>
      <x:c r="D606" s="14" t="str">
        <x:v>High</x:v>
      </x:c>
      <x:c r="E606" s="15" t="n">
        <x:v>46282.666666666664</x:v>
      </x:c>
      <x:c r="F606" s="15" t="n">
        <x:v>46285.666666666664</x:v>
      </x:c>
      <x:c r="G606" s="15"/>
      <x:c r="H606" s="14" t="n">
        <x:v>1</x:v>
      </x:c>
      <x:c r="I606" s="1" t="n">
        <x:f>IF(AND(E606&lt;Reporting!$B$4,OR(G606="",G606&gt;=Reporting!$B$4)),1,0)</x:f>
        <x:v>1</x:v>
      </x:c>
      <x:c r="J606" s="1" t="n">
        <x:f>IF(AND(I606=1,F606&lt;Reporting!$B$4),1,0)</x:f>
        <x:v>1</x:v>
      </x:c>
      <x:c r="K606" s="1" t="n">
        <x:f>IF(F606&lt;Reporting!$B$4,1,0)</x:f>
        <x:v>1</x:v>
      </x:c>
      <x:c r="L606" s="1" t="n">
        <x:f>IF(AND(K606=1,G606&lt;&gt;"",G606&lt;=F606),1,0)</x:f>
        <x:v>0</x:v>
      </x:c>
      <x:c r="M606" s="1" t="n">
        <x:f>IF(AND(G606&lt;&gt;"",G606&lt;Reporting!$B$4),1,0)</x:f>
        <x:v>0</x:v>
      </x:c>
      <x:c r="N606" s="16" t="str">
        <x:f>IF(M606=1,G606-E606,"")</x:f>
      </x:c>
      <x:c r="O606" s="1" t="str">
        <x:f>IF(E606&gt;=Reporting!$B$4,"Outside cutoff",IF(M606=1,"Closed",IF(J606=1,"Overdue","Open - within SLA")))</x:f>
        <x:v>Overdue</x:v>
      </x:c>
    </x:row>
    <x:row r="607">
      <x:c r="A607" s="14" t="str">
        <x:v>CASE-00602</x:v>
      </x:c>
      <x:c r="B607" s="14" t="str">
        <x:v>Customer Services</x:v>
      </x:c>
      <x:c r="C607" s="14" t="str">
        <x:v>Late review</x:v>
      </x:c>
      <x:c r="D607" s="14" t="str">
        <x:v>High</x:v>
      </x:c>
      <x:c r="E607" s="15" t="n">
        <x:v>46217.625</x:v>
      </x:c>
      <x:c r="F607" s="15" t="n">
        <x:v>46220.625</x:v>
      </x:c>
      <x:c r="G607" s="15" t="n">
        <x:v>46220.708333333336</x:v>
      </x:c>
      <x:c r="H607" s="14" t="n">
        <x:v>1</x:v>
      </x:c>
      <x:c r="I607" s="1" t="n">
        <x:f>IF(AND(E607&lt;Reporting!$B$4,OR(G607="",G607&gt;=Reporting!$B$4)),1,0)</x:f>
        <x:v>0</x:v>
      </x:c>
      <x:c r="J607" s="1" t="n">
        <x:f>IF(AND(I607=1,F607&lt;Reporting!$B$4),1,0)</x:f>
        <x:v>0</x:v>
      </x:c>
      <x:c r="K607" s="1" t="n">
        <x:f>IF(F607&lt;Reporting!$B$4,1,0)</x:f>
        <x:v>1</x:v>
      </x:c>
      <x:c r="L607" s="1" t="n">
        <x:f>IF(AND(K607=1,G607&lt;&gt;"",G607&lt;=F607),1,0)</x:f>
        <x:v>0</x:v>
      </x:c>
      <x:c r="M607" s="1" t="n">
        <x:f>IF(AND(G607&lt;&gt;"",G607&lt;Reporting!$B$4),1,0)</x:f>
        <x:v>1</x:v>
      </x:c>
      <x:c r="N607" s="16" t="n">
        <x:f>IF(M607=1,G607-E607,"")</x:f>
        <x:v>3.0833333333357587</x:v>
      </x:c>
      <x:c r="O607" s="1" t="str">
        <x:f>IF(E607&gt;=Reporting!$B$4,"Outside cutoff",IF(M607=1,"Closed",IF(J607=1,"Overdue","Open - within SLA")))</x:f>
        <x:v>Closed</x:v>
      </x:c>
    </x:row>
    <x:row r="608">
      <x:c r="A608" s="14" t="str">
        <x:v>CASE-00603</x:v>
      </x:c>
      <x:c r="B608" s="14" t="str">
        <x:v>Installation</x:v>
      </x:c>
      <x:c r="C608" s="14" t="str">
        <x:v>Missing evidence</x:v>
      </x:c>
      <x:c r="D608" s="14" t="str">
        <x:v>Low</x:v>
      </x:c>
      <x:c r="E608" s="15" t="n">
        <x:v>46257.375</x:v>
      </x:c>
      <x:c r="F608" s="15" t="n">
        <x:v>46271.375</x:v>
      </x:c>
      <x:c r="G608" s="15" t="n">
        <x:v>46267.458333333336</x:v>
      </x:c>
      <x:c r="H608" s="14" t="n">
        <x:v>3</x:v>
      </x:c>
      <x:c r="I608" s="1" t="n">
        <x:f>IF(AND(E608&lt;Reporting!$B$4,OR(G608="",G608&gt;=Reporting!$B$4)),1,0)</x:f>
        <x:v>0</x:v>
      </x:c>
      <x:c r="J608" s="1" t="n">
        <x:f>IF(AND(I608=1,F608&lt;Reporting!$B$4),1,0)</x:f>
        <x:v>0</x:v>
      </x:c>
      <x:c r="K608" s="1" t="n">
        <x:f>IF(F608&lt;Reporting!$B$4,1,0)</x:f>
        <x:v>1</x:v>
      </x:c>
      <x:c r="L608" s="1" t="n">
        <x:f>IF(AND(K608=1,G608&lt;&gt;"",G608&lt;=F608),1,0)</x:f>
        <x:v>1</x:v>
      </x:c>
      <x:c r="M608" s="1" t="n">
        <x:f>IF(AND(G608&lt;&gt;"",G608&lt;Reporting!$B$4),1,0)</x:f>
        <x:v>1</x:v>
      </x:c>
      <x:c r="N608" s="16" t="n">
        <x:f>IF(M608=1,G608-E608,"")</x:f>
        <x:v>10.083333333335759</x:v>
      </x:c>
      <x:c r="O608" s="1" t="str">
        <x:f>IF(E608&gt;=Reporting!$B$4,"Outside cutoff",IF(M608=1,"Closed",IF(J608=1,"Overdue","Open - within SLA")))</x:f>
        <x:v>Closed</x:v>
      </x:c>
    </x:row>
    <x:row r="609">
      <x:c r="A609" s="14" t="str">
        <x:v>CASE-00604</x:v>
      </x:c>
      <x:c r="B609" s="14" t="str">
        <x:v>Customer Services</x:v>
      </x:c>
      <x:c r="C609" s="14" t="str">
        <x:v>Late review</x:v>
      </x:c>
      <x:c r="D609" s="14" t="str">
        <x:v>Medium</x:v>
      </x:c>
      <x:c r="E609" s="15" t="n">
        <x:v>46231.5</x:v>
      </x:c>
      <x:c r="F609" s="15" t="n">
        <x:v>46238.5</x:v>
      </x:c>
      <x:c r="G609" s="15" t="n">
        <x:v>46245.541666666664</x:v>
      </x:c>
      <x:c r="H609" s="14" t="n">
        <x:v>1</x:v>
      </x:c>
      <x:c r="I609" s="1" t="n">
        <x:f>IF(AND(E609&lt;Reporting!$B$4,OR(G609="",G609&gt;=Reporting!$B$4)),1,0)</x:f>
        <x:v>0</x:v>
      </x:c>
      <x:c r="J609" s="1" t="n">
        <x:f>IF(AND(I609=1,F609&lt;Reporting!$B$4),1,0)</x:f>
        <x:v>0</x:v>
      </x:c>
      <x:c r="K609" s="1" t="n">
        <x:f>IF(F609&lt;Reporting!$B$4,1,0)</x:f>
        <x:v>1</x:v>
      </x:c>
      <x:c r="L609" s="1" t="n">
        <x:f>IF(AND(K609=1,G609&lt;&gt;"",G609&lt;=F609),1,0)</x:f>
        <x:v>0</x:v>
      </x:c>
      <x:c r="M609" s="1" t="n">
        <x:f>IF(AND(G609&lt;&gt;"",G609&lt;Reporting!$B$4),1,0)</x:f>
        <x:v>1</x:v>
      </x:c>
      <x:c r="N609" s="16" t="n">
        <x:f>IF(M609=1,G609-E609,"")</x:f>
        <x:v>14.041666666664241</x:v>
      </x:c>
      <x:c r="O609" s="1" t="str">
        <x:f>IF(E609&gt;=Reporting!$B$4,"Outside cutoff",IF(M609=1,"Closed",IF(J609=1,"Overdue","Open - within SLA")))</x:f>
        <x:v>Closed</x:v>
      </x:c>
    </x:row>
    <x:row r="610">
      <x:c r="A610" s="14" t="str">
        <x:v>CASE-00605</x:v>
      </x:c>
      <x:c r="B610" s="14" t="str">
        <x:v>Warehouse</x:v>
      </x:c>
      <x:c r="C610" s="14" t="str">
        <x:v>Missing evidence</x:v>
      </x:c>
      <x:c r="D610" s="14" t="str">
        <x:v>Medium</x:v>
      </x:c>
      <x:c r="E610" s="15" t="n">
        <x:v>46210.375</x:v>
      </x:c>
      <x:c r="F610" s="15" t="n">
        <x:v>46217.375</x:v>
      </x:c>
      <x:c r="G610" s="15" t="n">
        <x:v>46220.375</x:v>
      </x:c>
      <x:c r="H610" s="14" t="n">
        <x:v>2</x:v>
      </x:c>
      <x:c r="I610" s="1" t="n">
        <x:f>IF(AND(E610&lt;Reporting!$B$4,OR(G610="",G610&gt;=Reporting!$B$4)),1,0)</x:f>
        <x:v>0</x:v>
      </x:c>
      <x:c r="J610" s="1" t="n">
        <x:f>IF(AND(I610=1,F610&lt;Reporting!$B$4),1,0)</x:f>
        <x:v>0</x:v>
      </x:c>
      <x:c r="K610" s="1" t="n">
        <x:f>IF(F610&lt;Reporting!$B$4,1,0)</x:f>
        <x:v>1</x:v>
      </x:c>
      <x:c r="L610" s="1" t="n">
        <x:f>IF(AND(K610=1,G610&lt;&gt;"",G610&lt;=F610),1,0)</x:f>
        <x:v>0</x:v>
      </x:c>
      <x:c r="M610" s="1" t="n">
        <x:f>IF(AND(G610&lt;&gt;"",G610&lt;Reporting!$B$4),1,0)</x:f>
        <x:v>1</x:v>
      </x:c>
      <x:c r="N610" s="16" t="n">
        <x:f>IF(M610=1,G610-E610,"")</x:f>
        <x:v>10</x:v>
      </x:c>
      <x:c r="O610" s="1" t="str">
        <x:f>IF(E610&gt;=Reporting!$B$4,"Outside cutoff",IF(M610=1,"Closed",IF(J610=1,"Overdue","Open - within SLA")))</x:f>
        <x:v>Closed</x:v>
      </x:c>
    </x:row>
    <x:row r="611">
      <x:c r="A611" s="14" t="str">
        <x:v>CASE-00606</x:v>
      </x:c>
      <x:c r="B611" s="14" t="str">
        <x:v>Customer Services</x:v>
      </x:c>
      <x:c r="C611" s="14" t="str">
        <x:v>Record mismatch</x:v>
      </x:c>
      <x:c r="D611" s="14" t="str">
        <x:v>Medium</x:v>
      </x:c>
      <x:c r="E611" s="15" t="n">
        <x:v>46252.375</x:v>
      </x:c>
      <x:c r="F611" s="15" t="n">
        <x:v>46259.375</x:v>
      </x:c>
      <x:c r="G611" s="15" t="n">
        <x:v>46253.458333333336</x:v>
      </x:c>
      <x:c r="H611" s="14" t="n">
        <x:v>1</x:v>
      </x:c>
      <x:c r="I611" s="1" t="n">
        <x:f>IF(AND(E611&lt;Reporting!$B$4,OR(G611="",G611&gt;=Reporting!$B$4)),1,0)</x:f>
        <x:v>0</x:v>
      </x:c>
      <x:c r="J611" s="1" t="n">
        <x:f>IF(AND(I611=1,F611&lt;Reporting!$B$4),1,0)</x:f>
        <x:v>0</x:v>
      </x:c>
      <x:c r="K611" s="1" t="n">
        <x:f>IF(F611&lt;Reporting!$B$4,1,0)</x:f>
        <x:v>1</x:v>
      </x:c>
      <x:c r="L611" s="1" t="n">
        <x:f>IF(AND(K611=1,G611&lt;&gt;"",G611&lt;=F611),1,0)</x:f>
        <x:v>1</x:v>
      </x:c>
      <x:c r="M611" s="1" t="n">
        <x:f>IF(AND(G611&lt;&gt;"",G611&lt;Reporting!$B$4),1,0)</x:f>
        <x:v>1</x:v>
      </x:c>
      <x:c r="N611" s="16" t="n">
        <x:f>IF(M611=1,G611-E611,"")</x:f>
        <x:v>1.0833333333357587</x:v>
      </x:c>
      <x:c r="O611" s="1" t="str">
        <x:f>IF(E611&gt;=Reporting!$B$4,"Outside cutoff",IF(M611=1,"Closed",IF(J611=1,"Overdue","Open - within SLA")))</x:f>
        <x:v>Closed</x:v>
      </x:c>
    </x:row>
    <x:row r="612">
      <x:c r="A612" s="14" t="str">
        <x:v>CASE-00607</x:v>
      </x:c>
      <x:c r="B612" s="14" t="str">
        <x:v>Warehouse</x:v>
      </x:c>
      <x:c r="C612" s="14" t="str">
        <x:v>Missing evidence</x:v>
      </x:c>
      <x:c r="D612" s="14" t="str">
        <x:v>Medium</x:v>
      </x:c>
      <x:c r="E612" s="15" t="n">
        <x:v>46229.583333333336</x:v>
      </x:c>
      <x:c r="F612" s="15" t="n">
        <x:v>46236.583333333336</x:v>
      </x:c>
      <x:c r="G612" s="15" t="n">
        <x:v>46237.625</x:v>
      </x:c>
      <x:c r="H612" s="14" t="n">
        <x:v>2</x:v>
      </x:c>
      <x:c r="I612" s="1" t="n">
        <x:f>IF(AND(E612&lt;Reporting!$B$4,OR(G612="",G612&gt;=Reporting!$B$4)),1,0)</x:f>
        <x:v>0</x:v>
      </x:c>
      <x:c r="J612" s="1" t="n">
        <x:f>IF(AND(I612=1,F612&lt;Reporting!$B$4),1,0)</x:f>
        <x:v>0</x:v>
      </x:c>
      <x:c r="K612" s="1" t="n">
        <x:f>IF(F612&lt;Reporting!$B$4,1,0)</x:f>
        <x:v>1</x:v>
      </x:c>
      <x:c r="L612" s="1" t="n">
        <x:f>IF(AND(K612=1,G612&lt;&gt;"",G612&lt;=F612),1,0)</x:f>
        <x:v>0</x:v>
      </x:c>
      <x:c r="M612" s="1" t="n">
        <x:f>IF(AND(G612&lt;&gt;"",G612&lt;Reporting!$B$4),1,0)</x:f>
        <x:v>1</x:v>
      </x:c>
      <x:c r="N612" s="16" t="n">
        <x:f>IF(M612=1,G612-E612,"")</x:f>
        <x:v>8.041666666664241</x:v>
      </x:c>
      <x:c r="O612" s="1" t="str">
        <x:f>IF(E612&gt;=Reporting!$B$4,"Outside cutoff",IF(M612=1,"Closed",IF(J612=1,"Overdue","Open - within SLA")))</x:f>
        <x:v>Closed</x:v>
      </x:c>
    </x:row>
    <x:row r="613">
      <x:c r="A613" s="14" t="str">
        <x:v>CASE-00608</x:v>
      </x:c>
      <x:c r="B613" s="14" t="str">
        <x:v>Customer Services</x:v>
      </x:c>
      <x:c r="C613" s="14" t="str">
        <x:v>Record mismatch</x:v>
      </x:c>
      <x:c r="D613" s="14" t="str">
        <x:v>Low</x:v>
      </x:c>
      <x:c r="E613" s="15" t="n">
        <x:v>46218.416666666664</x:v>
      </x:c>
      <x:c r="F613" s="15" t="n">
        <x:v>46232.416666666664</x:v>
      </x:c>
      <x:c r="G613" s="15" t="n">
        <x:v>46219.458333333336</x:v>
      </x:c>
      <x:c r="H613" s="14" t="n">
        <x:v>1</x:v>
      </x:c>
      <x:c r="I613" s="1" t="n">
        <x:f>IF(AND(E613&lt;Reporting!$B$4,OR(G613="",G613&gt;=Reporting!$B$4)),1,0)</x:f>
        <x:v>0</x:v>
      </x:c>
      <x:c r="J613" s="1" t="n">
        <x:f>IF(AND(I613=1,F613&lt;Reporting!$B$4),1,0)</x:f>
        <x:v>0</x:v>
      </x:c>
      <x:c r="K613" s="1" t="n">
        <x:f>IF(F613&lt;Reporting!$B$4,1,0)</x:f>
        <x:v>1</x:v>
      </x:c>
      <x:c r="L613" s="1" t="n">
        <x:f>IF(AND(K613=1,G613&lt;&gt;"",G613&lt;=F613),1,0)</x:f>
        <x:v>1</x:v>
      </x:c>
      <x:c r="M613" s="1" t="n">
        <x:f>IF(AND(G613&lt;&gt;"",G613&lt;Reporting!$B$4),1,0)</x:f>
        <x:v>1</x:v>
      </x:c>
      <x:c r="N613" s="16" t="n">
        <x:f>IF(M613=1,G613-E613,"")</x:f>
        <x:v>1.0416666666715173</x:v>
      </x:c>
      <x:c r="O613" s="1" t="str">
        <x:f>IF(E613&gt;=Reporting!$B$4,"Outside cutoff",IF(M613=1,"Closed",IF(J613=1,"Overdue","Open - within SLA")))</x:f>
        <x:v>Closed</x:v>
      </x:c>
    </x:row>
    <x:row r="614">
      <x:c r="A614" s="14" t="str">
        <x:v>CASE-00609</x:v>
      </x:c>
      <x:c r="B614" s="14" t="str">
        <x:v>Warehouse</x:v>
      </x:c>
      <x:c r="C614" s="14" t="str">
        <x:v>Missing evidence</x:v>
      </x:c>
      <x:c r="D614" s="14" t="str">
        <x:v>Low</x:v>
      </x:c>
      <x:c r="E614" s="15" t="n">
        <x:v>46277.333333333336</x:v>
      </x:c>
      <x:c r="F614" s="15" t="n">
        <x:v>46291.333333333336</x:v>
      </x:c>
      <x:c r="G614" s="15"/>
      <x:c r="H614" s="14" t="n">
        <x:v>2</x:v>
      </x:c>
      <x:c r="I614" s="1" t="n">
        <x:f>IF(AND(E614&lt;Reporting!$B$4,OR(G614="",G614&gt;=Reporting!$B$4)),1,0)</x:f>
        <x:v>1</x:v>
      </x:c>
      <x:c r="J614" s="1" t="n">
        <x:f>IF(AND(I614=1,F614&lt;Reporting!$B$4),1,0)</x:f>
        <x:v>0</x:v>
      </x:c>
      <x:c r="K614" s="1" t="n">
        <x:f>IF(F614&lt;Reporting!$B$4,1,0)</x:f>
        <x:v>0</x:v>
      </x:c>
      <x:c r="L614" s="1" t="n">
        <x:f>IF(AND(K614=1,G614&lt;&gt;"",G614&lt;=F614),1,0)</x:f>
        <x:v>0</x:v>
      </x:c>
      <x:c r="M614" s="1" t="n">
        <x:f>IF(AND(G614&lt;&gt;"",G614&lt;Reporting!$B$4),1,0)</x:f>
        <x:v>0</x:v>
      </x:c>
      <x:c r="N614" s="16" t="str">
        <x:f>IF(M614=1,G614-E614,"")</x:f>
      </x:c>
      <x:c r="O614" s="1" t="str">
        <x:f>IF(E614&gt;=Reporting!$B$4,"Outside cutoff",IF(M614=1,"Closed",IF(J614=1,"Overdue","Open - within SLA")))</x:f>
        <x:v>Open - within SLA</x:v>
      </x:c>
    </x:row>
    <x:row r="615">
      <x:c r="A615" s="14" t="str">
        <x:v>CASE-00610</x:v>
      </x:c>
      <x:c r="B615" s="14" t="str">
        <x:v>Customer Services</x:v>
      </x:c>
      <x:c r="C615" s="14" t="str">
        <x:v>Late review</x:v>
      </x:c>
      <x:c r="D615" s="14" t="str">
        <x:v>Medium</x:v>
      </x:c>
      <x:c r="E615" s="15" t="n">
        <x:v>46233.333333333336</x:v>
      </x:c>
      <x:c r="F615" s="15" t="n">
        <x:v>46240.333333333336</x:v>
      </x:c>
      <x:c r="G615" s="15" t="n">
        <x:v>46243.375</x:v>
      </x:c>
      <x:c r="H615" s="14" t="n">
        <x:v>1</x:v>
      </x:c>
      <x:c r="I615" s="1" t="n">
        <x:f>IF(AND(E615&lt;Reporting!$B$4,OR(G615="",G615&gt;=Reporting!$B$4)),1,0)</x:f>
        <x:v>0</x:v>
      </x:c>
      <x:c r="J615" s="1" t="n">
        <x:f>IF(AND(I615=1,F615&lt;Reporting!$B$4),1,0)</x:f>
        <x:v>0</x:v>
      </x:c>
      <x:c r="K615" s="1" t="n">
        <x:f>IF(F615&lt;Reporting!$B$4,1,0)</x:f>
        <x:v>1</x:v>
      </x:c>
      <x:c r="L615" s="1" t="n">
        <x:f>IF(AND(K615=1,G615&lt;&gt;"",G615&lt;=F615),1,0)</x:f>
        <x:v>0</x:v>
      </x:c>
      <x:c r="M615" s="1" t="n">
        <x:f>IF(AND(G615&lt;&gt;"",G615&lt;Reporting!$B$4),1,0)</x:f>
        <x:v>1</x:v>
      </x:c>
      <x:c r="N615" s="16" t="n">
        <x:f>IF(M615=1,G615-E615,"")</x:f>
        <x:v>10.041666666664241</x:v>
      </x:c>
      <x:c r="O615" s="1" t="str">
        <x:f>IF(E615&gt;=Reporting!$B$4,"Outside cutoff",IF(M615=1,"Closed",IF(J615=1,"Overdue","Open - within SLA")))</x:f>
        <x:v>Closed</x:v>
      </x:c>
    </x:row>
    <x:row r="616">
      <x:c r="A616" s="14" t="str">
        <x:v>CASE-00611</x:v>
      </x:c>
      <x:c r="B616" s="14" t="str">
        <x:v>Warehouse</x:v>
      </x:c>
      <x:c r="C616" s="14" t="str">
        <x:v>Late review</x:v>
      </x:c>
      <x:c r="D616" s="14" t="str">
        <x:v>Medium</x:v>
      </x:c>
      <x:c r="E616" s="15" t="n">
        <x:v>46252.541666666664</x:v>
      </x:c>
      <x:c r="F616" s="15" t="n">
        <x:v>46259.541666666664</x:v>
      </x:c>
      <x:c r="G616" s="15" t="n">
        <x:v>46275.541666666664</x:v>
      </x:c>
      <x:c r="H616" s="14" t="n">
        <x:v>2</x:v>
      </x:c>
      <x:c r="I616" s="1" t="n">
        <x:f>IF(AND(E616&lt;Reporting!$B$4,OR(G616="",G616&gt;=Reporting!$B$4)),1,0)</x:f>
        <x:v>0</x:v>
      </x:c>
      <x:c r="J616" s="1" t="n">
        <x:f>IF(AND(I616=1,F616&lt;Reporting!$B$4),1,0)</x:f>
        <x:v>0</x:v>
      </x:c>
      <x:c r="K616" s="1" t="n">
        <x:f>IF(F616&lt;Reporting!$B$4,1,0)</x:f>
        <x:v>1</x:v>
      </x:c>
      <x:c r="L616" s="1" t="n">
        <x:f>IF(AND(K616=1,G616&lt;&gt;"",G616&lt;=F616),1,0)</x:f>
        <x:v>0</x:v>
      </x:c>
      <x:c r="M616" s="1" t="n">
        <x:f>IF(AND(G616&lt;&gt;"",G616&lt;Reporting!$B$4),1,0)</x:f>
        <x:v>1</x:v>
      </x:c>
      <x:c r="N616" s="16" t="n">
        <x:f>IF(M616=1,G616-E616,"")</x:f>
        <x:v>23</x:v>
      </x:c>
      <x:c r="O616" s="1" t="str">
        <x:f>IF(E616&gt;=Reporting!$B$4,"Outside cutoff",IF(M616=1,"Closed",IF(J616=1,"Overdue","Open - within SLA")))</x:f>
        <x:v>Closed</x:v>
      </x:c>
    </x:row>
    <x:row r="617">
      <x:c r="A617" s="14" t="str">
        <x:v>CASE-00612</x:v>
      </x:c>
      <x:c r="B617" s="14" t="str">
        <x:v>Customer Services</x:v>
      </x:c>
      <x:c r="C617" s="14" t="str">
        <x:v>Process deviation</x:v>
      </x:c>
      <x:c r="D617" s="14" t="str">
        <x:v>High</x:v>
      </x:c>
      <x:c r="E617" s="15" t="n">
        <x:v>46262.625</x:v>
      </x:c>
      <x:c r="F617" s="15" t="n">
        <x:v>46265.625</x:v>
      </x:c>
      <x:c r="G617" s="15" t="n">
        <x:v>46263.666666666664</x:v>
      </x:c>
      <x:c r="H617" s="14" t="n">
        <x:v>1</x:v>
      </x:c>
      <x:c r="I617" s="1" t="n">
        <x:f>IF(AND(E617&lt;Reporting!$B$4,OR(G617="",G617&gt;=Reporting!$B$4)),1,0)</x:f>
        <x:v>0</x:v>
      </x:c>
      <x:c r="J617" s="1" t="n">
        <x:f>IF(AND(I617=1,F617&lt;Reporting!$B$4),1,0)</x:f>
        <x:v>0</x:v>
      </x:c>
      <x:c r="K617" s="1" t="n">
        <x:f>IF(F617&lt;Reporting!$B$4,1,0)</x:f>
        <x:v>1</x:v>
      </x:c>
      <x:c r="L617" s="1" t="n">
        <x:f>IF(AND(K617=1,G617&lt;&gt;"",G617&lt;=F617),1,0)</x:f>
        <x:v>1</x:v>
      </x:c>
      <x:c r="M617" s="1" t="n">
        <x:f>IF(AND(G617&lt;&gt;"",G617&lt;Reporting!$B$4),1,0)</x:f>
        <x:v>1</x:v>
      </x:c>
      <x:c r="N617" s="16" t="n">
        <x:f>IF(M617=1,G617-E617,"")</x:f>
        <x:v>1.0416666666642413</x:v>
      </x:c>
      <x:c r="O617" s="1" t="str">
        <x:f>IF(E617&gt;=Reporting!$B$4,"Outside cutoff",IF(M617=1,"Closed",IF(J617=1,"Overdue","Open - within SLA")))</x:f>
        <x:v>Closed</x:v>
      </x:c>
    </x:row>
    <x:row r="618">
      <x:c r="A618" s="14" t="str">
        <x:v>CASE-00613</x:v>
      </x:c>
      <x:c r="B618" s="14" t="str">
        <x:v>Installation</x:v>
      </x:c>
      <x:c r="C618" s="14" t="str">
        <x:v>Missing evidence</x:v>
      </x:c>
      <x:c r="D618" s="14" t="str">
        <x:v>Medium</x:v>
      </x:c>
      <x:c r="E618" s="15" t="n">
        <x:v>46259.583333333336</x:v>
      </x:c>
      <x:c r="F618" s="15" t="n">
        <x:v>46266.583333333336</x:v>
      </x:c>
      <x:c r="G618" s="15" t="n">
        <x:v>46266.583333333336</x:v>
      </x:c>
      <x:c r="H618" s="14" t="n">
        <x:v>3</x:v>
      </x:c>
      <x:c r="I618" s="1" t="n">
        <x:f>IF(AND(E618&lt;Reporting!$B$4,OR(G618="",G618&gt;=Reporting!$B$4)),1,0)</x:f>
        <x:v>0</x:v>
      </x:c>
      <x:c r="J618" s="1" t="n">
        <x:f>IF(AND(I618=1,F618&lt;Reporting!$B$4),1,0)</x:f>
        <x:v>0</x:v>
      </x:c>
      <x:c r="K618" s="1" t="n">
        <x:f>IF(F618&lt;Reporting!$B$4,1,0)</x:f>
        <x:v>1</x:v>
      </x:c>
      <x:c r="L618" s="1" t="n">
        <x:f>IF(AND(K618=1,G618&lt;&gt;"",G618&lt;=F618),1,0)</x:f>
        <x:v>1</x:v>
      </x:c>
      <x:c r="M618" s="1" t="n">
        <x:f>IF(AND(G618&lt;&gt;"",G618&lt;Reporting!$B$4),1,0)</x:f>
        <x:v>1</x:v>
      </x:c>
      <x:c r="N618" s="16" t="n">
        <x:f>IF(M618=1,G618-E618,"")</x:f>
        <x:v>7</x:v>
      </x:c>
      <x:c r="O618" s="1" t="str">
        <x:f>IF(E618&gt;=Reporting!$B$4,"Outside cutoff",IF(M618=1,"Closed",IF(J618=1,"Overdue","Open - within SLA")))</x:f>
        <x:v>Closed</x:v>
      </x:c>
    </x:row>
    <x:row r="619">
      <x:c r="A619" s="14" t="str">
        <x:v>CASE-00614</x:v>
      </x:c>
      <x:c r="B619" s="14" t="str">
        <x:v>Customer Services</x:v>
      </x:c>
      <x:c r="C619" s="14" t="str">
        <x:v>Process deviation</x:v>
      </x:c>
      <x:c r="D619" s="14" t="str">
        <x:v>Medium</x:v>
      </x:c>
      <x:c r="E619" s="15" t="n">
        <x:v>46223.375</x:v>
      </x:c>
      <x:c r="F619" s="15" t="n">
        <x:v>46230.375</x:v>
      </x:c>
      <x:c r="G619" s="15" t="n">
        <x:v>46227.416666666664</x:v>
      </x:c>
      <x:c r="H619" s="14" t="n">
        <x:v>1</x:v>
      </x:c>
      <x:c r="I619" s="1" t="n">
        <x:f>IF(AND(E619&lt;Reporting!$B$4,OR(G619="",G619&gt;=Reporting!$B$4)),1,0)</x:f>
        <x:v>0</x:v>
      </x:c>
      <x:c r="J619" s="1" t="n">
        <x:f>IF(AND(I619=1,F619&lt;Reporting!$B$4),1,0)</x:f>
        <x:v>0</x:v>
      </x:c>
      <x:c r="K619" s="1" t="n">
        <x:f>IF(F619&lt;Reporting!$B$4,1,0)</x:f>
        <x:v>1</x:v>
      </x:c>
      <x:c r="L619" s="1" t="n">
        <x:f>IF(AND(K619=1,G619&lt;&gt;"",G619&lt;=F619),1,0)</x:f>
        <x:v>1</x:v>
      </x:c>
      <x:c r="M619" s="1" t="n">
        <x:f>IF(AND(G619&lt;&gt;"",G619&lt;Reporting!$B$4),1,0)</x:f>
        <x:v>1</x:v>
      </x:c>
      <x:c r="N619" s="16" t="n">
        <x:f>IF(M619=1,G619-E619,"")</x:f>
        <x:v>4.041666666664241</x:v>
      </x:c>
      <x:c r="O619" s="1" t="str">
        <x:f>IF(E619&gt;=Reporting!$B$4,"Outside cutoff",IF(M619=1,"Closed",IF(J619=1,"Overdue","Open - within SLA")))</x:f>
        <x:v>Closed</x:v>
      </x:c>
    </x:row>
    <x:row r="620">
      <x:c r="A620" s="14" t="str">
        <x:v>CASE-00615</x:v>
      </x:c>
      <x:c r="B620" s="14" t="str">
        <x:v>Warehouse</x:v>
      </x:c>
      <x:c r="C620" s="14" t="str">
        <x:v>Process deviation</x:v>
      </x:c>
      <x:c r="D620" s="14" t="str">
        <x:v>High</x:v>
      </x:c>
      <x:c r="E620" s="15" t="n">
        <x:v>46241.625</x:v>
      </x:c>
      <x:c r="F620" s="15" t="n">
        <x:v>46244.625</x:v>
      </x:c>
      <x:c r="G620" s="15" t="n">
        <x:v>46252.666666666664</x:v>
      </x:c>
      <x:c r="H620" s="14" t="n">
        <x:v>2</x:v>
      </x:c>
      <x:c r="I620" s="1" t="n">
        <x:f>IF(AND(E620&lt;Reporting!$B$4,OR(G620="",G620&gt;=Reporting!$B$4)),1,0)</x:f>
        <x:v>0</x:v>
      </x:c>
      <x:c r="J620" s="1" t="n">
        <x:f>IF(AND(I620=1,F620&lt;Reporting!$B$4),1,0)</x:f>
        <x:v>0</x:v>
      </x:c>
      <x:c r="K620" s="1" t="n">
        <x:f>IF(F620&lt;Reporting!$B$4,1,0)</x:f>
        <x:v>1</x:v>
      </x:c>
      <x:c r="L620" s="1" t="n">
        <x:f>IF(AND(K620=1,G620&lt;&gt;"",G620&lt;=F620),1,0)</x:f>
        <x:v>0</x:v>
      </x:c>
      <x:c r="M620" s="1" t="n">
        <x:f>IF(AND(G620&lt;&gt;"",G620&lt;Reporting!$B$4),1,0)</x:f>
        <x:v>1</x:v>
      </x:c>
      <x:c r="N620" s="16" t="n">
        <x:f>IF(M620=1,G620-E620,"")</x:f>
        <x:v>11.041666666664241</x:v>
      </x:c>
      <x:c r="O620" s="1" t="str">
        <x:f>IF(E620&gt;=Reporting!$B$4,"Outside cutoff",IF(M620=1,"Closed",IF(J620=1,"Overdue","Open - within SLA")))</x:f>
        <x:v>Closed</x:v>
      </x:c>
    </x:row>
    <x:row r="621">
      <x:c r="A621" s="14" t="str">
        <x:v>CASE-00616</x:v>
      </x:c>
      <x:c r="B621" s="14" t="str">
        <x:v>Customer Services</x:v>
      </x:c>
      <x:c r="C621" s="14" t="str">
        <x:v>Late review</x:v>
      </x:c>
      <x:c r="D621" s="14" t="str">
        <x:v>Low</x:v>
      </x:c>
      <x:c r="E621" s="15" t="n">
        <x:v>46217.416666666664</x:v>
      </x:c>
      <x:c r="F621" s="15" t="n">
        <x:v>46231.416666666664</x:v>
      </x:c>
      <x:c r="G621" s="15" t="n">
        <x:v>46233.5</x:v>
      </x:c>
      <x:c r="H621" s="14" t="n">
        <x:v>1</x:v>
      </x:c>
      <x:c r="I621" s="1" t="n">
        <x:f>IF(AND(E621&lt;Reporting!$B$4,OR(G621="",G621&gt;=Reporting!$B$4)),1,0)</x:f>
        <x:v>0</x:v>
      </x:c>
      <x:c r="J621" s="1" t="n">
        <x:f>IF(AND(I621=1,F621&lt;Reporting!$B$4),1,0)</x:f>
        <x:v>0</x:v>
      </x:c>
      <x:c r="K621" s="1" t="n">
        <x:f>IF(F621&lt;Reporting!$B$4,1,0)</x:f>
        <x:v>1</x:v>
      </x:c>
      <x:c r="L621" s="1" t="n">
        <x:f>IF(AND(K621=1,G621&lt;&gt;"",G621&lt;=F621),1,0)</x:f>
        <x:v>0</x:v>
      </x:c>
      <x:c r="M621" s="1" t="n">
        <x:f>IF(AND(G621&lt;&gt;"",G621&lt;Reporting!$B$4),1,0)</x:f>
        <x:v>1</x:v>
      </x:c>
      <x:c r="N621" s="16" t="n">
        <x:f>IF(M621=1,G621-E621,"")</x:f>
        <x:v>16.08333333333576</x:v>
      </x:c>
      <x:c r="O621" s="1" t="str">
        <x:f>IF(E621&gt;=Reporting!$B$4,"Outside cutoff",IF(M621=1,"Closed",IF(J621=1,"Overdue","Open - within SLA")))</x:f>
        <x:v>Closed</x:v>
      </x:c>
    </x:row>
    <x:row r="622">
      <x:c r="A622" s="14" t="str">
        <x:v>CASE-00617</x:v>
      </x:c>
      <x:c r="B622" s="14" t="str">
        <x:v>Warehouse</x:v>
      </x:c>
      <x:c r="C622" s="14" t="str">
        <x:v>Process deviation</x:v>
      </x:c>
      <x:c r="D622" s="14" t="str">
        <x:v>Medium</x:v>
      </x:c>
      <x:c r="E622" s="15" t="n">
        <x:v>46240.583333333336</x:v>
      </x:c>
      <x:c r="F622" s="15" t="n">
        <x:v>46247.583333333336</x:v>
      </x:c>
      <x:c r="G622" s="15" t="n">
        <x:v>46241.666666666664</x:v>
      </x:c>
      <x:c r="H622" s="14" t="n">
        <x:v>2</x:v>
      </x:c>
      <x:c r="I622" s="1" t="n">
        <x:f>IF(AND(E622&lt;Reporting!$B$4,OR(G622="",G622&gt;=Reporting!$B$4)),1,0)</x:f>
        <x:v>0</x:v>
      </x:c>
      <x:c r="J622" s="1" t="n">
        <x:f>IF(AND(I622=1,F622&lt;Reporting!$B$4),1,0)</x:f>
        <x:v>0</x:v>
      </x:c>
      <x:c r="K622" s="1" t="n">
        <x:f>IF(F622&lt;Reporting!$B$4,1,0)</x:f>
        <x:v>1</x:v>
      </x:c>
      <x:c r="L622" s="1" t="n">
        <x:f>IF(AND(K622=1,G622&lt;&gt;"",G622&lt;=F622),1,0)</x:f>
        <x:v>1</x:v>
      </x:c>
      <x:c r="M622" s="1" t="n">
        <x:f>IF(AND(G622&lt;&gt;"",G622&lt;Reporting!$B$4),1,0)</x:f>
        <x:v>1</x:v>
      </x:c>
      <x:c r="N622" s="16" t="n">
        <x:f>IF(M622=1,G622-E622,"")</x:f>
        <x:v>1.0833333333284827</x:v>
      </x:c>
      <x:c r="O622" s="1" t="str">
        <x:f>IF(E622&gt;=Reporting!$B$4,"Outside cutoff",IF(M622=1,"Closed",IF(J622=1,"Overdue","Open - within SLA")))</x:f>
        <x:v>Closed</x:v>
      </x:c>
    </x:row>
    <x:row r="623">
      <x:c r="A623" s="14" t="str">
        <x:v>CASE-00618</x:v>
      </x:c>
      <x:c r="B623" s="14" t="str">
        <x:v>Installation</x:v>
      </x:c>
      <x:c r="C623" s="14" t="str">
        <x:v>Process deviation</x:v>
      </x:c>
      <x:c r="D623" s="14" t="str">
        <x:v>Medium</x:v>
      </x:c>
      <x:c r="E623" s="15" t="n">
        <x:v>46275.541666666664</x:v>
      </x:c>
      <x:c r="F623" s="15" t="n">
        <x:v>46282.541666666664</x:v>
      </x:c>
      <x:c r="G623" s="15"/>
      <x:c r="H623" s="14" t="n">
        <x:v>3</x:v>
      </x:c>
      <x:c r="I623" s="1" t="n">
        <x:f>IF(AND(E623&lt;Reporting!$B$4,OR(G623="",G623&gt;=Reporting!$B$4)),1,0)</x:f>
        <x:v>1</x:v>
      </x:c>
      <x:c r="J623" s="1" t="n">
        <x:f>IF(AND(I623=1,F623&lt;Reporting!$B$4),1,0)</x:f>
        <x:v>1</x:v>
      </x:c>
      <x:c r="K623" s="1" t="n">
        <x:f>IF(F623&lt;Reporting!$B$4,1,0)</x:f>
        <x:v>1</x:v>
      </x:c>
      <x:c r="L623" s="1" t="n">
        <x:f>IF(AND(K623=1,G623&lt;&gt;"",G623&lt;=F623),1,0)</x:f>
        <x:v>0</x:v>
      </x:c>
      <x:c r="M623" s="1" t="n">
        <x:f>IF(AND(G623&lt;&gt;"",G623&lt;Reporting!$B$4),1,0)</x:f>
        <x:v>0</x:v>
      </x:c>
      <x:c r="N623" s="16" t="str">
        <x:f>IF(M623=1,G623-E623,"")</x:f>
      </x:c>
      <x:c r="O623" s="1" t="str">
        <x:f>IF(E623&gt;=Reporting!$B$4,"Outside cutoff",IF(M623=1,"Closed",IF(J623=1,"Overdue","Open - within SLA")))</x:f>
        <x:v>Overdue</x:v>
      </x:c>
    </x:row>
    <x:row r="624">
      <x:c r="A624" s="14" t="str">
        <x:v>CASE-00619</x:v>
      </x:c>
      <x:c r="B624" s="14" t="str">
        <x:v>Warehouse</x:v>
      </x:c>
      <x:c r="C624" s="14" t="str">
        <x:v>Process deviation</x:v>
      </x:c>
      <x:c r="D624" s="14" t="str">
        <x:v>Medium</x:v>
      </x:c>
      <x:c r="E624" s="15" t="n">
        <x:v>46254.666666666664</x:v>
      </x:c>
      <x:c r="F624" s="15" t="n">
        <x:v>46261.666666666664</x:v>
      </x:c>
      <x:c r="G624" s="15" t="n">
        <x:v>46279.708333333336</x:v>
      </x:c>
      <x:c r="H624" s="14" t="n">
        <x:v>2</x:v>
      </x:c>
      <x:c r="I624" s="1" t="n">
        <x:f>IF(AND(E624&lt;Reporting!$B$4,OR(G624="",G624&gt;=Reporting!$B$4)),1,0)</x:f>
        <x:v>0</x:v>
      </x:c>
      <x:c r="J624" s="1" t="n">
        <x:f>IF(AND(I624=1,F624&lt;Reporting!$B$4),1,0)</x:f>
        <x:v>0</x:v>
      </x:c>
      <x:c r="K624" s="1" t="n">
        <x:f>IF(F624&lt;Reporting!$B$4,1,0)</x:f>
        <x:v>1</x:v>
      </x:c>
      <x:c r="L624" s="1" t="n">
        <x:f>IF(AND(K624=1,G624&lt;&gt;"",G624&lt;=F624),1,0)</x:f>
        <x:v>0</x:v>
      </x:c>
      <x:c r="M624" s="1" t="n">
        <x:f>IF(AND(G624&lt;&gt;"",G624&lt;Reporting!$B$4),1,0)</x:f>
        <x:v>1</x:v>
      </x:c>
      <x:c r="N624" s="16" t="n">
        <x:f>IF(M624=1,G624-E624,"")</x:f>
        <x:v>25.041666666671517</x:v>
      </x:c>
      <x:c r="O624" s="1" t="str">
        <x:f>IF(E624&gt;=Reporting!$B$4,"Outside cutoff",IF(M624=1,"Closed",IF(J624=1,"Overdue","Open - within SLA")))</x:f>
        <x:v>Closed</x:v>
      </x:c>
    </x:row>
    <x:row r="625">
      <x:c r="A625" s="14" t="str">
        <x:v>CASE-00620</x:v>
      </x:c>
      <x:c r="B625" s="14" t="str">
        <x:v>Warehouse</x:v>
      </x:c>
      <x:c r="C625" s="14" t="str">
        <x:v>Record mismatch</x:v>
      </x:c>
      <x:c r="D625" s="14" t="str">
        <x:v>Medium</x:v>
      </x:c>
      <x:c r="E625" s="15" t="n">
        <x:v>46223.625</x:v>
      </x:c>
      <x:c r="F625" s="15" t="n">
        <x:v>46230.625</x:v>
      </x:c>
      <x:c r="G625" s="15" t="n">
        <x:v>46224.708333333336</x:v>
      </x:c>
      <x:c r="H625" s="14" t="n">
        <x:v>2</x:v>
      </x:c>
      <x:c r="I625" s="1" t="n">
        <x:f>IF(AND(E625&lt;Reporting!$B$4,OR(G625="",G625&gt;=Reporting!$B$4)),1,0)</x:f>
        <x:v>0</x:v>
      </x:c>
      <x:c r="J625" s="1" t="n">
        <x:f>IF(AND(I625=1,F625&lt;Reporting!$B$4),1,0)</x:f>
        <x:v>0</x:v>
      </x:c>
      <x:c r="K625" s="1" t="n">
        <x:f>IF(F625&lt;Reporting!$B$4,1,0)</x:f>
        <x:v>1</x:v>
      </x:c>
      <x:c r="L625" s="1" t="n">
        <x:f>IF(AND(K625=1,G625&lt;&gt;"",G625&lt;=F625),1,0)</x:f>
        <x:v>1</x:v>
      </x:c>
      <x:c r="M625" s="1" t="n">
        <x:f>IF(AND(G625&lt;&gt;"",G625&lt;Reporting!$B$4),1,0)</x:f>
        <x:v>1</x:v>
      </x:c>
      <x:c r="N625" s="16" t="n">
        <x:f>IF(M625=1,G625-E625,"")</x:f>
        <x:v>1.0833333333357587</x:v>
      </x:c>
      <x:c r="O625" s="1" t="str">
        <x:f>IF(E625&gt;=Reporting!$B$4,"Outside cutoff",IF(M625=1,"Closed",IF(J625=1,"Overdue","Open - within SLA")))</x:f>
        <x:v>Closed</x:v>
      </x:c>
    </x:row>
    <x:row r="626">
      <x:c r="A626" s="14" t="str">
        <x:v>CASE-00621</x:v>
      </x:c>
      <x:c r="B626" s="14" t="str">
        <x:v>Warehouse</x:v>
      </x:c>
      <x:c r="C626" s="14" t="str">
        <x:v>Late review</x:v>
      </x:c>
      <x:c r="D626" s="14" t="str">
        <x:v>Medium</x:v>
      </x:c>
      <x:c r="E626" s="15" t="n">
        <x:v>46202.5</x:v>
      </x:c>
      <x:c r="F626" s="15" t="n">
        <x:v>46209.5</x:v>
      </x:c>
      <x:c r="G626" s="15" t="n">
        <x:v>46210.541666666664</x:v>
      </x:c>
      <x:c r="H626" s="14" t="n">
        <x:v>2</x:v>
      </x:c>
      <x:c r="I626" s="1" t="n">
        <x:f>IF(AND(E626&lt;Reporting!$B$4,OR(G626="",G626&gt;=Reporting!$B$4)),1,0)</x:f>
        <x:v>0</x:v>
      </x:c>
      <x:c r="J626" s="1" t="n">
        <x:f>IF(AND(I626=1,F626&lt;Reporting!$B$4),1,0)</x:f>
        <x:v>0</x:v>
      </x:c>
      <x:c r="K626" s="1" t="n">
        <x:f>IF(F626&lt;Reporting!$B$4,1,0)</x:f>
        <x:v>1</x:v>
      </x:c>
      <x:c r="L626" s="1" t="n">
        <x:f>IF(AND(K626=1,G626&lt;&gt;"",G626&lt;=F626),1,0)</x:f>
        <x:v>0</x:v>
      </x:c>
      <x:c r="M626" s="1" t="n">
        <x:f>IF(AND(G626&lt;&gt;"",G626&lt;Reporting!$B$4),1,0)</x:f>
        <x:v>1</x:v>
      </x:c>
      <x:c r="N626" s="16" t="n">
        <x:f>IF(M626=1,G626-E626,"")</x:f>
        <x:v>8.041666666664241</x:v>
      </x:c>
      <x:c r="O626" s="1" t="str">
        <x:f>IF(E626&gt;=Reporting!$B$4,"Outside cutoff",IF(M626=1,"Closed",IF(J626=1,"Overdue","Open - within SLA")))</x:f>
        <x:v>Closed</x:v>
      </x:c>
    </x:row>
    <x:row r="627">
      <x:c r="A627" s="14" t="str">
        <x:v>CASE-00622</x:v>
      </x:c>
      <x:c r="B627" s="14" t="str">
        <x:v>Customer Services</x:v>
      </x:c>
      <x:c r="C627" s="14" t="str">
        <x:v>Late review</x:v>
      </x:c>
      <x:c r="D627" s="14" t="str">
        <x:v>High</x:v>
      </x:c>
      <x:c r="E627" s="15" t="n">
        <x:v>46245.541666666664</x:v>
      </x:c>
      <x:c r="F627" s="15" t="n">
        <x:v>46248.541666666664</x:v>
      </x:c>
      <x:c r="G627" s="15" t="n">
        <x:v>46260.625</x:v>
      </x:c>
      <x:c r="H627" s="14" t="n">
        <x:v>1</x:v>
      </x:c>
      <x:c r="I627" s="1" t="n">
        <x:f>IF(AND(E627&lt;Reporting!$B$4,OR(G627="",G627&gt;=Reporting!$B$4)),1,0)</x:f>
        <x:v>0</x:v>
      </x:c>
      <x:c r="J627" s="1" t="n">
        <x:f>IF(AND(I627=1,F627&lt;Reporting!$B$4),1,0)</x:f>
        <x:v>0</x:v>
      </x:c>
      <x:c r="K627" s="1" t="n">
        <x:f>IF(F627&lt;Reporting!$B$4,1,0)</x:f>
        <x:v>1</x:v>
      </x:c>
      <x:c r="L627" s="1" t="n">
        <x:f>IF(AND(K627=1,G627&lt;&gt;"",G627&lt;=F627),1,0)</x:f>
        <x:v>0</x:v>
      </x:c>
      <x:c r="M627" s="1" t="n">
        <x:f>IF(AND(G627&lt;&gt;"",G627&lt;Reporting!$B$4),1,0)</x:f>
        <x:v>1</x:v>
      </x:c>
      <x:c r="N627" s="16" t="n">
        <x:f>IF(M627=1,G627-E627,"")</x:f>
        <x:v>15.083333333335759</x:v>
      </x:c>
      <x:c r="O627" s="1" t="str">
        <x:f>IF(E627&gt;=Reporting!$B$4,"Outside cutoff",IF(M627=1,"Closed",IF(J627=1,"Overdue","Open - within SLA")))</x:f>
        <x:v>Closed</x:v>
      </x:c>
    </x:row>
    <x:row r="628">
      <x:c r="A628" s="14" t="str">
        <x:v>CASE-00623</x:v>
      </x:c>
      <x:c r="B628" s="14" t="str">
        <x:v>Customer Services</x:v>
      </x:c>
      <x:c r="C628" s="14" t="str">
        <x:v>Process deviation</x:v>
      </x:c>
      <x:c r="D628" s="14" t="str">
        <x:v>High</x:v>
      </x:c>
      <x:c r="E628" s="15" t="n">
        <x:v>46216.625</x:v>
      </x:c>
      <x:c r="F628" s="15" t="n">
        <x:v>46219.625</x:v>
      </x:c>
      <x:c r="G628" s="15" t="n">
        <x:v>46229.625</x:v>
      </x:c>
      <x:c r="H628" s="14" t="n">
        <x:v>1</x:v>
      </x:c>
      <x:c r="I628" s="1" t="n">
        <x:f>IF(AND(E628&lt;Reporting!$B$4,OR(G628="",G628&gt;=Reporting!$B$4)),1,0)</x:f>
        <x:v>0</x:v>
      </x:c>
      <x:c r="J628" s="1" t="n">
        <x:f>IF(AND(I628=1,F628&lt;Reporting!$B$4),1,0)</x:f>
        <x:v>0</x:v>
      </x:c>
      <x:c r="K628" s="1" t="n">
        <x:f>IF(F628&lt;Reporting!$B$4,1,0)</x:f>
        <x:v>1</x:v>
      </x:c>
      <x:c r="L628" s="1" t="n">
        <x:f>IF(AND(K628=1,G628&lt;&gt;"",G628&lt;=F628),1,0)</x:f>
        <x:v>0</x:v>
      </x:c>
      <x:c r="M628" s="1" t="n">
        <x:f>IF(AND(G628&lt;&gt;"",G628&lt;Reporting!$B$4),1,0)</x:f>
        <x:v>1</x:v>
      </x:c>
      <x:c r="N628" s="16" t="n">
        <x:f>IF(M628=1,G628-E628,"")</x:f>
        <x:v>13</x:v>
      </x:c>
      <x:c r="O628" s="1" t="str">
        <x:f>IF(E628&gt;=Reporting!$B$4,"Outside cutoff",IF(M628=1,"Closed",IF(J628=1,"Overdue","Open - within SLA")))</x:f>
        <x:v>Closed</x:v>
      </x:c>
    </x:row>
    <x:row r="629">
      <x:c r="A629" s="14" t="str">
        <x:v>CASE-00624</x:v>
      </x:c>
      <x:c r="B629" s="14" t="str">
        <x:v>Warehouse</x:v>
      </x:c>
      <x:c r="C629" s="14" t="str">
        <x:v>Record mismatch</x:v>
      </x:c>
      <x:c r="D629" s="14" t="str">
        <x:v>Medium</x:v>
      </x:c>
      <x:c r="E629" s="15" t="n">
        <x:v>46204.416666666664</x:v>
      </x:c>
      <x:c r="F629" s="15" t="n">
        <x:v>46211.416666666664</x:v>
      </x:c>
      <x:c r="G629" s="15" t="n">
        <x:v>46209.5</x:v>
      </x:c>
      <x:c r="H629" s="14" t="n">
        <x:v>2</x:v>
      </x:c>
      <x:c r="I629" s="1" t="n">
        <x:f>IF(AND(E629&lt;Reporting!$B$4,OR(G629="",G629&gt;=Reporting!$B$4)),1,0)</x:f>
        <x:v>0</x:v>
      </x:c>
      <x:c r="J629" s="1" t="n">
        <x:f>IF(AND(I629=1,F629&lt;Reporting!$B$4),1,0)</x:f>
        <x:v>0</x:v>
      </x:c>
      <x:c r="K629" s="1" t="n">
        <x:f>IF(F629&lt;Reporting!$B$4,1,0)</x:f>
        <x:v>1</x:v>
      </x:c>
      <x:c r="L629" s="1" t="n">
        <x:f>IF(AND(K629=1,G629&lt;&gt;"",G629&lt;=F629),1,0)</x:f>
        <x:v>1</x:v>
      </x:c>
      <x:c r="M629" s="1" t="n">
        <x:f>IF(AND(G629&lt;&gt;"",G629&lt;Reporting!$B$4),1,0)</x:f>
        <x:v>1</x:v>
      </x:c>
      <x:c r="N629" s="16" t="n">
        <x:f>IF(M629=1,G629-E629,"")</x:f>
        <x:v>5.083333333335759</x:v>
      </x:c>
      <x:c r="O629" s="1" t="str">
        <x:f>IF(E629&gt;=Reporting!$B$4,"Outside cutoff",IF(M629=1,"Closed",IF(J629=1,"Overdue","Open - within SLA")))</x:f>
        <x:v>Closed</x:v>
      </x:c>
    </x:row>
    <x:row r="630">
      <x:c r="A630" s="14" t="str">
        <x:v>CASE-00625</x:v>
      </x:c>
      <x:c r="B630" s="14" t="str">
        <x:v>Installation</x:v>
      </x:c>
      <x:c r="C630" s="14" t="str">
        <x:v>Record mismatch</x:v>
      </x:c>
      <x:c r="D630" s="14" t="str">
        <x:v>High</x:v>
      </x:c>
      <x:c r="E630" s="15" t="n">
        <x:v>46262.666666666664</x:v>
      </x:c>
      <x:c r="F630" s="15" t="n">
        <x:v>46265.666666666664</x:v>
      </x:c>
      <x:c r="G630" s="15" t="n">
        <x:v>46264.708333333336</x:v>
      </x:c>
      <x:c r="H630" s="14" t="n">
        <x:v>3</x:v>
      </x:c>
      <x:c r="I630" s="1" t="n">
        <x:f>IF(AND(E630&lt;Reporting!$B$4,OR(G630="",G630&gt;=Reporting!$B$4)),1,0)</x:f>
        <x:v>0</x:v>
      </x:c>
      <x:c r="J630" s="1" t="n">
        <x:f>IF(AND(I630=1,F630&lt;Reporting!$B$4),1,0)</x:f>
        <x:v>0</x:v>
      </x:c>
      <x:c r="K630" s="1" t="n">
        <x:f>IF(F630&lt;Reporting!$B$4,1,0)</x:f>
        <x:v>1</x:v>
      </x:c>
      <x:c r="L630" s="1" t="n">
        <x:f>IF(AND(K630=1,G630&lt;&gt;"",G630&lt;=F630),1,0)</x:f>
        <x:v>1</x:v>
      </x:c>
      <x:c r="M630" s="1" t="n">
        <x:f>IF(AND(G630&lt;&gt;"",G630&lt;Reporting!$B$4),1,0)</x:f>
        <x:v>1</x:v>
      </x:c>
      <x:c r="N630" s="16" t="n">
        <x:f>IF(M630=1,G630-E630,"")</x:f>
        <x:v>2.0416666666715173</x:v>
      </x:c>
      <x:c r="O630" s="1" t="str">
        <x:f>IF(E630&gt;=Reporting!$B$4,"Outside cutoff",IF(M630=1,"Closed",IF(J630=1,"Overdue","Open - within SLA")))</x:f>
        <x:v>Closed</x:v>
      </x:c>
    </x:row>
    <x:row r="631">
      <x:c r="A631" s="14" t="str">
        <x:v>CASE-00626</x:v>
      </x:c>
      <x:c r="B631" s="14" t="str">
        <x:v>Installation</x:v>
      </x:c>
      <x:c r="C631" s="14" t="str">
        <x:v>Late review</x:v>
      </x:c>
      <x:c r="D631" s="14" t="str">
        <x:v>Low</x:v>
      </x:c>
      <x:c r="E631" s="15" t="n">
        <x:v>46210.541666666664</x:v>
      </x:c>
      <x:c r="F631" s="15" t="n">
        <x:v>46224.541666666664</x:v>
      </x:c>
      <x:c r="G631" s="15" t="n">
        <x:v>46220.583333333336</x:v>
      </x:c>
      <x:c r="H631" s="14" t="n">
        <x:v>3</x:v>
      </x:c>
      <x:c r="I631" s="1" t="n">
        <x:f>IF(AND(E631&lt;Reporting!$B$4,OR(G631="",G631&gt;=Reporting!$B$4)),1,0)</x:f>
        <x:v>0</x:v>
      </x:c>
      <x:c r="J631" s="1" t="n">
        <x:f>IF(AND(I631=1,F631&lt;Reporting!$B$4),1,0)</x:f>
        <x:v>0</x:v>
      </x:c>
      <x:c r="K631" s="1" t="n">
        <x:f>IF(F631&lt;Reporting!$B$4,1,0)</x:f>
        <x:v>1</x:v>
      </x:c>
      <x:c r="L631" s="1" t="n">
        <x:f>IF(AND(K631=1,G631&lt;&gt;"",G631&lt;=F631),1,0)</x:f>
        <x:v>1</x:v>
      </x:c>
      <x:c r="M631" s="1" t="n">
        <x:f>IF(AND(G631&lt;&gt;"",G631&lt;Reporting!$B$4),1,0)</x:f>
        <x:v>1</x:v>
      </x:c>
      <x:c r="N631" s="16" t="n">
        <x:f>IF(M631=1,G631-E631,"")</x:f>
        <x:v>10.041666666671517</x:v>
      </x:c>
      <x:c r="O631" s="1" t="str">
        <x:f>IF(E631&gt;=Reporting!$B$4,"Outside cutoff",IF(M631=1,"Closed",IF(J631=1,"Overdue","Open - within SLA")))</x:f>
        <x:v>Closed</x:v>
      </x:c>
    </x:row>
    <x:row r="632">
      <x:c r="A632" s="14" t="str">
        <x:v>CASE-00627</x:v>
      </x:c>
      <x:c r="B632" s="14" t="str">
        <x:v>Installation</x:v>
      </x:c>
      <x:c r="C632" s="14" t="str">
        <x:v>Process deviation</x:v>
      </x:c>
      <x:c r="D632" s="14" t="str">
        <x:v>Medium</x:v>
      </x:c>
      <x:c r="E632" s="15" t="n">
        <x:v>46265.416666666664</x:v>
      </x:c>
      <x:c r="F632" s="15" t="n">
        <x:v>46272.416666666664</x:v>
      </x:c>
      <x:c r="G632" s="15" t="n">
        <x:v>46282.5</x:v>
      </x:c>
      <x:c r="H632" s="14" t="n">
        <x:v>3</x:v>
      </x:c>
      <x:c r="I632" s="1" t="n">
        <x:f>IF(AND(E632&lt;Reporting!$B$4,OR(G632="",G632&gt;=Reporting!$B$4)),1,0)</x:f>
        <x:v>0</x:v>
      </x:c>
      <x:c r="J632" s="1" t="n">
        <x:f>IF(AND(I632=1,F632&lt;Reporting!$B$4),1,0)</x:f>
        <x:v>0</x:v>
      </x:c>
      <x:c r="K632" s="1" t="n">
        <x:f>IF(F632&lt;Reporting!$B$4,1,0)</x:f>
        <x:v>1</x:v>
      </x:c>
      <x:c r="L632" s="1" t="n">
        <x:f>IF(AND(K632=1,G632&lt;&gt;"",G632&lt;=F632),1,0)</x:f>
        <x:v>0</x:v>
      </x:c>
      <x:c r="M632" s="1" t="n">
        <x:f>IF(AND(G632&lt;&gt;"",G632&lt;Reporting!$B$4),1,0)</x:f>
        <x:v>1</x:v>
      </x:c>
      <x:c r="N632" s="16" t="n">
        <x:f>IF(M632=1,G632-E632,"")</x:f>
        <x:v>17.08333333333576</x:v>
      </x:c>
      <x:c r="O632" s="1" t="str">
        <x:f>IF(E632&gt;=Reporting!$B$4,"Outside cutoff",IF(M632=1,"Closed",IF(J632=1,"Overdue","Open - within SLA")))</x:f>
        <x:v>Closed</x:v>
      </x:c>
    </x:row>
    <x:row r="633">
      <x:c r="A633" s="14" t="str">
        <x:v>CASE-00628</x:v>
      </x:c>
      <x:c r="B633" s="14" t="str">
        <x:v>Installation</x:v>
      </x:c>
      <x:c r="C633" s="14" t="str">
        <x:v>Late review</x:v>
      </x:c>
      <x:c r="D633" s="14" t="str">
        <x:v>High</x:v>
      </x:c>
      <x:c r="E633" s="15" t="n">
        <x:v>46261.5</x:v>
      </x:c>
      <x:c r="F633" s="15" t="n">
        <x:v>46264.5</x:v>
      </x:c>
      <x:c r="G633" s="15" t="n">
        <x:v>46267.583333333336</x:v>
      </x:c>
      <x:c r="H633" s="14" t="n">
        <x:v>3</x:v>
      </x:c>
      <x:c r="I633" s="1" t="n">
        <x:f>IF(AND(E633&lt;Reporting!$B$4,OR(G633="",G633&gt;=Reporting!$B$4)),1,0)</x:f>
        <x:v>0</x:v>
      </x:c>
      <x:c r="J633" s="1" t="n">
        <x:f>IF(AND(I633=1,F633&lt;Reporting!$B$4),1,0)</x:f>
        <x:v>0</x:v>
      </x:c>
      <x:c r="K633" s="1" t="n">
        <x:f>IF(F633&lt;Reporting!$B$4,1,0)</x:f>
        <x:v>1</x:v>
      </x:c>
      <x:c r="L633" s="1" t="n">
        <x:f>IF(AND(K633=1,G633&lt;&gt;"",G633&lt;=F633),1,0)</x:f>
        <x:v>0</x:v>
      </x:c>
      <x:c r="M633" s="1" t="n">
        <x:f>IF(AND(G633&lt;&gt;"",G633&lt;Reporting!$B$4),1,0)</x:f>
        <x:v>1</x:v>
      </x:c>
      <x:c r="N633" s="16" t="n">
        <x:f>IF(M633=1,G633-E633,"")</x:f>
        <x:v>6.083333333335759</x:v>
      </x:c>
      <x:c r="O633" s="1" t="str">
        <x:f>IF(E633&gt;=Reporting!$B$4,"Outside cutoff",IF(M633=1,"Closed",IF(J633=1,"Overdue","Open - within SLA")))</x:f>
        <x:v>Closed</x:v>
      </x:c>
    </x:row>
    <x:row r="634">
      <x:c r="A634" s="14" t="str">
        <x:v>CASE-00629</x:v>
      </x:c>
      <x:c r="B634" s="14" t="str">
        <x:v>Warehouse</x:v>
      </x:c>
      <x:c r="C634" s="14" t="str">
        <x:v>Late review</x:v>
      </x:c>
      <x:c r="D634" s="14" t="str">
        <x:v>Medium</x:v>
      </x:c>
      <x:c r="E634" s="15" t="n">
        <x:v>46222.416666666664</x:v>
      </x:c>
      <x:c r="F634" s="15" t="n">
        <x:v>46229.416666666664</x:v>
      </x:c>
      <x:c r="G634" s="15" t="n">
        <x:v>46229.458333333336</x:v>
      </x:c>
      <x:c r="H634" s="14" t="n">
        <x:v>2</x:v>
      </x:c>
      <x:c r="I634" s="1" t="n">
        <x:f>IF(AND(E634&lt;Reporting!$B$4,OR(G634="",G634&gt;=Reporting!$B$4)),1,0)</x:f>
        <x:v>0</x:v>
      </x:c>
      <x:c r="J634" s="1" t="n">
        <x:f>IF(AND(I634=1,F634&lt;Reporting!$B$4),1,0)</x:f>
        <x:v>0</x:v>
      </x:c>
      <x:c r="K634" s="1" t="n">
        <x:f>IF(F634&lt;Reporting!$B$4,1,0)</x:f>
        <x:v>1</x:v>
      </x:c>
      <x:c r="L634" s="1" t="n">
        <x:f>IF(AND(K634=1,G634&lt;&gt;"",G634&lt;=F634),1,0)</x:f>
        <x:v>0</x:v>
      </x:c>
      <x:c r="M634" s="1" t="n">
        <x:f>IF(AND(G634&lt;&gt;"",G634&lt;Reporting!$B$4),1,0)</x:f>
        <x:v>1</x:v>
      </x:c>
      <x:c r="N634" s="16" t="n">
        <x:f>IF(M634=1,G634-E634,"")</x:f>
        <x:v>7.041666666671517</x:v>
      </x:c>
      <x:c r="O634" s="1" t="str">
        <x:f>IF(E634&gt;=Reporting!$B$4,"Outside cutoff",IF(M634=1,"Closed",IF(J634=1,"Overdue","Open - within SLA")))</x:f>
        <x:v>Closed</x:v>
      </x:c>
    </x:row>
    <x:row r="635">
      <x:c r="A635" s="14" t="str">
        <x:v>CASE-00630</x:v>
      </x:c>
      <x:c r="B635" s="14" t="str">
        <x:v>Warehouse</x:v>
      </x:c>
      <x:c r="C635" s="14" t="str">
        <x:v>Missing evidence</x:v>
      </x:c>
      <x:c r="D635" s="14" t="str">
        <x:v>Medium</x:v>
      </x:c>
      <x:c r="E635" s="15" t="n">
        <x:v>46254.416666666664</x:v>
      </x:c>
      <x:c r="F635" s="15" t="n">
        <x:v>46261.416666666664</x:v>
      </x:c>
      <x:c r="G635" s="15" t="n">
        <x:v>46267.458333333336</x:v>
      </x:c>
      <x:c r="H635" s="14" t="n">
        <x:v>2</x:v>
      </x:c>
      <x:c r="I635" s="1" t="n">
        <x:f>IF(AND(E635&lt;Reporting!$B$4,OR(G635="",G635&gt;=Reporting!$B$4)),1,0)</x:f>
        <x:v>0</x:v>
      </x:c>
      <x:c r="J635" s="1" t="n">
        <x:f>IF(AND(I635=1,F635&lt;Reporting!$B$4),1,0)</x:f>
        <x:v>0</x:v>
      </x:c>
      <x:c r="K635" s="1" t="n">
        <x:f>IF(F635&lt;Reporting!$B$4,1,0)</x:f>
        <x:v>1</x:v>
      </x:c>
      <x:c r="L635" s="1" t="n">
        <x:f>IF(AND(K635=1,G635&lt;&gt;"",G635&lt;=F635),1,0)</x:f>
        <x:v>0</x:v>
      </x:c>
      <x:c r="M635" s="1" t="n">
        <x:f>IF(AND(G635&lt;&gt;"",G635&lt;Reporting!$B$4),1,0)</x:f>
        <x:v>1</x:v>
      </x:c>
      <x:c r="N635" s="16" t="n">
        <x:f>IF(M635=1,G635-E635,"")</x:f>
        <x:v>13.041666666671517</x:v>
      </x:c>
      <x:c r="O635" s="1" t="str">
        <x:f>IF(E635&gt;=Reporting!$B$4,"Outside cutoff",IF(M635=1,"Closed",IF(J635=1,"Overdue","Open - within SLA")))</x:f>
        <x:v>Closed</x:v>
      </x:c>
    </x:row>
    <x:row r="636">
      <x:c r="A636" s="14" t="str">
        <x:v>CASE-00631</x:v>
      </x:c>
      <x:c r="B636" s="14" t="str">
        <x:v>Warehouse</x:v>
      </x:c>
      <x:c r="C636" s="14" t="str">
        <x:v>Missing evidence</x:v>
      </x:c>
      <x:c r="D636" s="14" t="str">
        <x:v>Medium</x:v>
      </x:c>
      <x:c r="E636" s="15" t="n">
        <x:v>46212.541666666664</x:v>
      </x:c>
      <x:c r="F636" s="15" t="n">
        <x:v>46219.541666666664</x:v>
      </x:c>
      <x:c r="G636" s="15" t="n">
        <x:v>46223.583333333336</x:v>
      </x:c>
      <x:c r="H636" s="14" t="n">
        <x:v>2</x:v>
      </x:c>
      <x:c r="I636" s="1" t="n">
        <x:f>IF(AND(E636&lt;Reporting!$B$4,OR(G636="",G636&gt;=Reporting!$B$4)),1,0)</x:f>
        <x:v>0</x:v>
      </x:c>
      <x:c r="J636" s="1" t="n">
        <x:f>IF(AND(I636=1,F636&lt;Reporting!$B$4),1,0)</x:f>
        <x:v>0</x:v>
      </x:c>
      <x:c r="K636" s="1" t="n">
        <x:f>IF(F636&lt;Reporting!$B$4,1,0)</x:f>
        <x:v>1</x:v>
      </x:c>
      <x:c r="L636" s="1" t="n">
        <x:f>IF(AND(K636=1,G636&lt;&gt;"",G636&lt;=F636),1,0)</x:f>
        <x:v>0</x:v>
      </x:c>
      <x:c r="M636" s="1" t="n">
        <x:f>IF(AND(G636&lt;&gt;"",G636&lt;Reporting!$B$4),1,0)</x:f>
        <x:v>1</x:v>
      </x:c>
      <x:c r="N636" s="16" t="n">
        <x:f>IF(M636=1,G636-E636,"")</x:f>
        <x:v>11.041666666671517</x:v>
      </x:c>
      <x:c r="O636" s="1" t="str">
        <x:f>IF(E636&gt;=Reporting!$B$4,"Outside cutoff",IF(M636=1,"Closed",IF(J636=1,"Overdue","Open - within SLA")))</x:f>
        <x:v>Closed</x:v>
      </x:c>
    </x:row>
    <x:row r="637">
      <x:c r="A637" s="14" t="str">
        <x:v>CASE-00632</x:v>
      </x:c>
      <x:c r="B637" s="14" t="str">
        <x:v>Installation</x:v>
      </x:c>
      <x:c r="C637" s="14" t="str">
        <x:v>Record mismatch</x:v>
      </x:c>
      <x:c r="D637" s="14" t="str">
        <x:v>Medium</x:v>
      </x:c>
      <x:c r="E637" s="15" t="n">
        <x:v>46272.375</x:v>
      </x:c>
      <x:c r="F637" s="15" t="n">
        <x:v>46279.375</x:v>
      </x:c>
      <x:c r="G637" s="15" t="n">
        <x:v>46278.416666666664</x:v>
      </x:c>
      <x:c r="H637" s="14" t="n">
        <x:v>3</x:v>
      </x:c>
      <x:c r="I637" s="1" t="n">
        <x:f>IF(AND(E637&lt;Reporting!$B$4,OR(G637="",G637&gt;=Reporting!$B$4)),1,0)</x:f>
        <x:v>0</x:v>
      </x:c>
      <x:c r="J637" s="1" t="n">
        <x:f>IF(AND(I637=1,F637&lt;Reporting!$B$4),1,0)</x:f>
        <x:v>0</x:v>
      </x:c>
      <x:c r="K637" s="1" t="n">
        <x:f>IF(F637&lt;Reporting!$B$4,1,0)</x:f>
        <x:v>1</x:v>
      </x:c>
      <x:c r="L637" s="1" t="n">
        <x:f>IF(AND(K637=1,G637&lt;&gt;"",G637&lt;=F637),1,0)</x:f>
        <x:v>1</x:v>
      </x:c>
      <x:c r="M637" s="1" t="n">
        <x:f>IF(AND(G637&lt;&gt;"",G637&lt;Reporting!$B$4),1,0)</x:f>
        <x:v>1</x:v>
      </x:c>
      <x:c r="N637" s="16" t="n">
        <x:f>IF(M637=1,G637-E637,"")</x:f>
        <x:v>6.041666666664241</x:v>
      </x:c>
      <x:c r="O637" s="1" t="str">
        <x:f>IF(E637&gt;=Reporting!$B$4,"Outside cutoff",IF(M637=1,"Closed",IF(J637=1,"Overdue","Open - within SLA")))</x:f>
        <x:v>Closed</x:v>
      </x:c>
    </x:row>
    <x:row r="638">
      <x:c r="A638" s="14" t="str">
        <x:v>CASE-00633</x:v>
      </x:c>
      <x:c r="B638" s="14" t="str">
        <x:v>Warehouse</x:v>
      </x:c>
      <x:c r="C638" s="14" t="str">
        <x:v>Late review</x:v>
      </x:c>
      <x:c r="D638" s="14" t="str">
        <x:v>Low</x:v>
      </x:c>
      <x:c r="E638" s="15" t="n">
        <x:v>46226.333333333336</x:v>
      </x:c>
      <x:c r="F638" s="15" t="n">
        <x:v>46240.333333333336</x:v>
      </x:c>
      <x:c r="G638" s="15" t="n">
        <x:v>46229.375</x:v>
      </x:c>
      <x:c r="H638" s="14" t="n">
        <x:v>2</x:v>
      </x:c>
      <x:c r="I638" s="1" t="n">
        <x:f>IF(AND(E638&lt;Reporting!$B$4,OR(G638="",G638&gt;=Reporting!$B$4)),1,0)</x:f>
        <x:v>0</x:v>
      </x:c>
      <x:c r="J638" s="1" t="n">
        <x:f>IF(AND(I638=1,F638&lt;Reporting!$B$4),1,0)</x:f>
        <x:v>0</x:v>
      </x:c>
      <x:c r="K638" s="1" t="n">
        <x:f>IF(F638&lt;Reporting!$B$4,1,0)</x:f>
        <x:v>1</x:v>
      </x:c>
      <x:c r="L638" s="1" t="n">
        <x:f>IF(AND(K638=1,G638&lt;&gt;"",G638&lt;=F638),1,0)</x:f>
        <x:v>1</x:v>
      </x:c>
      <x:c r="M638" s="1" t="n">
        <x:f>IF(AND(G638&lt;&gt;"",G638&lt;Reporting!$B$4),1,0)</x:f>
        <x:v>1</x:v>
      </x:c>
      <x:c r="N638" s="16" t="n">
        <x:f>IF(M638=1,G638-E638,"")</x:f>
        <x:v>3.0416666666642413</x:v>
      </x:c>
      <x:c r="O638" s="1" t="str">
        <x:f>IF(E638&gt;=Reporting!$B$4,"Outside cutoff",IF(M638=1,"Closed",IF(J638=1,"Overdue","Open - within SLA")))</x:f>
        <x:v>Closed</x:v>
      </x:c>
    </x:row>
    <x:row r="639">
      <x:c r="A639" s="14" t="str">
        <x:v>CASE-00634</x:v>
      </x:c>
      <x:c r="B639" s="14" t="str">
        <x:v>Installation</x:v>
      </x:c>
      <x:c r="C639" s="14" t="str">
        <x:v>Late review</x:v>
      </x:c>
      <x:c r="D639" s="14" t="str">
        <x:v>Medium</x:v>
      </x:c>
      <x:c r="E639" s="15" t="n">
        <x:v>46237.583333333336</x:v>
      </x:c>
      <x:c r="F639" s="15" t="n">
        <x:v>46244.583333333336</x:v>
      </x:c>
      <x:c r="G639" s="15" t="n">
        <x:v>46247.666666666664</x:v>
      </x:c>
      <x:c r="H639" s="14" t="n">
        <x:v>3</x:v>
      </x:c>
      <x:c r="I639" s="1" t="n">
        <x:f>IF(AND(E639&lt;Reporting!$B$4,OR(G639="",G639&gt;=Reporting!$B$4)),1,0)</x:f>
        <x:v>0</x:v>
      </x:c>
      <x:c r="J639" s="1" t="n">
        <x:f>IF(AND(I639=1,F639&lt;Reporting!$B$4),1,0)</x:f>
        <x:v>0</x:v>
      </x:c>
      <x:c r="K639" s="1" t="n">
        <x:f>IF(F639&lt;Reporting!$B$4,1,0)</x:f>
        <x:v>1</x:v>
      </x:c>
      <x:c r="L639" s="1" t="n">
        <x:f>IF(AND(K639=1,G639&lt;&gt;"",G639&lt;=F639),1,0)</x:f>
        <x:v>0</x:v>
      </x:c>
      <x:c r="M639" s="1" t="n">
        <x:f>IF(AND(G639&lt;&gt;"",G639&lt;Reporting!$B$4),1,0)</x:f>
        <x:v>1</x:v>
      </x:c>
      <x:c r="N639" s="16" t="n">
        <x:f>IF(M639=1,G639-E639,"")</x:f>
        <x:v>10.083333333328483</x:v>
      </x:c>
      <x:c r="O639" s="1" t="str">
        <x:f>IF(E639&gt;=Reporting!$B$4,"Outside cutoff",IF(M639=1,"Closed",IF(J639=1,"Overdue","Open - within SLA")))</x:f>
        <x:v>Closed</x:v>
      </x:c>
    </x:row>
    <x:row r="640">
      <x:c r="A640" s="14" t="str">
        <x:v>CASE-00635</x:v>
      </x:c>
      <x:c r="B640" s="14" t="str">
        <x:v>Warehouse</x:v>
      </x:c>
      <x:c r="C640" s="14" t="str">
        <x:v>Late review</x:v>
      </x:c>
      <x:c r="D640" s="14" t="str">
        <x:v>Low</x:v>
      </x:c>
      <x:c r="E640" s="15" t="n">
        <x:v>46276.375</x:v>
      </x:c>
      <x:c r="F640" s="15" t="n">
        <x:v>46290.375</x:v>
      </x:c>
      <x:c r="G640" s="15"/>
      <x:c r="H640" s="14" t="n">
        <x:v>2</x:v>
      </x:c>
      <x:c r="I640" s="1" t="n">
        <x:f>IF(AND(E640&lt;Reporting!$B$4,OR(G640="",G640&gt;=Reporting!$B$4)),1,0)</x:f>
        <x:v>1</x:v>
      </x:c>
      <x:c r="J640" s="1" t="n">
        <x:f>IF(AND(I640=1,F640&lt;Reporting!$B$4),1,0)</x:f>
        <x:v>0</x:v>
      </x:c>
      <x:c r="K640" s="1" t="n">
        <x:f>IF(F640&lt;Reporting!$B$4,1,0)</x:f>
        <x:v>0</x:v>
      </x:c>
      <x:c r="L640" s="1" t="n">
        <x:f>IF(AND(K640=1,G640&lt;&gt;"",G640&lt;=F640),1,0)</x:f>
        <x:v>0</x:v>
      </x:c>
      <x:c r="M640" s="1" t="n">
        <x:f>IF(AND(G640&lt;&gt;"",G640&lt;Reporting!$B$4),1,0)</x:f>
        <x:v>0</x:v>
      </x:c>
      <x:c r="N640" s="16" t="str">
        <x:f>IF(M640=1,G640-E640,"")</x:f>
      </x:c>
      <x:c r="O640" s="1" t="str">
        <x:f>IF(E640&gt;=Reporting!$B$4,"Outside cutoff",IF(M640=1,"Closed",IF(J640=1,"Overdue","Open - within SLA")))</x:f>
        <x:v>Open - within SLA</x:v>
      </x:c>
    </x:row>
    <x:row r="641">
      <x:c r="A641" s="14" t="str">
        <x:v>CASE-00636</x:v>
      </x:c>
      <x:c r="B641" s="14" t="str">
        <x:v>Customer Services</x:v>
      </x:c>
      <x:c r="C641" s="14" t="str">
        <x:v>Late review</x:v>
      </x:c>
      <x:c r="D641" s="14" t="str">
        <x:v>Medium</x:v>
      </x:c>
      <x:c r="E641" s="15" t="n">
        <x:v>46281.458333333336</x:v>
      </x:c>
      <x:c r="F641" s="15" t="n">
        <x:v>46288.458333333336</x:v>
      </x:c>
      <x:c r="G641" s="15"/>
      <x:c r="H641" s="14" t="n">
        <x:v>1</x:v>
      </x:c>
      <x:c r="I641" s="1" t="n">
        <x:f>IF(AND(E641&lt;Reporting!$B$4,OR(G641="",G641&gt;=Reporting!$B$4)),1,0)</x:f>
        <x:v>1</x:v>
      </x:c>
      <x:c r="J641" s="1" t="n">
        <x:f>IF(AND(I641=1,F641&lt;Reporting!$B$4),1,0)</x:f>
        <x:v>0</x:v>
      </x:c>
      <x:c r="K641" s="1" t="n">
        <x:f>IF(F641&lt;Reporting!$B$4,1,0)</x:f>
        <x:v>0</x:v>
      </x:c>
      <x:c r="L641" s="1" t="n">
        <x:f>IF(AND(K641=1,G641&lt;&gt;"",G641&lt;=F641),1,0)</x:f>
        <x:v>0</x:v>
      </x:c>
      <x:c r="M641" s="1" t="n">
        <x:f>IF(AND(G641&lt;&gt;"",G641&lt;Reporting!$B$4),1,0)</x:f>
        <x:v>0</x:v>
      </x:c>
      <x:c r="N641" s="16" t="str">
        <x:f>IF(M641=1,G641-E641,"")</x:f>
      </x:c>
      <x:c r="O641" s="1" t="str">
        <x:f>IF(E641&gt;=Reporting!$B$4,"Outside cutoff",IF(M641=1,"Closed",IF(J641=1,"Overdue","Open - within SLA")))</x:f>
        <x:v>Open - within SLA</x:v>
      </x:c>
    </x:row>
    <x:row r="642">
      <x:c r="A642" s="14" t="str">
        <x:v>CASE-00637</x:v>
      </x:c>
      <x:c r="B642" s="14" t="str">
        <x:v>Installation</x:v>
      </x:c>
      <x:c r="C642" s="14" t="str">
        <x:v>Record mismatch</x:v>
      </x:c>
      <x:c r="D642" s="14" t="str">
        <x:v>High</x:v>
      </x:c>
      <x:c r="E642" s="15" t="n">
        <x:v>46260.5</x:v>
      </x:c>
      <x:c r="F642" s="15" t="n">
        <x:v>46263.5</x:v>
      </x:c>
      <x:c r="G642" s="15" t="n">
        <x:v>46277.583333333336</x:v>
      </x:c>
      <x:c r="H642" s="14" t="n">
        <x:v>3</x:v>
      </x:c>
      <x:c r="I642" s="1" t="n">
        <x:f>IF(AND(E642&lt;Reporting!$B$4,OR(G642="",G642&gt;=Reporting!$B$4)),1,0)</x:f>
        <x:v>0</x:v>
      </x:c>
      <x:c r="J642" s="1" t="n">
        <x:f>IF(AND(I642=1,F642&lt;Reporting!$B$4),1,0)</x:f>
        <x:v>0</x:v>
      </x:c>
      <x:c r="K642" s="1" t="n">
        <x:f>IF(F642&lt;Reporting!$B$4,1,0)</x:f>
        <x:v>1</x:v>
      </x:c>
      <x:c r="L642" s="1" t="n">
        <x:f>IF(AND(K642=1,G642&lt;&gt;"",G642&lt;=F642),1,0)</x:f>
        <x:v>0</x:v>
      </x:c>
      <x:c r="M642" s="1" t="n">
        <x:f>IF(AND(G642&lt;&gt;"",G642&lt;Reporting!$B$4),1,0)</x:f>
        <x:v>1</x:v>
      </x:c>
      <x:c r="N642" s="16" t="n">
        <x:f>IF(M642=1,G642-E642,"")</x:f>
        <x:v>17.08333333333576</x:v>
      </x:c>
      <x:c r="O642" s="1" t="str">
        <x:f>IF(E642&gt;=Reporting!$B$4,"Outside cutoff",IF(M642=1,"Closed",IF(J642=1,"Overdue","Open - within SLA")))</x:f>
        <x:v>Closed</x:v>
      </x:c>
    </x:row>
    <x:row r="643">
      <x:c r="A643" s="14" t="str">
        <x:v>CASE-00638</x:v>
      </x:c>
      <x:c r="B643" s="14" t="str">
        <x:v>Installation</x:v>
      </x:c>
      <x:c r="C643" s="14" t="str">
        <x:v>Missing evidence</x:v>
      </x:c>
      <x:c r="D643" s="14" t="str">
        <x:v>Low</x:v>
      </x:c>
      <x:c r="E643" s="15" t="n">
        <x:v>46219.375</x:v>
      </x:c>
      <x:c r="F643" s="15" t="n">
        <x:v>46233.375</x:v>
      </x:c>
      <x:c r="G643" s="15" t="n">
        <x:v>46227.375</x:v>
      </x:c>
      <x:c r="H643" s="14" t="n">
        <x:v>3</x:v>
      </x:c>
      <x:c r="I643" s="1" t="n">
        <x:f>IF(AND(E643&lt;Reporting!$B$4,OR(G643="",G643&gt;=Reporting!$B$4)),1,0)</x:f>
        <x:v>0</x:v>
      </x:c>
      <x:c r="J643" s="1" t="n">
        <x:f>IF(AND(I643=1,F643&lt;Reporting!$B$4),1,0)</x:f>
        <x:v>0</x:v>
      </x:c>
      <x:c r="K643" s="1" t="n">
        <x:f>IF(F643&lt;Reporting!$B$4,1,0)</x:f>
        <x:v>1</x:v>
      </x:c>
      <x:c r="L643" s="1" t="n">
        <x:f>IF(AND(K643=1,G643&lt;&gt;"",G643&lt;=F643),1,0)</x:f>
        <x:v>1</x:v>
      </x:c>
      <x:c r="M643" s="1" t="n">
        <x:f>IF(AND(G643&lt;&gt;"",G643&lt;Reporting!$B$4),1,0)</x:f>
        <x:v>1</x:v>
      </x:c>
      <x:c r="N643" s="16" t="n">
        <x:f>IF(M643=1,G643-E643,"")</x:f>
        <x:v>8</x:v>
      </x:c>
      <x:c r="O643" s="1" t="str">
        <x:f>IF(E643&gt;=Reporting!$B$4,"Outside cutoff",IF(M643=1,"Closed",IF(J643=1,"Overdue","Open - within SLA")))</x:f>
        <x:v>Closed</x:v>
      </x:c>
    </x:row>
    <x:row r="644">
      <x:c r="A644" s="14" t="str">
        <x:v>CASE-00639</x:v>
      </x:c>
      <x:c r="B644" s="14" t="str">
        <x:v>Installation</x:v>
      </x:c>
      <x:c r="C644" s="14" t="str">
        <x:v>Process deviation</x:v>
      </x:c>
      <x:c r="D644" s="14" t="str">
        <x:v>Low</x:v>
      </x:c>
      <x:c r="E644" s="15" t="n">
        <x:v>46245.333333333336</x:v>
      </x:c>
      <x:c r="F644" s="15" t="n">
        <x:v>46259.333333333336</x:v>
      </x:c>
      <x:c r="G644" s="15" t="n">
        <x:v>46249.333333333336</x:v>
      </x:c>
      <x:c r="H644" s="14" t="n">
        <x:v>3</x:v>
      </x:c>
      <x:c r="I644" s="1" t="n">
        <x:f>IF(AND(E644&lt;Reporting!$B$4,OR(G644="",G644&gt;=Reporting!$B$4)),1,0)</x:f>
        <x:v>0</x:v>
      </x:c>
      <x:c r="J644" s="1" t="n">
        <x:f>IF(AND(I644=1,F644&lt;Reporting!$B$4),1,0)</x:f>
        <x:v>0</x:v>
      </x:c>
      <x:c r="K644" s="1" t="n">
        <x:f>IF(F644&lt;Reporting!$B$4,1,0)</x:f>
        <x:v>1</x:v>
      </x:c>
      <x:c r="L644" s="1" t="n">
        <x:f>IF(AND(K644=1,G644&lt;&gt;"",G644&lt;=F644),1,0)</x:f>
        <x:v>1</x:v>
      </x:c>
      <x:c r="M644" s="1" t="n">
        <x:f>IF(AND(G644&lt;&gt;"",G644&lt;Reporting!$B$4),1,0)</x:f>
        <x:v>1</x:v>
      </x:c>
      <x:c r="N644" s="16" t="n">
        <x:f>IF(M644=1,G644-E644,"")</x:f>
        <x:v>4</x:v>
      </x:c>
      <x:c r="O644" s="1" t="str">
        <x:f>IF(E644&gt;=Reporting!$B$4,"Outside cutoff",IF(M644=1,"Closed",IF(J644=1,"Overdue","Open - within SLA")))</x:f>
        <x:v>Closed</x:v>
      </x:c>
    </x:row>
    <x:row r="645">
      <x:c r="A645" s="14" t="str">
        <x:v>CASE-00640</x:v>
      </x:c>
      <x:c r="B645" s="14" t="str">
        <x:v>Customer Services</x:v>
      </x:c>
      <x:c r="C645" s="14" t="str">
        <x:v>Late review</x:v>
      </x:c>
      <x:c r="D645" s="14" t="str">
        <x:v>Medium</x:v>
      </x:c>
      <x:c r="E645" s="15" t="n">
        <x:v>46218.625</x:v>
      </x:c>
      <x:c r="F645" s="15" t="n">
        <x:v>46225.625</x:v>
      </x:c>
      <x:c r="G645" s="15" t="n">
        <x:v>46226.625</x:v>
      </x:c>
      <x:c r="H645" s="14" t="n">
        <x:v>1</x:v>
      </x:c>
      <x:c r="I645" s="1" t="n">
        <x:f>IF(AND(E645&lt;Reporting!$B$4,OR(G645="",G645&gt;=Reporting!$B$4)),1,0)</x:f>
        <x:v>0</x:v>
      </x:c>
      <x:c r="J645" s="1" t="n">
        <x:f>IF(AND(I645=1,F645&lt;Reporting!$B$4),1,0)</x:f>
        <x:v>0</x:v>
      </x:c>
      <x:c r="K645" s="1" t="n">
        <x:f>IF(F645&lt;Reporting!$B$4,1,0)</x:f>
        <x:v>1</x:v>
      </x:c>
      <x:c r="L645" s="1" t="n">
        <x:f>IF(AND(K645=1,G645&lt;&gt;"",G645&lt;=F645),1,0)</x:f>
        <x:v>0</x:v>
      </x:c>
      <x:c r="M645" s="1" t="n">
        <x:f>IF(AND(G645&lt;&gt;"",G645&lt;Reporting!$B$4),1,0)</x:f>
        <x:v>1</x:v>
      </x:c>
      <x:c r="N645" s="16" t="n">
        <x:f>IF(M645=1,G645-E645,"")</x:f>
        <x:v>8</x:v>
      </x:c>
      <x:c r="O645" s="1" t="str">
        <x:f>IF(E645&gt;=Reporting!$B$4,"Outside cutoff",IF(M645=1,"Closed",IF(J645=1,"Overdue","Open - within SLA")))</x:f>
        <x:v>Closed</x:v>
      </x:c>
    </x:row>
    <x:row r="646">
      <x:c r="A646" s="14" t="str">
        <x:v>CASE-00641</x:v>
      </x:c>
      <x:c r="B646" s="14" t="str">
        <x:v>Installation</x:v>
      </x:c>
      <x:c r="C646" s="14" t="str">
        <x:v>Record mismatch</x:v>
      </x:c>
      <x:c r="D646" s="14" t="str">
        <x:v>Medium</x:v>
      </x:c>
      <x:c r="E646" s="15" t="n">
        <x:v>46273.416666666664</x:v>
      </x:c>
      <x:c r="F646" s="15" t="n">
        <x:v>46280.416666666664</x:v>
      </x:c>
      <x:c r="G646" s="15"/>
      <x:c r="H646" s="14" t="n">
        <x:v>3</x:v>
      </x:c>
      <x:c r="I646" s="1" t="n">
        <x:f>IF(AND(E646&lt;Reporting!$B$4,OR(G646="",G646&gt;=Reporting!$B$4)),1,0)</x:f>
        <x:v>1</x:v>
      </x:c>
      <x:c r="J646" s="1" t="n">
        <x:f>IF(AND(I646=1,F646&lt;Reporting!$B$4),1,0)</x:f>
        <x:v>1</x:v>
      </x:c>
      <x:c r="K646" s="1" t="n">
        <x:f>IF(F646&lt;Reporting!$B$4,1,0)</x:f>
        <x:v>1</x:v>
      </x:c>
      <x:c r="L646" s="1" t="n">
        <x:f>IF(AND(K646=1,G646&lt;&gt;"",G646&lt;=F646),1,0)</x:f>
        <x:v>0</x:v>
      </x:c>
      <x:c r="M646" s="1" t="n">
        <x:f>IF(AND(G646&lt;&gt;"",G646&lt;Reporting!$B$4),1,0)</x:f>
        <x:v>0</x:v>
      </x:c>
      <x:c r="N646" s="16" t="str">
        <x:f>IF(M646=1,G646-E646,"")</x:f>
      </x:c>
      <x:c r="O646" s="1" t="str">
        <x:f>IF(E646&gt;=Reporting!$B$4,"Outside cutoff",IF(M646=1,"Closed",IF(J646=1,"Overdue","Open - within SLA")))</x:f>
        <x:v>Overdue</x:v>
      </x:c>
    </x:row>
    <x:row r="647">
      <x:c r="A647" s="14" t="str">
        <x:v>CASE-00642</x:v>
      </x:c>
      <x:c r="B647" s="14" t="str">
        <x:v>Installation</x:v>
      </x:c>
      <x:c r="C647" s="14" t="str">
        <x:v>Record mismatch</x:v>
      </x:c>
      <x:c r="D647" s="14" t="str">
        <x:v>High</x:v>
      </x:c>
      <x:c r="E647" s="15" t="n">
        <x:v>46214.458333333336</x:v>
      </x:c>
      <x:c r="F647" s="15" t="n">
        <x:v>46217.458333333336</x:v>
      </x:c>
      <x:c r="G647" s="15" t="n">
        <x:v>46228.5</x:v>
      </x:c>
      <x:c r="H647" s="14" t="n">
        <x:v>3</x:v>
      </x:c>
      <x:c r="I647" s="1" t="n">
        <x:f>IF(AND(E647&lt;Reporting!$B$4,OR(G647="",G647&gt;=Reporting!$B$4)),1,0)</x:f>
        <x:v>0</x:v>
      </x:c>
      <x:c r="J647" s="1" t="n">
        <x:f>IF(AND(I647=1,F647&lt;Reporting!$B$4),1,0)</x:f>
        <x:v>0</x:v>
      </x:c>
      <x:c r="K647" s="1" t="n">
        <x:f>IF(F647&lt;Reporting!$B$4,1,0)</x:f>
        <x:v>1</x:v>
      </x:c>
      <x:c r="L647" s="1" t="n">
        <x:f>IF(AND(K647=1,G647&lt;&gt;"",G647&lt;=F647),1,0)</x:f>
        <x:v>0</x:v>
      </x:c>
      <x:c r="M647" s="1" t="n">
        <x:f>IF(AND(G647&lt;&gt;"",G647&lt;Reporting!$B$4),1,0)</x:f>
        <x:v>1</x:v>
      </x:c>
      <x:c r="N647" s="16" t="n">
        <x:f>IF(M647=1,G647-E647,"")</x:f>
        <x:v>14.041666666664241</x:v>
      </x:c>
      <x:c r="O647" s="1" t="str">
        <x:f>IF(E647&gt;=Reporting!$B$4,"Outside cutoff",IF(M647=1,"Closed",IF(J647=1,"Overdue","Open - within SLA")))</x:f>
        <x:v>Closed</x:v>
      </x:c>
    </x:row>
    <x:row r="648">
      <x:c r="A648" s="14" t="str">
        <x:v>CASE-00643</x:v>
      </x:c>
      <x:c r="B648" s="14" t="str">
        <x:v>Installation</x:v>
      </x:c>
      <x:c r="C648" s="14" t="str">
        <x:v>Late review</x:v>
      </x:c>
      <x:c r="D648" s="14" t="str">
        <x:v>Low</x:v>
      </x:c>
      <x:c r="E648" s="15" t="n">
        <x:v>46264.416666666664</x:v>
      </x:c>
      <x:c r="F648" s="15" t="n">
        <x:v>46278.416666666664</x:v>
      </x:c>
      <x:c r="G648" s="15" t="n">
        <x:v>46270.458333333336</x:v>
      </x:c>
      <x:c r="H648" s="14" t="n">
        <x:v>3</x:v>
      </x:c>
      <x:c r="I648" s="1" t="n">
        <x:f>IF(AND(E648&lt;Reporting!$B$4,OR(G648="",G648&gt;=Reporting!$B$4)),1,0)</x:f>
        <x:v>0</x:v>
      </x:c>
      <x:c r="J648" s="1" t="n">
        <x:f>IF(AND(I648=1,F648&lt;Reporting!$B$4),1,0)</x:f>
        <x:v>0</x:v>
      </x:c>
      <x:c r="K648" s="1" t="n">
        <x:f>IF(F648&lt;Reporting!$B$4,1,0)</x:f>
        <x:v>1</x:v>
      </x:c>
      <x:c r="L648" s="1" t="n">
        <x:f>IF(AND(K648=1,G648&lt;&gt;"",G648&lt;=F648),1,0)</x:f>
        <x:v>1</x:v>
      </x:c>
      <x:c r="M648" s="1" t="n">
        <x:f>IF(AND(G648&lt;&gt;"",G648&lt;Reporting!$B$4),1,0)</x:f>
        <x:v>1</x:v>
      </x:c>
      <x:c r="N648" s="16" t="n">
        <x:f>IF(M648=1,G648-E648,"")</x:f>
        <x:v>6.041666666671517</x:v>
      </x:c>
      <x:c r="O648" s="1" t="str">
        <x:f>IF(E648&gt;=Reporting!$B$4,"Outside cutoff",IF(M648=1,"Closed",IF(J648=1,"Overdue","Open - within SLA")))</x:f>
        <x:v>Closed</x:v>
      </x:c>
    </x:row>
    <x:row r="649">
      <x:c r="A649" s="14" t="str">
        <x:v>CASE-00644</x:v>
      </x:c>
      <x:c r="B649" s="14" t="str">
        <x:v>Customer Services</x:v>
      </x:c>
      <x:c r="C649" s="14" t="str">
        <x:v>Record mismatch</x:v>
      </x:c>
      <x:c r="D649" s="14" t="str">
        <x:v>Low</x:v>
      </x:c>
      <x:c r="E649" s="15" t="n">
        <x:v>46275.416666666664</x:v>
      </x:c>
      <x:c r="F649" s="15" t="n">
        <x:v>46289.416666666664</x:v>
      </x:c>
      <x:c r="G649" s="15"/>
      <x:c r="H649" s="14" t="n">
        <x:v>1</x:v>
      </x:c>
      <x:c r="I649" s="1" t="n">
        <x:f>IF(AND(E649&lt;Reporting!$B$4,OR(G649="",G649&gt;=Reporting!$B$4)),1,0)</x:f>
        <x:v>1</x:v>
      </x:c>
      <x:c r="J649" s="1" t="n">
        <x:f>IF(AND(I649=1,F649&lt;Reporting!$B$4),1,0)</x:f>
        <x:v>0</x:v>
      </x:c>
      <x:c r="K649" s="1" t="n">
        <x:f>IF(F649&lt;Reporting!$B$4,1,0)</x:f>
        <x:v>0</x:v>
      </x:c>
      <x:c r="L649" s="1" t="n">
        <x:f>IF(AND(K649=1,G649&lt;&gt;"",G649&lt;=F649),1,0)</x:f>
        <x:v>0</x:v>
      </x:c>
      <x:c r="M649" s="1" t="n">
        <x:f>IF(AND(G649&lt;&gt;"",G649&lt;Reporting!$B$4),1,0)</x:f>
        <x:v>0</x:v>
      </x:c>
      <x:c r="N649" s="16" t="str">
        <x:f>IF(M649=1,G649-E649,"")</x:f>
      </x:c>
      <x:c r="O649" s="1" t="str">
        <x:f>IF(E649&gt;=Reporting!$B$4,"Outside cutoff",IF(M649=1,"Closed",IF(J649=1,"Overdue","Open - within SLA")))</x:f>
        <x:v>Open - within SLA</x:v>
      </x:c>
    </x:row>
    <x:row r="650">
      <x:c r="A650" s="14" t="str">
        <x:v>CASE-00645</x:v>
      </x:c>
      <x:c r="B650" s="14" t="str">
        <x:v>Installation</x:v>
      </x:c>
      <x:c r="C650" s="14" t="str">
        <x:v>Missing evidence</x:v>
      </x:c>
      <x:c r="D650" s="14" t="str">
        <x:v>Medium</x:v>
      </x:c>
      <x:c r="E650" s="15" t="n">
        <x:v>46221.625</x:v>
      </x:c>
      <x:c r="F650" s="15" t="n">
        <x:v>46228.625</x:v>
      </x:c>
      <x:c r="G650" s="15" t="n">
        <x:v>46232.666666666664</x:v>
      </x:c>
      <x:c r="H650" s="14" t="n">
        <x:v>3</x:v>
      </x:c>
      <x:c r="I650" s="1" t="n">
        <x:f>IF(AND(E650&lt;Reporting!$B$4,OR(G650="",G650&gt;=Reporting!$B$4)),1,0)</x:f>
        <x:v>0</x:v>
      </x:c>
      <x:c r="J650" s="1" t="n">
        <x:f>IF(AND(I650=1,F650&lt;Reporting!$B$4),1,0)</x:f>
        <x:v>0</x:v>
      </x:c>
      <x:c r="K650" s="1" t="n">
        <x:f>IF(F650&lt;Reporting!$B$4,1,0)</x:f>
        <x:v>1</x:v>
      </x:c>
      <x:c r="L650" s="1" t="n">
        <x:f>IF(AND(K650=1,G650&lt;&gt;"",G650&lt;=F650),1,0)</x:f>
        <x:v>0</x:v>
      </x:c>
      <x:c r="M650" s="1" t="n">
        <x:f>IF(AND(G650&lt;&gt;"",G650&lt;Reporting!$B$4),1,0)</x:f>
        <x:v>1</x:v>
      </x:c>
      <x:c r="N650" s="16" t="n">
        <x:f>IF(M650=1,G650-E650,"")</x:f>
        <x:v>11.041666666664241</x:v>
      </x:c>
      <x:c r="O650" s="1" t="str">
        <x:f>IF(E650&gt;=Reporting!$B$4,"Outside cutoff",IF(M650=1,"Closed",IF(J650=1,"Overdue","Open - within SLA")))</x:f>
        <x:v>Closed</x:v>
      </x:c>
    </x:row>
    <x:row r="651">
      <x:c r="A651" s="14" t="str">
        <x:v>CASE-00646</x:v>
      </x:c>
      <x:c r="B651" s="14" t="str">
        <x:v>Warehouse</x:v>
      </x:c>
      <x:c r="C651" s="14" t="str">
        <x:v>Late review</x:v>
      </x:c>
      <x:c r="D651" s="14" t="str">
        <x:v>Medium</x:v>
      </x:c>
      <x:c r="E651" s="15" t="n">
        <x:v>46236.666666666664</x:v>
      </x:c>
      <x:c r="F651" s="15" t="n">
        <x:v>46243.666666666664</x:v>
      </x:c>
      <x:c r="G651" s="15" t="n">
        <x:v>46238.708333333336</x:v>
      </x:c>
      <x:c r="H651" s="14" t="n">
        <x:v>2</x:v>
      </x:c>
      <x:c r="I651" s="1" t="n">
        <x:f>IF(AND(E651&lt;Reporting!$B$4,OR(G651="",G651&gt;=Reporting!$B$4)),1,0)</x:f>
        <x:v>0</x:v>
      </x:c>
      <x:c r="J651" s="1" t="n">
        <x:f>IF(AND(I651=1,F651&lt;Reporting!$B$4),1,0)</x:f>
        <x:v>0</x:v>
      </x:c>
      <x:c r="K651" s="1" t="n">
        <x:f>IF(F651&lt;Reporting!$B$4,1,0)</x:f>
        <x:v>1</x:v>
      </x:c>
      <x:c r="L651" s="1" t="n">
        <x:f>IF(AND(K651=1,G651&lt;&gt;"",G651&lt;=F651),1,0)</x:f>
        <x:v>1</x:v>
      </x:c>
      <x:c r="M651" s="1" t="n">
        <x:f>IF(AND(G651&lt;&gt;"",G651&lt;Reporting!$B$4),1,0)</x:f>
        <x:v>1</x:v>
      </x:c>
      <x:c r="N651" s="16" t="n">
        <x:f>IF(M651=1,G651-E651,"")</x:f>
        <x:v>2.0416666666715173</x:v>
      </x:c>
      <x:c r="O651" s="1" t="str">
        <x:f>IF(E651&gt;=Reporting!$B$4,"Outside cutoff",IF(M651=1,"Closed",IF(J651=1,"Overdue","Open - within SLA")))</x:f>
        <x:v>Closed</x:v>
      </x:c>
    </x:row>
    <x:row r="652">
      <x:c r="A652" s="14" t="str">
        <x:v>CASE-00647</x:v>
      </x:c>
      <x:c r="B652" s="14" t="str">
        <x:v>Installation</x:v>
      </x:c>
      <x:c r="C652" s="14" t="str">
        <x:v>Record mismatch</x:v>
      </x:c>
      <x:c r="D652" s="14" t="str">
        <x:v>High</x:v>
      </x:c>
      <x:c r="E652" s="15" t="n">
        <x:v>46234.625</x:v>
      </x:c>
      <x:c r="F652" s="15" t="n">
        <x:v>46237.625</x:v>
      </x:c>
      <x:c r="G652" s="15" t="n">
        <x:v>46243.666666666664</x:v>
      </x:c>
      <x:c r="H652" s="14" t="n">
        <x:v>3</x:v>
      </x:c>
      <x:c r="I652" s="1" t="n">
        <x:f>IF(AND(E652&lt;Reporting!$B$4,OR(G652="",G652&gt;=Reporting!$B$4)),1,0)</x:f>
        <x:v>0</x:v>
      </x:c>
      <x:c r="J652" s="1" t="n">
        <x:f>IF(AND(I652=1,F652&lt;Reporting!$B$4),1,0)</x:f>
        <x:v>0</x:v>
      </x:c>
      <x:c r="K652" s="1" t="n">
        <x:f>IF(F652&lt;Reporting!$B$4,1,0)</x:f>
        <x:v>1</x:v>
      </x:c>
      <x:c r="L652" s="1" t="n">
        <x:f>IF(AND(K652=1,G652&lt;&gt;"",G652&lt;=F652),1,0)</x:f>
        <x:v>0</x:v>
      </x:c>
      <x:c r="M652" s="1" t="n">
        <x:f>IF(AND(G652&lt;&gt;"",G652&lt;Reporting!$B$4),1,0)</x:f>
        <x:v>1</x:v>
      </x:c>
      <x:c r="N652" s="16" t="n">
        <x:f>IF(M652=1,G652-E652,"")</x:f>
        <x:v>9.041666666664241</x:v>
      </x:c>
      <x:c r="O652" s="1" t="str">
        <x:f>IF(E652&gt;=Reporting!$B$4,"Outside cutoff",IF(M652=1,"Closed",IF(J652=1,"Overdue","Open - within SLA")))</x:f>
        <x:v>Closed</x:v>
      </x:c>
    </x:row>
    <x:row r="653">
      <x:c r="A653" s="14" t="str">
        <x:v>CASE-00648</x:v>
      </x:c>
      <x:c r="B653" s="14" t="str">
        <x:v>Customer Services</x:v>
      </x:c>
      <x:c r="C653" s="14" t="str">
        <x:v>Process deviation</x:v>
      </x:c>
      <x:c r="D653" s="14" t="str">
        <x:v>High</x:v>
      </x:c>
      <x:c r="E653" s="15" t="n">
        <x:v>46232.5</x:v>
      </x:c>
      <x:c r="F653" s="15" t="n">
        <x:v>46235.5</x:v>
      </x:c>
      <x:c r="G653" s="15"/>
      <x:c r="H653" s="14" t="n">
        <x:v>1</x:v>
      </x:c>
      <x:c r="I653" s="1" t="n">
        <x:f>IF(AND(E653&lt;Reporting!$B$4,OR(G653="",G653&gt;=Reporting!$B$4)),1,0)</x:f>
        <x:v>1</x:v>
      </x:c>
      <x:c r="J653" s="1" t="n">
        <x:f>IF(AND(I653=1,F653&lt;Reporting!$B$4),1,0)</x:f>
        <x:v>1</x:v>
      </x:c>
      <x:c r="K653" s="1" t="n">
        <x:f>IF(F653&lt;Reporting!$B$4,1,0)</x:f>
        <x:v>1</x:v>
      </x:c>
      <x:c r="L653" s="1" t="n">
        <x:f>IF(AND(K653=1,G653&lt;&gt;"",G653&lt;=F653),1,0)</x:f>
        <x:v>0</x:v>
      </x:c>
      <x:c r="M653" s="1" t="n">
        <x:f>IF(AND(G653&lt;&gt;"",G653&lt;Reporting!$B$4),1,0)</x:f>
        <x:v>0</x:v>
      </x:c>
      <x:c r="N653" s="16" t="str">
        <x:f>IF(M653=1,G653-E653,"")</x:f>
      </x:c>
      <x:c r="O653" s="1" t="str">
        <x:f>IF(E653&gt;=Reporting!$B$4,"Outside cutoff",IF(M653=1,"Closed",IF(J653=1,"Overdue","Open - within SLA")))</x:f>
        <x:v>Overdue</x:v>
      </x:c>
    </x:row>
    <x:row r="654">
      <x:c r="A654" s="14" t="str">
        <x:v>CASE-00649</x:v>
      </x:c>
      <x:c r="B654" s="14" t="str">
        <x:v>Customer Services</x:v>
      </x:c>
      <x:c r="C654" s="14" t="str">
        <x:v>Missing evidence</x:v>
      </x:c>
      <x:c r="D654" s="14" t="str">
        <x:v>Low</x:v>
      </x:c>
      <x:c r="E654" s="15" t="n">
        <x:v>46285.583333333336</x:v>
      </x:c>
      <x:c r="F654" s="15" t="n">
        <x:v>46299.583333333336</x:v>
      </x:c>
      <x:c r="G654" s="15"/>
      <x:c r="H654" s="14" t="n">
        <x:v>1</x:v>
      </x:c>
      <x:c r="I654" s="1" t="n">
        <x:f>IF(AND(E654&lt;Reporting!$B$4,OR(G654="",G654&gt;=Reporting!$B$4)),1,0)</x:f>
        <x:v>1</x:v>
      </x:c>
      <x:c r="J654" s="1" t="n">
        <x:f>IF(AND(I654=1,F654&lt;Reporting!$B$4),1,0)</x:f>
        <x:v>0</x:v>
      </x:c>
      <x:c r="K654" s="1" t="n">
        <x:f>IF(F654&lt;Reporting!$B$4,1,0)</x:f>
        <x:v>0</x:v>
      </x:c>
      <x:c r="L654" s="1" t="n">
        <x:f>IF(AND(K654=1,G654&lt;&gt;"",G654&lt;=F654),1,0)</x:f>
        <x:v>0</x:v>
      </x:c>
      <x:c r="M654" s="1" t="n">
        <x:f>IF(AND(G654&lt;&gt;"",G654&lt;Reporting!$B$4),1,0)</x:f>
        <x:v>0</x:v>
      </x:c>
      <x:c r="N654" s="16" t="str">
        <x:f>IF(M654=1,G654-E654,"")</x:f>
      </x:c>
      <x:c r="O654" s="1" t="str">
        <x:f>IF(E654&gt;=Reporting!$B$4,"Outside cutoff",IF(M654=1,"Closed",IF(J654=1,"Overdue","Open - within SLA")))</x:f>
        <x:v>Open - within SLA</x:v>
      </x:c>
    </x:row>
    <x:row r="655">
      <x:c r="A655" s="14" t="str">
        <x:v>CASE-00650</x:v>
      </x:c>
      <x:c r="B655" s="14" t="str">
        <x:v>Installation</x:v>
      </x:c>
      <x:c r="C655" s="14" t="str">
        <x:v>Late review</x:v>
      </x:c>
      <x:c r="D655" s="14" t="str">
        <x:v>Medium</x:v>
      </x:c>
      <x:c r="E655" s="15" t="n">
        <x:v>46215.541666666664</x:v>
      </x:c>
      <x:c r="F655" s="15" t="n">
        <x:v>46222.541666666664</x:v>
      </x:c>
      <x:c r="G655" s="15" t="n">
        <x:v>46232.583333333336</x:v>
      </x:c>
      <x:c r="H655" s="14" t="n">
        <x:v>3</x:v>
      </x:c>
      <x:c r="I655" s="1" t="n">
        <x:f>IF(AND(E655&lt;Reporting!$B$4,OR(G655="",G655&gt;=Reporting!$B$4)),1,0)</x:f>
        <x:v>0</x:v>
      </x:c>
      <x:c r="J655" s="1" t="n">
        <x:f>IF(AND(I655=1,F655&lt;Reporting!$B$4),1,0)</x:f>
        <x:v>0</x:v>
      </x:c>
      <x:c r="K655" s="1" t="n">
        <x:f>IF(F655&lt;Reporting!$B$4,1,0)</x:f>
        <x:v>1</x:v>
      </x:c>
      <x:c r="L655" s="1" t="n">
        <x:f>IF(AND(K655=1,G655&lt;&gt;"",G655&lt;=F655),1,0)</x:f>
        <x:v>0</x:v>
      </x:c>
      <x:c r="M655" s="1" t="n">
        <x:f>IF(AND(G655&lt;&gt;"",G655&lt;Reporting!$B$4),1,0)</x:f>
        <x:v>1</x:v>
      </x:c>
      <x:c r="N655" s="16" t="n">
        <x:f>IF(M655=1,G655-E655,"")</x:f>
        <x:v>17.041666666671517</x:v>
      </x:c>
      <x:c r="O655" s="1" t="str">
        <x:f>IF(E655&gt;=Reporting!$B$4,"Outside cutoff",IF(M655=1,"Closed",IF(J655=1,"Overdue","Open - within SLA")))</x:f>
        <x:v>Closed</x:v>
      </x:c>
    </x:row>
    <x:row r="656">
      <x:c r="A656" s="14" t="str">
        <x:v>CASE-00651</x:v>
      </x:c>
      <x:c r="B656" s="14" t="str">
        <x:v>Customer Services</x:v>
      </x:c>
      <x:c r="C656" s="14" t="str">
        <x:v>Process deviation</x:v>
      </x:c>
      <x:c r="D656" s="14" t="str">
        <x:v>Medium</x:v>
      </x:c>
      <x:c r="E656" s="15" t="n">
        <x:v>46260.458333333336</x:v>
      </x:c>
      <x:c r="F656" s="15" t="n">
        <x:v>46267.458333333336</x:v>
      </x:c>
      <x:c r="G656" s="15" t="n">
        <x:v>46271.541666666664</x:v>
      </x:c>
      <x:c r="H656" s="14" t="n">
        <x:v>1</x:v>
      </x:c>
      <x:c r="I656" s="1" t="n">
        <x:f>IF(AND(E656&lt;Reporting!$B$4,OR(G656="",G656&gt;=Reporting!$B$4)),1,0)</x:f>
        <x:v>0</x:v>
      </x:c>
      <x:c r="J656" s="1" t="n">
        <x:f>IF(AND(I656=1,F656&lt;Reporting!$B$4),1,0)</x:f>
        <x:v>0</x:v>
      </x:c>
      <x:c r="K656" s="1" t="n">
        <x:f>IF(F656&lt;Reporting!$B$4,1,0)</x:f>
        <x:v>1</x:v>
      </x:c>
      <x:c r="L656" s="1" t="n">
        <x:f>IF(AND(K656=1,G656&lt;&gt;"",G656&lt;=F656),1,0)</x:f>
        <x:v>0</x:v>
      </x:c>
      <x:c r="M656" s="1" t="n">
        <x:f>IF(AND(G656&lt;&gt;"",G656&lt;Reporting!$B$4),1,0)</x:f>
        <x:v>1</x:v>
      </x:c>
      <x:c r="N656" s="16" t="n">
        <x:f>IF(M656=1,G656-E656,"")</x:f>
        <x:v>11.083333333328483</x:v>
      </x:c>
      <x:c r="O656" s="1" t="str">
        <x:f>IF(E656&gt;=Reporting!$B$4,"Outside cutoff",IF(M656=1,"Closed",IF(J656=1,"Overdue","Open - within SLA")))</x:f>
        <x:v>Closed</x:v>
      </x:c>
    </x:row>
    <x:row r="657">
      <x:c r="A657" s="14" t="str">
        <x:v>CASE-00652</x:v>
      </x:c>
      <x:c r="B657" s="14" t="str">
        <x:v>Installation</x:v>
      </x:c>
      <x:c r="C657" s="14" t="str">
        <x:v>Record mismatch</x:v>
      </x:c>
      <x:c r="D657" s="14" t="str">
        <x:v>Low</x:v>
      </x:c>
      <x:c r="E657" s="15" t="n">
        <x:v>46239.416666666664</x:v>
      </x:c>
      <x:c r="F657" s="15" t="n">
        <x:v>46253.416666666664</x:v>
      </x:c>
      <x:c r="G657" s="15" t="n">
        <x:v>46253.5</x:v>
      </x:c>
      <x:c r="H657" s="14" t="n">
        <x:v>3</x:v>
      </x:c>
      <x:c r="I657" s="1" t="n">
        <x:f>IF(AND(E657&lt;Reporting!$B$4,OR(G657="",G657&gt;=Reporting!$B$4)),1,0)</x:f>
        <x:v>0</x:v>
      </x:c>
      <x:c r="J657" s="1" t="n">
        <x:f>IF(AND(I657=1,F657&lt;Reporting!$B$4),1,0)</x:f>
        <x:v>0</x:v>
      </x:c>
      <x:c r="K657" s="1" t="n">
        <x:f>IF(F657&lt;Reporting!$B$4,1,0)</x:f>
        <x:v>1</x:v>
      </x:c>
      <x:c r="L657" s="1" t="n">
        <x:f>IF(AND(K657=1,G657&lt;&gt;"",G657&lt;=F657),1,0)</x:f>
        <x:v>0</x:v>
      </x:c>
      <x:c r="M657" s="1" t="n">
        <x:f>IF(AND(G657&lt;&gt;"",G657&lt;Reporting!$B$4),1,0)</x:f>
        <x:v>1</x:v>
      </x:c>
      <x:c r="N657" s="16" t="n">
        <x:f>IF(M657=1,G657-E657,"")</x:f>
        <x:v>14.083333333335759</x:v>
      </x:c>
      <x:c r="O657" s="1" t="str">
        <x:f>IF(E657&gt;=Reporting!$B$4,"Outside cutoff",IF(M657=1,"Closed",IF(J657=1,"Overdue","Open - within SLA")))</x:f>
        <x:v>Closed</x:v>
      </x:c>
    </x:row>
    <x:row r="658">
      <x:c r="A658" s="14" t="str">
        <x:v>CASE-00653</x:v>
      </x:c>
      <x:c r="B658" s="14" t="str">
        <x:v>Installation</x:v>
      </x:c>
      <x:c r="C658" s="14" t="str">
        <x:v>Record mismatch</x:v>
      </x:c>
      <x:c r="D658" s="14" t="str">
        <x:v>Medium</x:v>
      </x:c>
      <x:c r="E658" s="15" t="n">
        <x:v>46243.666666666664</x:v>
      </x:c>
      <x:c r="F658" s="15" t="n">
        <x:v>46250.666666666664</x:v>
      </x:c>
      <x:c r="G658" s="15" t="n">
        <x:v>46245.75</x:v>
      </x:c>
      <x:c r="H658" s="14" t="n">
        <x:v>3</x:v>
      </x:c>
      <x:c r="I658" s="1" t="n">
        <x:f>IF(AND(E658&lt;Reporting!$B$4,OR(G658="",G658&gt;=Reporting!$B$4)),1,0)</x:f>
        <x:v>0</x:v>
      </x:c>
      <x:c r="J658" s="1" t="n">
        <x:f>IF(AND(I658=1,F658&lt;Reporting!$B$4),1,0)</x:f>
        <x:v>0</x:v>
      </x:c>
      <x:c r="K658" s="1" t="n">
        <x:f>IF(F658&lt;Reporting!$B$4,1,0)</x:f>
        <x:v>1</x:v>
      </x:c>
      <x:c r="L658" s="1" t="n">
        <x:f>IF(AND(K658=1,G658&lt;&gt;"",G658&lt;=F658),1,0)</x:f>
        <x:v>1</x:v>
      </x:c>
      <x:c r="M658" s="1" t="n">
        <x:f>IF(AND(G658&lt;&gt;"",G658&lt;Reporting!$B$4),1,0)</x:f>
        <x:v>1</x:v>
      </x:c>
      <x:c r="N658" s="16" t="n">
        <x:f>IF(M658=1,G658-E658,"")</x:f>
        <x:v>2.0833333333357587</x:v>
      </x:c>
      <x:c r="O658" s="1" t="str">
        <x:f>IF(E658&gt;=Reporting!$B$4,"Outside cutoff",IF(M658=1,"Closed",IF(J658=1,"Overdue","Open - within SLA")))</x:f>
        <x:v>Closed</x:v>
      </x:c>
    </x:row>
    <x:row r="659">
      <x:c r="A659" s="14" t="str">
        <x:v>CASE-00654</x:v>
      </x:c>
      <x:c r="B659" s="14" t="str">
        <x:v>Customer Services</x:v>
      </x:c>
      <x:c r="C659" s="14" t="str">
        <x:v>Record mismatch</x:v>
      </x:c>
      <x:c r="D659" s="14" t="str">
        <x:v>Low</x:v>
      </x:c>
      <x:c r="E659" s="15" t="n">
        <x:v>46260.541666666664</x:v>
      </x:c>
      <x:c r="F659" s="15" t="n">
        <x:v>46274.541666666664</x:v>
      </x:c>
      <x:c r="G659" s="15" t="n">
        <x:v>46267.541666666664</x:v>
      </x:c>
      <x:c r="H659" s="14" t="n">
        <x:v>1</x:v>
      </x:c>
      <x:c r="I659" s="1" t="n">
        <x:f>IF(AND(E659&lt;Reporting!$B$4,OR(G659="",G659&gt;=Reporting!$B$4)),1,0)</x:f>
        <x:v>0</x:v>
      </x:c>
      <x:c r="J659" s="1" t="n">
        <x:f>IF(AND(I659=1,F659&lt;Reporting!$B$4),1,0)</x:f>
        <x:v>0</x:v>
      </x:c>
      <x:c r="K659" s="1" t="n">
        <x:f>IF(F659&lt;Reporting!$B$4,1,0)</x:f>
        <x:v>1</x:v>
      </x:c>
      <x:c r="L659" s="1" t="n">
        <x:f>IF(AND(K659=1,G659&lt;&gt;"",G659&lt;=F659),1,0)</x:f>
        <x:v>1</x:v>
      </x:c>
      <x:c r="M659" s="1" t="n">
        <x:f>IF(AND(G659&lt;&gt;"",G659&lt;Reporting!$B$4),1,0)</x:f>
        <x:v>1</x:v>
      </x:c>
      <x:c r="N659" s="16" t="n">
        <x:f>IF(M659=1,G659-E659,"")</x:f>
        <x:v>7</x:v>
      </x:c>
      <x:c r="O659" s="1" t="str">
        <x:f>IF(E659&gt;=Reporting!$B$4,"Outside cutoff",IF(M659=1,"Closed",IF(J659=1,"Overdue","Open - within SLA")))</x:f>
        <x:v>Closed</x:v>
      </x:c>
    </x:row>
    <x:row r="660">
      <x:c r="A660" s="14" t="str">
        <x:v>CASE-00655</x:v>
      </x:c>
      <x:c r="B660" s="14" t="str">
        <x:v>Warehouse</x:v>
      </x:c>
      <x:c r="C660" s="14" t="str">
        <x:v>Missing evidence</x:v>
      </x:c>
      <x:c r="D660" s="14" t="str">
        <x:v>Low</x:v>
      </x:c>
      <x:c r="E660" s="15" t="n">
        <x:v>46276.375</x:v>
      </x:c>
      <x:c r="F660" s="15" t="n">
        <x:v>46290.375</x:v>
      </x:c>
      <x:c r="G660" s="15"/>
      <x:c r="H660" s="14" t="n">
        <x:v>2</x:v>
      </x:c>
      <x:c r="I660" s="1" t="n">
        <x:f>IF(AND(E660&lt;Reporting!$B$4,OR(G660="",G660&gt;=Reporting!$B$4)),1,0)</x:f>
        <x:v>1</x:v>
      </x:c>
      <x:c r="J660" s="1" t="n">
        <x:f>IF(AND(I660=1,F660&lt;Reporting!$B$4),1,0)</x:f>
        <x:v>0</x:v>
      </x:c>
      <x:c r="K660" s="1" t="n">
        <x:f>IF(F660&lt;Reporting!$B$4,1,0)</x:f>
        <x:v>0</x:v>
      </x:c>
      <x:c r="L660" s="1" t="n">
        <x:f>IF(AND(K660=1,G660&lt;&gt;"",G660&lt;=F660),1,0)</x:f>
        <x:v>0</x:v>
      </x:c>
      <x:c r="M660" s="1" t="n">
        <x:f>IF(AND(G660&lt;&gt;"",G660&lt;Reporting!$B$4),1,0)</x:f>
        <x:v>0</x:v>
      </x:c>
      <x:c r="N660" s="16" t="str">
        <x:f>IF(M660=1,G660-E660,"")</x:f>
      </x:c>
      <x:c r="O660" s="1" t="str">
        <x:f>IF(E660&gt;=Reporting!$B$4,"Outside cutoff",IF(M660=1,"Closed",IF(J660=1,"Overdue","Open - within SLA")))</x:f>
        <x:v>Open - within SLA</x:v>
      </x:c>
    </x:row>
    <x:row r="661">
      <x:c r="A661" s="14" t="str">
        <x:v>CASE-00656</x:v>
      </x:c>
      <x:c r="B661" s="14" t="str">
        <x:v>Warehouse</x:v>
      </x:c>
      <x:c r="C661" s="14" t="str">
        <x:v>Process deviation</x:v>
      </x:c>
      <x:c r="D661" s="14" t="str">
        <x:v>Medium</x:v>
      </x:c>
      <x:c r="E661" s="15" t="n">
        <x:v>46207.541666666664</x:v>
      </x:c>
      <x:c r="F661" s="15" t="n">
        <x:v>46214.541666666664</x:v>
      </x:c>
      <x:c r="G661" s="15"/>
      <x:c r="H661" s="14" t="n">
        <x:v>2</x:v>
      </x:c>
      <x:c r="I661" s="1" t="n">
        <x:f>IF(AND(E661&lt;Reporting!$B$4,OR(G661="",G661&gt;=Reporting!$B$4)),1,0)</x:f>
        <x:v>1</x:v>
      </x:c>
      <x:c r="J661" s="1" t="n">
        <x:f>IF(AND(I661=1,F661&lt;Reporting!$B$4),1,0)</x:f>
        <x:v>1</x:v>
      </x:c>
      <x:c r="K661" s="1" t="n">
        <x:f>IF(F661&lt;Reporting!$B$4,1,0)</x:f>
        <x:v>1</x:v>
      </x:c>
      <x:c r="L661" s="1" t="n">
        <x:f>IF(AND(K661=1,G661&lt;&gt;"",G661&lt;=F661),1,0)</x:f>
        <x:v>0</x:v>
      </x:c>
      <x:c r="M661" s="1" t="n">
        <x:f>IF(AND(G661&lt;&gt;"",G661&lt;Reporting!$B$4),1,0)</x:f>
        <x:v>0</x:v>
      </x:c>
      <x:c r="N661" s="16" t="str">
        <x:f>IF(M661=1,G661-E661,"")</x:f>
      </x:c>
      <x:c r="O661" s="1" t="str">
        <x:f>IF(E661&gt;=Reporting!$B$4,"Outside cutoff",IF(M661=1,"Closed",IF(J661=1,"Overdue","Open - within SLA")))</x:f>
        <x:v>Overdue</x:v>
      </x:c>
    </x:row>
    <x:row r="662">
      <x:c r="A662" s="14" t="str">
        <x:v>CASE-00657</x:v>
      </x:c>
      <x:c r="B662" s="14" t="str">
        <x:v>Installation</x:v>
      </x:c>
      <x:c r="C662" s="14" t="str">
        <x:v>Record mismatch</x:v>
      </x:c>
      <x:c r="D662" s="14" t="str">
        <x:v>High</x:v>
      </x:c>
      <x:c r="E662" s="15" t="n">
        <x:v>46283.416666666664</x:v>
      </x:c>
      <x:c r="F662" s="15" t="n">
        <x:v>46286.416666666664</x:v>
      </x:c>
      <x:c r="G662" s="15"/>
      <x:c r="H662" s="14" t="n">
        <x:v>3</x:v>
      </x:c>
      <x:c r="I662" s="1" t="n">
        <x:f>IF(AND(E662&lt;Reporting!$B$4,OR(G662="",G662&gt;=Reporting!$B$4)),1,0)</x:f>
        <x:v>1</x:v>
      </x:c>
      <x:c r="J662" s="1" t="n">
        <x:f>IF(AND(I662=1,F662&lt;Reporting!$B$4),1,0)</x:f>
        <x:v>0</x:v>
      </x:c>
      <x:c r="K662" s="1" t="n">
        <x:f>IF(F662&lt;Reporting!$B$4,1,0)</x:f>
        <x:v>0</x:v>
      </x:c>
      <x:c r="L662" s="1" t="n">
        <x:f>IF(AND(K662=1,G662&lt;&gt;"",G662&lt;=F662),1,0)</x:f>
        <x:v>0</x:v>
      </x:c>
      <x:c r="M662" s="1" t="n">
        <x:f>IF(AND(G662&lt;&gt;"",G662&lt;Reporting!$B$4),1,0)</x:f>
        <x:v>0</x:v>
      </x:c>
      <x:c r="N662" s="16" t="str">
        <x:f>IF(M662=1,G662-E662,"")</x:f>
      </x:c>
      <x:c r="O662" s="1" t="str">
        <x:f>IF(E662&gt;=Reporting!$B$4,"Outside cutoff",IF(M662=1,"Closed",IF(J662=1,"Overdue","Open - within SLA")))</x:f>
        <x:v>Open - within SLA</x:v>
      </x:c>
    </x:row>
    <x:row r="663">
      <x:c r="A663" s="14" t="str">
        <x:v>CASE-00658</x:v>
      </x:c>
      <x:c r="B663" s="14" t="str">
        <x:v>Warehouse</x:v>
      </x:c>
      <x:c r="C663" s="14" t="str">
        <x:v>Record mismatch</x:v>
      </x:c>
      <x:c r="D663" s="14" t="str">
        <x:v>High</x:v>
      </x:c>
      <x:c r="E663" s="15" t="n">
        <x:v>46215.416666666664</x:v>
      </x:c>
      <x:c r="F663" s="15" t="n">
        <x:v>46218.416666666664</x:v>
      </x:c>
      <x:c r="G663" s="15" t="n">
        <x:v>46220.5</x:v>
      </x:c>
      <x:c r="H663" s="14" t="n">
        <x:v>2</x:v>
      </x:c>
      <x:c r="I663" s="1" t="n">
        <x:f>IF(AND(E663&lt;Reporting!$B$4,OR(G663="",G663&gt;=Reporting!$B$4)),1,0)</x:f>
        <x:v>0</x:v>
      </x:c>
      <x:c r="J663" s="1" t="n">
        <x:f>IF(AND(I663=1,F663&lt;Reporting!$B$4),1,0)</x:f>
        <x:v>0</x:v>
      </x:c>
      <x:c r="K663" s="1" t="n">
        <x:f>IF(F663&lt;Reporting!$B$4,1,0)</x:f>
        <x:v>1</x:v>
      </x:c>
      <x:c r="L663" s="1" t="n">
        <x:f>IF(AND(K663=1,G663&lt;&gt;"",G663&lt;=F663),1,0)</x:f>
        <x:v>0</x:v>
      </x:c>
      <x:c r="M663" s="1" t="n">
        <x:f>IF(AND(G663&lt;&gt;"",G663&lt;Reporting!$B$4),1,0)</x:f>
        <x:v>1</x:v>
      </x:c>
      <x:c r="N663" s="16" t="n">
        <x:f>IF(M663=1,G663-E663,"")</x:f>
        <x:v>5.083333333335759</x:v>
      </x:c>
      <x:c r="O663" s="1" t="str">
        <x:f>IF(E663&gt;=Reporting!$B$4,"Outside cutoff",IF(M663=1,"Closed",IF(J663=1,"Overdue","Open - within SLA")))</x:f>
        <x:v>Closed</x:v>
      </x:c>
    </x:row>
    <x:row r="664">
      <x:c r="A664" s="14" t="str">
        <x:v>CASE-00659</x:v>
      </x:c>
      <x:c r="B664" s="14" t="str">
        <x:v>Customer Services</x:v>
      </x:c>
      <x:c r="C664" s="14" t="str">
        <x:v>Late review</x:v>
      </x:c>
      <x:c r="D664" s="14" t="str">
        <x:v>Medium</x:v>
      </x:c>
      <x:c r="E664" s="15" t="n">
        <x:v>46275.666666666664</x:v>
      </x:c>
      <x:c r="F664" s="15" t="n">
        <x:v>46282.666666666664</x:v>
      </x:c>
      <x:c r="G664" s="15"/>
      <x:c r="H664" s="14" t="n">
        <x:v>1</x:v>
      </x:c>
      <x:c r="I664" s="1" t="n">
        <x:f>IF(AND(E664&lt;Reporting!$B$4,OR(G664="",G664&gt;=Reporting!$B$4)),1,0)</x:f>
        <x:v>1</x:v>
      </x:c>
      <x:c r="J664" s="1" t="n">
        <x:f>IF(AND(I664=1,F664&lt;Reporting!$B$4),1,0)</x:f>
        <x:v>1</x:v>
      </x:c>
      <x:c r="K664" s="1" t="n">
        <x:f>IF(F664&lt;Reporting!$B$4,1,0)</x:f>
        <x:v>1</x:v>
      </x:c>
      <x:c r="L664" s="1" t="n">
        <x:f>IF(AND(K664=1,G664&lt;&gt;"",G664&lt;=F664),1,0)</x:f>
        <x:v>0</x:v>
      </x:c>
      <x:c r="M664" s="1" t="n">
        <x:f>IF(AND(G664&lt;&gt;"",G664&lt;Reporting!$B$4),1,0)</x:f>
        <x:v>0</x:v>
      </x:c>
      <x:c r="N664" s="16" t="str">
        <x:f>IF(M664=1,G664-E664,"")</x:f>
      </x:c>
      <x:c r="O664" s="1" t="str">
        <x:f>IF(E664&gt;=Reporting!$B$4,"Outside cutoff",IF(M664=1,"Closed",IF(J664=1,"Overdue","Open - within SLA")))</x:f>
        <x:v>Overdue</x:v>
      </x:c>
    </x:row>
    <x:row r="665">
      <x:c r="A665" s="14" t="str">
        <x:v>CASE-00660</x:v>
      </x:c>
      <x:c r="B665" s="14" t="str">
        <x:v>Customer Services</x:v>
      </x:c>
      <x:c r="C665" s="14" t="str">
        <x:v>Record mismatch</x:v>
      </x:c>
      <x:c r="D665" s="14" t="str">
        <x:v>High</x:v>
      </x:c>
      <x:c r="E665" s="15" t="n">
        <x:v>46248.416666666664</x:v>
      </x:c>
      <x:c r="F665" s="15" t="n">
        <x:v>46251.416666666664</x:v>
      </x:c>
      <x:c r="G665" s="15" t="n">
        <x:v>46265.458333333336</x:v>
      </x:c>
      <x:c r="H665" s="14" t="n">
        <x:v>1</x:v>
      </x:c>
      <x:c r="I665" s="1" t="n">
        <x:f>IF(AND(E665&lt;Reporting!$B$4,OR(G665="",G665&gt;=Reporting!$B$4)),1,0)</x:f>
        <x:v>0</x:v>
      </x:c>
      <x:c r="J665" s="1" t="n">
        <x:f>IF(AND(I665=1,F665&lt;Reporting!$B$4),1,0)</x:f>
        <x:v>0</x:v>
      </x:c>
      <x:c r="K665" s="1" t="n">
        <x:f>IF(F665&lt;Reporting!$B$4,1,0)</x:f>
        <x:v>1</x:v>
      </x:c>
      <x:c r="L665" s="1" t="n">
        <x:f>IF(AND(K665=1,G665&lt;&gt;"",G665&lt;=F665),1,0)</x:f>
        <x:v>0</x:v>
      </x:c>
      <x:c r="M665" s="1" t="n">
        <x:f>IF(AND(G665&lt;&gt;"",G665&lt;Reporting!$B$4),1,0)</x:f>
        <x:v>1</x:v>
      </x:c>
      <x:c r="N665" s="16" t="n">
        <x:f>IF(M665=1,G665-E665,"")</x:f>
        <x:v>17.041666666671517</x:v>
      </x:c>
      <x:c r="O665" s="1" t="str">
        <x:f>IF(E665&gt;=Reporting!$B$4,"Outside cutoff",IF(M665=1,"Closed",IF(J665=1,"Overdue","Open - within SLA")))</x:f>
        <x:v>Closed</x:v>
      </x:c>
    </x:row>
    <x:row r="666">
      <x:c r="A666" s="14" t="str">
        <x:v>CASE-00661</x:v>
      </x:c>
      <x:c r="B666" s="14" t="str">
        <x:v>Customer Services</x:v>
      </x:c>
      <x:c r="C666" s="14" t="str">
        <x:v>Record mismatch</x:v>
      </x:c>
      <x:c r="D666" s="14" t="str">
        <x:v>Medium</x:v>
      </x:c>
      <x:c r="E666" s="15" t="n">
        <x:v>46212.666666666664</x:v>
      </x:c>
      <x:c r="F666" s="15" t="n">
        <x:v>46219.666666666664</x:v>
      </x:c>
      <x:c r="G666" s="15" t="n">
        <x:v>46217.75</x:v>
      </x:c>
      <x:c r="H666" s="14" t="n">
        <x:v>1</x:v>
      </x:c>
      <x:c r="I666" s="1" t="n">
        <x:f>IF(AND(E666&lt;Reporting!$B$4,OR(G666="",G666&gt;=Reporting!$B$4)),1,0)</x:f>
        <x:v>0</x:v>
      </x:c>
      <x:c r="J666" s="1" t="n">
        <x:f>IF(AND(I666=1,F666&lt;Reporting!$B$4),1,0)</x:f>
        <x:v>0</x:v>
      </x:c>
      <x:c r="K666" s="1" t="n">
        <x:f>IF(F666&lt;Reporting!$B$4,1,0)</x:f>
        <x:v>1</x:v>
      </x:c>
      <x:c r="L666" s="1" t="n">
        <x:f>IF(AND(K666=1,G666&lt;&gt;"",G666&lt;=F666),1,0)</x:f>
        <x:v>1</x:v>
      </x:c>
      <x:c r="M666" s="1" t="n">
        <x:f>IF(AND(G666&lt;&gt;"",G666&lt;Reporting!$B$4),1,0)</x:f>
        <x:v>1</x:v>
      </x:c>
      <x:c r="N666" s="16" t="n">
        <x:f>IF(M666=1,G666-E666,"")</x:f>
        <x:v>5.083333333335759</x:v>
      </x:c>
      <x:c r="O666" s="1" t="str">
        <x:f>IF(E666&gt;=Reporting!$B$4,"Outside cutoff",IF(M666=1,"Closed",IF(J666=1,"Overdue","Open - within SLA")))</x:f>
        <x:v>Closed</x:v>
      </x:c>
    </x:row>
    <x:row r="667">
      <x:c r="A667" s="14" t="str">
        <x:v>CASE-00662</x:v>
      </x:c>
      <x:c r="B667" s="14" t="str">
        <x:v>Customer Services</x:v>
      </x:c>
      <x:c r="C667" s="14" t="str">
        <x:v>Missing evidence</x:v>
      </x:c>
      <x:c r="D667" s="14" t="str">
        <x:v>High</x:v>
      </x:c>
      <x:c r="E667" s="15" t="n">
        <x:v>46237.416666666664</x:v>
      </x:c>
      <x:c r="F667" s="15" t="n">
        <x:v>46240.416666666664</x:v>
      </x:c>
      <x:c r="G667" s="15" t="n">
        <x:v>46253.416666666664</x:v>
      </x:c>
      <x:c r="H667" s="14" t="n">
        <x:v>1</x:v>
      </x:c>
      <x:c r="I667" s="1" t="n">
        <x:f>IF(AND(E667&lt;Reporting!$B$4,OR(G667="",G667&gt;=Reporting!$B$4)),1,0)</x:f>
        <x:v>0</x:v>
      </x:c>
      <x:c r="J667" s="1" t="n">
        <x:f>IF(AND(I667=1,F667&lt;Reporting!$B$4),1,0)</x:f>
        <x:v>0</x:v>
      </x:c>
      <x:c r="K667" s="1" t="n">
        <x:f>IF(F667&lt;Reporting!$B$4,1,0)</x:f>
        <x:v>1</x:v>
      </x:c>
      <x:c r="L667" s="1" t="n">
        <x:f>IF(AND(K667=1,G667&lt;&gt;"",G667&lt;=F667),1,0)</x:f>
        <x:v>0</x:v>
      </x:c>
      <x:c r="M667" s="1" t="n">
        <x:f>IF(AND(G667&lt;&gt;"",G667&lt;Reporting!$B$4),1,0)</x:f>
        <x:v>1</x:v>
      </x:c>
      <x:c r="N667" s="16" t="n">
        <x:f>IF(M667=1,G667-E667,"")</x:f>
        <x:v>16</x:v>
      </x:c>
      <x:c r="O667" s="1" t="str">
        <x:f>IF(E667&gt;=Reporting!$B$4,"Outside cutoff",IF(M667=1,"Closed",IF(J667=1,"Overdue","Open - within SLA")))</x:f>
        <x:v>Closed</x:v>
      </x:c>
    </x:row>
    <x:row r="668">
      <x:c r="A668" s="14" t="str">
        <x:v>CASE-00663</x:v>
      </x:c>
      <x:c r="B668" s="14" t="str">
        <x:v>Warehouse</x:v>
      </x:c>
      <x:c r="C668" s="14" t="str">
        <x:v>Record mismatch</x:v>
      </x:c>
      <x:c r="D668" s="14" t="str">
        <x:v>Low</x:v>
      </x:c>
      <x:c r="E668" s="15" t="n">
        <x:v>46225.333333333336</x:v>
      </x:c>
      <x:c r="F668" s="15" t="n">
        <x:v>46239.333333333336</x:v>
      </x:c>
      <x:c r="G668" s="15" t="n">
        <x:v>46243.375</x:v>
      </x:c>
      <x:c r="H668" s="14" t="n">
        <x:v>2</x:v>
      </x:c>
      <x:c r="I668" s="1" t="n">
        <x:f>IF(AND(E668&lt;Reporting!$B$4,OR(G668="",G668&gt;=Reporting!$B$4)),1,0)</x:f>
        <x:v>0</x:v>
      </x:c>
      <x:c r="J668" s="1" t="n">
        <x:f>IF(AND(I668=1,F668&lt;Reporting!$B$4),1,0)</x:f>
        <x:v>0</x:v>
      </x:c>
      <x:c r="K668" s="1" t="n">
        <x:f>IF(F668&lt;Reporting!$B$4,1,0)</x:f>
        <x:v>1</x:v>
      </x:c>
      <x:c r="L668" s="1" t="n">
        <x:f>IF(AND(K668=1,G668&lt;&gt;"",G668&lt;=F668),1,0)</x:f>
        <x:v>0</x:v>
      </x:c>
      <x:c r="M668" s="1" t="n">
        <x:f>IF(AND(G668&lt;&gt;"",G668&lt;Reporting!$B$4),1,0)</x:f>
        <x:v>1</x:v>
      </x:c>
      <x:c r="N668" s="16" t="n">
        <x:f>IF(M668=1,G668-E668,"")</x:f>
        <x:v>18.04166666666424</x:v>
      </x:c>
      <x:c r="O668" s="1" t="str">
        <x:f>IF(E668&gt;=Reporting!$B$4,"Outside cutoff",IF(M668=1,"Closed",IF(J668=1,"Overdue","Open - within SLA")))</x:f>
        <x:v>Closed</x:v>
      </x:c>
    </x:row>
    <x:row r="669">
      <x:c r="A669" s="14" t="str">
        <x:v>CASE-00664</x:v>
      </x:c>
      <x:c r="B669" s="14" t="str">
        <x:v>Customer Services</x:v>
      </x:c>
      <x:c r="C669" s="14" t="str">
        <x:v>Record mismatch</x:v>
      </x:c>
      <x:c r="D669" s="14" t="str">
        <x:v>High</x:v>
      </x:c>
      <x:c r="E669" s="15" t="n">
        <x:v>46231.541666666664</x:v>
      </x:c>
      <x:c r="F669" s="15" t="n">
        <x:v>46234.541666666664</x:v>
      </x:c>
      <x:c r="G669" s="15" t="n">
        <x:v>46243.583333333336</x:v>
      </x:c>
      <x:c r="H669" s="14" t="n">
        <x:v>1</x:v>
      </x:c>
      <x:c r="I669" s="1" t="n">
        <x:f>IF(AND(E669&lt;Reporting!$B$4,OR(G669="",G669&gt;=Reporting!$B$4)),1,0)</x:f>
        <x:v>0</x:v>
      </x:c>
      <x:c r="J669" s="1" t="n">
        <x:f>IF(AND(I669=1,F669&lt;Reporting!$B$4),1,0)</x:f>
        <x:v>0</x:v>
      </x:c>
      <x:c r="K669" s="1" t="n">
        <x:f>IF(F669&lt;Reporting!$B$4,1,0)</x:f>
        <x:v>1</x:v>
      </x:c>
      <x:c r="L669" s="1" t="n">
        <x:f>IF(AND(K669=1,G669&lt;&gt;"",G669&lt;=F669),1,0)</x:f>
        <x:v>0</x:v>
      </x:c>
      <x:c r="M669" s="1" t="n">
        <x:f>IF(AND(G669&lt;&gt;"",G669&lt;Reporting!$B$4),1,0)</x:f>
        <x:v>1</x:v>
      </x:c>
      <x:c r="N669" s="16" t="n">
        <x:f>IF(M669=1,G669-E669,"")</x:f>
        <x:v>12.041666666671517</x:v>
      </x:c>
      <x:c r="O669" s="1" t="str">
        <x:f>IF(E669&gt;=Reporting!$B$4,"Outside cutoff",IF(M669=1,"Closed",IF(J669=1,"Overdue","Open - within SLA")))</x:f>
        <x:v>Closed</x:v>
      </x:c>
    </x:row>
    <x:row r="670">
      <x:c r="A670" s="14" t="str">
        <x:v>CASE-00665</x:v>
      </x:c>
      <x:c r="B670" s="14" t="str">
        <x:v>Warehouse</x:v>
      </x:c>
      <x:c r="C670" s="14" t="str">
        <x:v>Record mismatch</x:v>
      </x:c>
      <x:c r="D670" s="14" t="str">
        <x:v>Medium</x:v>
      </x:c>
      <x:c r="E670" s="15" t="n">
        <x:v>46216.541666666664</x:v>
      </x:c>
      <x:c r="F670" s="15" t="n">
        <x:v>46223.541666666664</x:v>
      </x:c>
      <x:c r="G670" s="15" t="n">
        <x:v>46223.583333333336</x:v>
      </x:c>
      <x:c r="H670" s="14" t="n">
        <x:v>2</x:v>
      </x:c>
      <x:c r="I670" s="1" t="n">
        <x:f>IF(AND(E670&lt;Reporting!$B$4,OR(G670="",G670&gt;=Reporting!$B$4)),1,0)</x:f>
        <x:v>0</x:v>
      </x:c>
      <x:c r="J670" s="1" t="n">
        <x:f>IF(AND(I670=1,F670&lt;Reporting!$B$4),1,0)</x:f>
        <x:v>0</x:v>
      </x:c>
      <x:c r="K670" s="1" t="n">
        <x:f>IF(F670&lt;Reporting!$B$4,1,0)</x:f>
        <x:v>1</x:v>
      </x:c>
      <x:c r="L670" s="1" t="n">
        <x:f>IF(AND(K670=1,G670&lt;&gt;"",G670&lt;=F670),1,0)</x:f>
        <x:v>0</x:v>
      </x:c>
      <x:c r="M670" s="1" t="n">
        <x:f>IF(AND(G670&lt;&gt;"",G670&lt;Reporting!$B$4),1,0)</x:f>
        <x:v>1</x:v>
      </x:c>
      <x:c r="N670" s="16" t="n">
        <x:f>IF(M670=1,G670-E670,"")</x:f>
        <x:v>7.041666666671517</x:v>
      </x:c>
      <x:c r="O670" s="1" t="str">
        <x:f>IF(E670&gt;=Reporting!$B$4,"Outside cutoff",IF(M670=1,"Closed",IF(J670=1,"Overdue","Open - within SLA")))</x:f>
        <x:v>Closed</x:v>
      </x:c>
    </x:row>
    <x:row r="671">
      <x:c r="A671" s="14" t="str">
        <x:v>CASE-00666</x:v>
      </x:c>
      <x:c r="B671" s="14" t="str">
        <x:v>Installation</x:v>
      </x:c>
      <x:c r="C671" s="14" t="str">
        <x:v>Missing evidence</x:v>
      </x:c>
      <x:c r="D671" s="14" t="str">
        <x:v>Medium</x:v>
      </x:c>
      <x:c r="E671" s="15" t="n">
        <x:v>46250.375</x:v>
      </x:c>
      <x:c r="F671" s="15" t="n">
        <x:v>46257.375</x:v>
      </x:c>
      <x:c r="G671" s="15" t="n">
        <x:v>46265.416666666664</x:v>
      </x:c>
      <x:c r="H671" s="14" t="n">
        <x:v>3</x:v>
      </x:c>
      <x:c r="I671" s="1" t="n">
        <x:f>IF(AND(E671&lt;Reporting!$B$4,OR(G671="",G671&gt;=Reporting!$B$4)),1,0)</x:f>
        <x:v>0</x:v>
      </x:c>
      <x:c r="J671" s="1" t="n">
        <x:f>IF(AND(I671=1,F671&lt;Reporting!$B$4),1,0)</x:f>
        <x:v>0</x:v>
      </x:c>
      <x:c r="K671" s="1" t="n">
        <x:f>IF(F671&lt;Reporting!$B$4,1,0)</x:f>
        <x:v>1</x:v>
      </x:c>
      <x:c r="L671" s="1" t="n">
        <x:f>IF(AND(K671=1,G671&lt;&gt;"",G671&lt;=F671),1,0)</x:f>
        <x:v>0</x:v>
      </x:c>
      <x:c r="M671" s="1" t="n">
        <x:f>IF(AND(G671&lt;&gt;"",G671&lt;Reporting!$B$4),1,0)</x:f>
        <x:v>1</x:v>
      </x:c>
      <x:c r="N671" s="16" t="n">
        <x:f>IF(M671=1,G671-E671,"")</x:f>
        <x:v>15.041666666664241</x:v>
      </x:c>
      <x:c r="O671" s="1" t="str">
        <x:f>IF(E671&gt;=Reporting!$B$4,"Outside cutoff",IF(M671=1,"Closed",IF(J671=1,"Overdue","Open - within SLA")))</x:f>
        <x:v>Closed</x:v>
      </x:c>
    </x:row>
    <x:row r="672">
      <x:c r="A672" s="14" t="str">
        <x:v>CASE-00667</x:v>
      </x:c>
      <x:c r="B672" s="14" t="str">
        <x:v>Customer Services</x:v>
      </x:c>
      <x:c r="C672" s="14" t="str">
        <x:v>Record mismatch</x:v>
      </x:c>
      <x:c r="D672" s="14" t="str">
        <x:v>High</x:v>
      </x:c>
      <x:c r="E672" s="15" t="n">
        <x:v>46218.333333333336</x:v>
      </x:c>
      <x:c r="F672" s="15" t="n">
        <x:v>46221.333333333336</x:v>
      </x:c>
      <x:c r="G672" s="15" t="n">
        <x:v>46225.375</x:v>
      </x:c>
      <x:c r="H672" s="14" t="n">
        <x:v>1</x:v>
      </x:c>
      <x:c r="I672" s="1" t="n">
        <x:f>IF(AND(E672&lt;Reporting!$B$4,OR(G672="",G672&gt;=Reporting!$B$4)),1,0)</x:f>
        <x:v>0</x:v>
      </x:c>
      <x:c r="J672" s="1" t="n">
        <x:f>IF(AND(I672=1,F672&lt;Reporting!$B$4),1,0)</x:f>
        <x:v>0</x:v>
      </x:c>
      <x:c r="K672" s="1" t="n">
        <x:f>IF(F672&lt;Reporting!$B$4,1,0)</x:f>
        <x:v>1</x:v>
      </x:c>
      <x:c r="L672" s="1" t="n">
        <x:f>IF(AND(K672=1,G672&lt;&gt;"",G672&lt;=F672),1,0)</x:f>
        <x:v>0</x:v>
      </x:c>
      <x:c r="M672" s="1" t="n">
        <x:f>IF(AND(G672&lt;&gt;"",G672&lt;Reporting!$B$4),1,0)</x:f>
        <x:v>1</x:v>
      </x:c>
      <x:c r="N672" s="16" t="n">
        <x:f>IF(M672=1,G672-E672,"")</x:f>
        <x:v>7.041666666664241</x:v>
      </x:c>
      <x:c r="O672" s="1" t="str">
        <x:f>IF(E672&gt;=Reporting!$B$4,"Outside cutoff",IF(M672=1,"Closed",IF(J672=1,"Overdue","Open - within SLA")))</x:f>
        <x:v>Closed</x:v>
      </x:c>
    </x:row>
    <x:row r="673">
      <x:c r="A673" s="14" t="str">
        <x:v>CASE-00668</x:v>
      </x:c>
      <x:c r="B673" s="14" t="str">
        <x:v>Warehouse</x:v>
      </x:c>
      <x:c r="C673" s="14" t="str">
        <x:v>Record mismatch</x:v>
      </x:c>
      <x:c r="D673" s="14" t="str">
        <x:v>Medium</x:v>
      </x:c>
      <x:c r="E673" s="15" t="n">
        <x:v>46239.375</x:v>
      </x:c>
      <x:c r="F673" s="15" t="n">
        <x:v>46246.375</x:v>
      </x:c>
      <x:c r="G673" s="15" t="n">
        <x:v>46241.416666666664</x:v>
      </x:c>
      <x:c r="H673" s="14" t="n">
        <x:v>2</x:v>
      </x:c>
      <x:c r="I673" s="1" t="n">
        <x:f>IF(AND(E673&lt;Reporting!$B$4,OR(G673="",G673&gt;=Reporting!$B$4)),1,0)</x:f>
        <x:v>0</x:v>
      </x:c>
      <x:c r="J673" s="1" t="n">
        <x:f>IF(AND(I673=1,F673&lt;Reporting!$B$4),1,0)</x:f>
        <x:v>0</x:v>
      </x:c>
      <x:c r="K673" s="1" t="n">
        <x:f>IF(F673&lt;Reporting!$B$4,1,0)</x:f>
        <x:v>1</x:v>
      </x:c>
      <x:c r="L673" s="1" t="n">
        <x:f>IF(AND(K673=1,G673&lt;&gt;"",G673&lt;=F673),1,0)</x:f>
        <x:v>1</x:v>
      </x:c>
      <x:c r="M673" s="1" t="n">
        <x:f>IF(AND(G673&lt;&gt;"",G673&lt;Reporting!$B$4),1,0)</x:f>
        <x:v>1</x:v>
      </x:c>
      <x:c r="N673" s="16" t="n">
        <x:f>IF(M673=1,G673-E673,"")</x:f>
        <x:v>2.0416666666642413</x:v>
      </x:c>
      <x:c r="O673" s="1" t="str">
        <x:f>IF(E673&gt;=Reporting!$B$4,"Outside cutoff",IF(M673=1,"Closed",IF(J673=1,"Overdue","Open - within SLA")))</x:f>
        <x:v>Closed</x:v>
      </x:c>
    </x:row>
    <x:row r="674">
      <x:c r="A674" s="14" t="str">
        <x:v>CASE-00669</x:v>
      </x:c>
      <x:c r="B674" s="14" t="str">
        <x:v>Customer Services</x:v>
      </x:c>
      <x:c r="C674" s="14" t="str">
        <x:v>Missing evidence</x:v>
      </x:c>
      <x:c r="D674" s="14" t="str">
        <x:v>Low</x:v>
      </x:c>
      <x:c r="E674" s="15" t="n">
        <x:v>46235.416666666664</x:v>
      </x:c>
      <x:c r="F674" s="15" t="n">
        <x:v>46249.416666666664</x:v>
      </x:c>
      <x:c r="G674" s="15" t="n">
        <x:v>46236.5</x:v>
      </x:c>
      <x:c r="H674" s="14" t="n">
        <x:v>1</x:v>
      </x:c>
      <x:c r="I674" s="1" t="n">
        <x:f>IF(AND(E674&lt;Reporting!$B$4,OR(G674="",G674&gt;=Reporting!$B$4)),1,0)</x:f>
        <x:v>0</x:v>
      </x:c>
      <x:c r="J674" s="1" t="n">
        <x:f>IF(AND(I674=1,F674&lt;Reporting!$B$4),1,0)</x:f>
        <x:v>0</x:v>
      </x:c>
      <x:c r="K674" s="1" t="n">
        <x:f>IF(F674&lt;Reporting!$B$4,1,0)</x:f>
        <x:v>1</x:v>
      </x:c>
      <x:c r="L674" s="1" t="n">
        <x:f>IF(AND(K674=1,G674&lt;&gt;"",G674&lt;=F674),1,0)</x:f>
        <x:v>1</x:v>
      </x:c>
      <x:c r="M674" s="1" t="n">
        <x:f>IF(AND(G674&lt;&gt;"",G674&lt;Reporting!$B$4),1,0)</x:f>
        <x:v>1</x:v>
      </x:c>
      <x:c r="N674" s="16" t="n">
        <x:f>IF(M674=1,G674-E674,"")</x:f>
        <x:v>1.0833333333357587</x:v>
      </x:c>
      <x:c r="O674" s="1" t="str">
        <x:f>IF(E674&gt;=Reporting!$B$4,"Outside cutoff",IF(M674=1,"Closed",IF(J674=1,"Overdue","Open - within SLA")))</x:f>
        <x:v>Closed</x:v>
      </x:c>
    </x:row>
    <x:row r="675">
      <x:c r="A675" s="14" t="str">
        <x:v>CASE-00670</x:v>
      </x:c>
      <x:c r="B675" s="14" t="str">
        <x:v>Installation</x:v>
      </x:c>
      <x:c r="C675" s="14" t="str">
        <x:v>Missing evidence</x:v>
      </x:c>
      <x:c r="D675" s="14" t="str">
        <x:v>High</x:v>
      </x:c>
      <x:c r="E675" s="15" t="n">
        <x:v>46277.458333333336</x:v>
      </x:c>
      <x:c r="F675" s="15" t="n">
        <x:v>46280.458333333336</x:v>
      </x:c>
      <x:c r="G675" s="15"/>
      <x:c r="H675" s="14" t="n">
        <x:v>3</x:v>
      </x:c>
      <x:c r="I675" s="1" t="n">
        <x:f>IF(AND(E675&lt;Reporting!$B$4,OR(G675="",G675&gt;=Reporting!$B$4)),1,0)</x:f>
        <x:v>1</x:v>
      </x:c>
      <x:c r="J675" s="1" t="n">
        <x:f>IF(AND(I675=1,F675&lt;Reporting!$B$4),1,0)</x:f>
        <x:v>1</x:v>
      </x:c>
      <x:c r="K675" s="1" t="n">
        <x:f>IF(F675&lt;Reporting!$B$4,1,0)</x:f>
        <x:v>1</x:v>
      </x:c>
      <x:c r="L675" s="1" t="n">
        <x:f>IF(AND(K675=1,G675&lt;&gt;"",G675&lt;=F675),1,0)</x:f>
        <x:v>0</x:v>
      </x:c>
      <x:c r="M675" s="1" t="n">
        <x:f>IF(AND(G675&lt;&gt;"",G675&lt;Reporting!$B$4),1,0)</x:f>
        <x:v>0</x:v>
      </x:c>
      <x:c r="N675" s="16" t="str">
        <x:f>IF(M675=1,G675-E675,"")</x:f>
      </x:c>
      <x:c r="O675" s="1" t="str">
        <x:f>IF(E675&gt;=Reporting!$B$4,"Outside cutoff",IF(M675=1,"Closed",IF(J675=1,"Overdue","Open - within SLA")))</x:f>
        <x:v>Overdue</x:v>
      </x:c>
    </x:row>
    <x:row r="676">
      <x:c r="A676" s="14" t="str">
        <x:v>CASE-00671</x:v>
      </x:c>
      <x:c r="B676" s="14" t="str">
        <x:v>Customer Services</x:v>
      </x:c>
      <x:c r="C676" s="14" t="str">
        <x:v>Missing evidence</x:v>
      </x:c>
      <x:c r="D676" s="14" t="str">
        <x:v>Medium</x:v>
      </x:c>
      <x:c r="E676" s="15" t="n">
        <x:v>46235.625</x:v>
      </x:c>
      <x:c r="F676" s="15" t="n">
        <x:v>46242.625</x:v>
      </x:c>
      <x:c r="G676" s="15" t="n">
        <x:v>46243.666666666664</x:v>
      </x:c>
      <x:c r="H676" s="14" t="n">
        <x:v>1</x:v>
      </x:c>
      <x:c r="I676" s="1" t="n">
        <x:f>IF(AND(E676&lt;Reporting!$B$4,OR(G676="",G676&gt;=Reporting!$B$4)),1,0)</x:f>
        <x:v>0</x:v>
      </x:c>
      <x:c r="J676" s="1" t="n">
        <x:f>IF(AND(I676=1,F676&lt;Reporting!$B$4),1,0)</x:f>
        <x:v>0</x:v>
      </x:c>
      <x:c r="K676" s="1" t="n">
        <x:f>IF(F676&lt;Reporting!$B$4,1,0)</x:f>
        <x:v>1</x:v>
      </x:c>
      <x:c r="L676" s="1" t="n">
        <x:f>IF(AND(K676=1,G676&lt;&gt;"",G676&lt;=F676),1,0)</x:f>
        <x:v>0</x:v>
      </x:c>
      <x:c r="M676" s="1" t="n">
        <x:f>IF(AND(G676&lt;&gt;"",G676&lt;Reporting!$B$4),1,0)</x:f>
        <x:v>1</x:v>
      </x:c>
      <x:c r="N676" s="16" t="n">
        <x:f>IF(M676=1,G676-E676,"")</x:f>
        <x:v>8.041666666664241</x:v>
      </x:c>
      <x:c r="O676" s="1" t="str">
        <x:f>IF(E676&gt;=Reporting!$B$4,"Outside cutoff",IF(M676=1,"Closed",IF(J676=1,"Overdue","Open - within SLA")))</x:f>
        <x:v>Closed</x:v>
      </x:c>
    </x:row>
    <x:row r="677">
      <x:c r="A677" s="14" t="str">
        <x:v>CASE-00672</x:v>
      </x:c>
      <x:c r="B677" s="14" t="str">
        <x:v>Warehouse</x:v>
      </x:c>
      <x:c r="C677" s="14" t="str">
        <x:v>Late review</x:v>
      </x:c>
      <x:c r="D677" s="14" t="str">
        <x:v>Medium</x:v>
      </x:c>
      <x:c r="E677" s="15" t="n">
        <x:v>46243.458333333336</x:v>
      </x:c>
      <x:c r="F677" s="15" t="n">
        <x:v>46250.458333333336</x:v>
      </x:c>
      <x:c r="G677" s="15" t="n">
        <x:v>46255.541666666664</x:v>
      </x:c>
      <x:c r="H677" s="14" t="n">
        <x:v>2</x:v>
      </x:c>
      <x:c r="I677" s="1" t="n">
        <x:f>IF(AND(E677&lt;Reporting!$B$4,OR(G677="",G677&gt;=Reporting!$B$4)),1,0)</x:f>
        <x:v>0</x:v>
      </x:c>
      <x:c r="J677" s="1" t="n">
        <x:f>IF(AND(I677=1,F677&lt;Reporting!$B$4),1,0)</x:f>
        <x:v>0</x:v>
      </x:c>
      <x:c r="K677" s="1" t="n">
        <x:f>IF(F677&lt;Reporting!$B$4,1,0)</x:f>
        <x:v>1</x:v>
      </x:c>
      <x:c r="L677" s="1" t="n">
        <x:f>IF(AND(K677=1,G677&lt;&gt;"",G677&lt;=F677),1,0)</x:f>
        <x:v>0</x:v>
      </x:c>
      <x:c r="M677" s="1" t="n">
        <x:f>IF(AND(G677&lt;&gt;"",G677&lt;Reporting!$B$4),1,0)</x:f>
        <x:v>1</x:v>
      </x:c>
      <x:c r="N677" s="16" t="n">
        <x:f>IF(M677=1,G677-E677,"")</x:f>
        <x:v>12.083333333328483</x:v>
      </x:c>
      <x:c r="O677" s="1" t="str">
        <x:f>IF(E677&gt;=Reporting!$B$4,"Outside cutoff",IF(M677=1,"Closed",IF(J677=1,"Overdue","Open - within SLA")))</x:f>
        <x:v>Closed</x:v>
      </x:c>
    </x:row>
    <x:row r="678">
      <x:c r="A678" s="14" t="str">
        <x:v>CASE-00673</x:v>
      </x:c>
      <x:c r="B678" s="14" t="str">
        <x:v>Warehouse</x:v>
      </x:c>
      <x:c r="C678" s="14" t="str">
        <x:v>Missing evidence</x:v>
      </x:c>
      <x:c r="D678" s="14" t="str">
        <x:v>Medium</x:v>
      </x:c>
      <x:c r="E678" s="15" t="n">
        <x:v>46267.541666666664</x:v>
      </x:c>
      <x:c r="F678" s="15" t="n">
        <x:v>46274.541666666664</x:v>
      </x:c>
      <x:c r="G678" s="15"/>
      <x:c r="H678" s="14" t="n">
        <x:v>2</x:v>
      </x:c>
      <x:c r="I678" s="1" t="n">
        <x:f>IF(AND(E678&lt;Reporting!$B$4,OR(G678="",G678&gt;=Reporting!$B$4)),1,0)</x:f>
        <x:v>1</x:v>
      </x:c>
      <x:c r="J678" s="1" t="n">
        <x:f>IF(AND(I678=1,F678&lt;Reporting!$B$4),1,0)</x:f>
        <x:v>1</x:v>
      </x:c>
      <x:c r="K678" s="1" t="n">
        <x:f>IF(F678&lt;Reporting!$B$4,1,0)</x:f>
        <x:v>1</x:v>
      </x:c>
      <x:c r="L678" s="1" t="n">
        <x:f>IF(AND(K678=1,G678&lt;&gt;"",G678&lt;=F678),1,0)</x:f>
        <x:v>0</x:v>
      </x:c>
      <x:c r="M678" s="1" t="n">
        <x:f>IF(AND(G678&lt;&gt;"",G678&lt;Reporting!$B$4),1,0)</x:f>
        <x:v>0</x:v>
      </x:c>
      <x:c r="N678" s="16" t="str">
        <x:f>IF(M678=1,G678-E678,"")</x:f>
      </x:c>
      <x:c r="O678" s="1" t="str">
        <x:f>IF(E678&gt;=Reporting!$B$4,"Outside cutoff",IF(M678=1,"Closed",IF(J678=1,"Overdue","Open - within SLA")))</x:f>
        <x:v>Overdue</x:v>
      </x:c>
    </x:row>
    <x:row r="679">
      <x:c r="A679" s="14" t="str">
        <x:v>CASE-00674</x:v>
      </x:c>
      <x:c r="B679" s="14" t="str">
        <x:v>Warehouse</x:v>
      </x:c>
      <x:c r="C679" s="14" t="str">
        <x:v>Process deviation</x:v>
      </x:c>
      <x:c r="D679" s="14" t="str">
        <x:v>Medium</x:v>
      </x:c>
      <x:c r="E679" s="15" t="n">
        <x:v>46237.333333333336</x:v>
      </x:c>
      <x:c r="F679" s="15" t="n">
        <x:v>46244.333333333336</x:v>
      </x:c>
      <x:c r="G679" s="15" t="n">
        <x:v>46255.333333333336</x:v>
      </x:c>
      <x:c r="H679" s="14" t="n">
        <x:v>2</x:v>
      </x:c>
      <x:c r="I679" s="1" t="n">
        <x:f>IF(AND(E679&lt;Reporting!$B$4,OR(G679="",G679&gt;=Reporting!$B$4)),1,0)</x:f>
        <x:v>0</x:v>
      </x:c>
      <x:c r="J679" s="1" t="n">
        <x:f>IF(AND(I679=1,F679&lt;Reporting!$B$4),1,0)</x:f>
        <x:v>0</x:v>
      </x:c>
      <x:c r="K679" s="1" t="n">
        <x:f>IF(F679&lt;Reporting!$B$4,1,0)</x:f>
        <x:v>1</x:v>
      </x:c>
      <x:c r="L679" s="1" t="n">
        <x:f>IF(AND(K679=1,G679&lt;&gt;"",G679&lt;=F679),1,0)</x:f>
        <x:v>0</x:v>
      </x:c>
      <x:c r="M679" s="1" t="n">
        <x:f>IF(AND(G679&lt;&gt;"",G679&lt;Reporting!$B$4),1,0)</x:f>
        <x:v>1</x:v>
      </x:c>
      <x:c r="N679" s="16" t="n">
        <x:f>IF(M679=1,G679-E679,"")</x:f>
        <x:v>18</x:v>
      </x:c>
      <x:c r="O679" s="1" t="str">
        <x:f>IF(E679&gt;=Reporting!$B$4,"Outside cutoff",IF(M679=1,"Closed",IF(J679=1,"Overdue","Open - within SLA")))</x:f>
        <x:v>Closed</x:v>
      </x:c>
    </x:row>
    <x:row r="680">
      <x:c r="A680" s="14" t="str">
        <x:v>CASE-00675</x:v>
      </x:c>
      <x:c r="B680" s="14" t="str">
        <x:v>Customer Services</x:v>
      </x:c>
      <x:c r="C680" s="14" t="str">
        <x:v>Record mismatch</x:v>
      </x:c>
      <x:c r="D680" s="14" t="str">
        <x:v>Low</x:v>
      </x:c>
      <x:c r="E680" s="15" t="n">
        <x:v>46279.583333333336</x:v>
      </x:c>
      <x:c r="F680" s="15" t="n">
        <x:v>46293.583333333336</x:v>
      </x:c>
      <x:c r="G680" s="15"/>
      <x:c r="H680" s="14" t="n">
        <x:v>1</x:v>
      </x:c>
      <x:c r="I680" s="1" t="n">
        <x:f>IF(AND(E680&lt;Reporting!$B$4,OR(G680="",G680&gt;=Reporting!$B$4)),1,0)</x:f>
        <x:v>1</x:v>
      </x:c>
      <x:c r="J680" s="1" t="n">
        <x:f>IF(AND(I680=1,F680&lt;Reporting!$B$4),1,0)</x:f>
        <x:v>0</x:v>
      </x:c>
      <x:c r="K680" s="1" t="n">
        <x:f>IF(F680&lt;Reporting!$B$4,1,0)</x:f>
        <x:v>0</x:v>
      </x:c>
      <x:c r="L680" s="1" t="n">
        <x:f>IF(AND(K680=1,G680&lt;&gt;"",G680&lt;=F680),1,0)</x:f>
        <x:v>0</x:v>
      </x:c>
      <x:c r="M680" s="1" t="n">
        <x:f>IF(AND(G680&lt;&gt;"",G680&lt;Reporting!$B$4),1,0)</x:f>
        <x:v>0</x:v>
      </x:c>
      <x:c r="N680" s="16" t="str">
        <x:f>IF(M680=1,G680-E680,"")</x:f>
      </x:c>
      <x:c r="O680" s="1" t="str">
        <x:f>IF(E680&gt;=Reporting!$B$4,"Outside cutoff",IF(M680=1,"Closed",IF(J680=1,"Overdue","Open - within SLA")))</x:f>
        <x:v>Open - within SLA</x:v>
      </x:c>
    </x:row>
    <x:row r="681">
      <x:c r="A681" s="14" t="str">
        <x:v>CASE-00676</x:v>
      </x:c>
      <x:c r="B681" s="14" t="str">
        <x:v>Warehouse</x:v>
      </x:c>
      <x:c r="C681" s="14" t="str">
        <x:v>Process deviation</x:v>
      </x:c>
      <x:c r="D681" s="14" t="str">
        <x:v>Medium</x:v>
      </x:c>
      <x:c r="E681" s="15" t="n">
        <x:v>46230.583333333336</x:v>
      </x:c>
      <x:c r="F681" s="15" t="n">
        <x:v>46237.583333333336</x:v>
      </x:c>
      <x:c r="G681" s="15" t="n">
        <x:v>46245.666666666664</x:v>
      </x:c>
      <x:c r="H681" s="14" t="n">
        <x:v>2</x:v>
      </x:c>
      <x:c r="I681" s="1" t="n">
        <x:f>IF(AND(E681&lt;Reporting!$B$4,OR(G681="",G681&gt;=Reporting!$B$4)),1,0)</x:f>
        <x:v>0</x:v>
      </x:c>
      <x:c r="J681" s="1" t="n">
        <x:f>IF(AND(I681=1,F681&lt;Reporting!$B$4),1,0)</x:f>
        <x:v>0</x:v>
      </x:c>
      <x:c r="K681" s="1" t="n">
        <x:f>IF(F681&lt;Reporting!$B$4,1,0)</x:f>
        <x:v>1</x:v>
      </x:c>
      <x:c r="L681" s="1" t="n">
        <x:f>IF(AND(K681=1,G681&lt;&gt;"",G681&lt;=F681),1,0)</x:f>
        <x:v>0</x:v>
      </x:c>
      <x:c r="M681" s="1" t="n">
        <x:f>IF(AND(G681&lt;&gt;"",G681&lt;Reporting!$B$4),1,0)</x:f>
        <x:v>1</x:v>
      </x:c>
      <x:c r="N681" s="16" t="n">
        <x:f>IF(M681=1,G681-E681,"")</x:f>
        <x:v>15.083333333328483</x:v>
      </x:c>
      <x:c r="O681" s="1" t="str">
        <x:f>IF(E681&gt;=Reporting!$B$4,"Outside cutoff",IF(M681=1,"Closed",IF(J681=1,"Overdue","Open - within SLA")))</x:f>
        <x:v>Closed</x:v>
      </x:c>
    </x:row>
    <x:row r="682">
      <x:c r="A682" s="14" t="str">
        <x:v>CASE-00677</x:v>
      </x:c>
      <x:c r="B682" s="14" t="str">
        <x:v>Customer Services</x:v>
      </x:c>
      <x:c r="C682" s="14" t="str">
        <x:v>Late review</x:v>
      </x:c>
      <x:c r="D682" s="14" t="str">
        <x:v>Low</x:v>
      </x:c>
      <x:c r="E682" s="15" t="n">
        <x:v>46235.583333333336</x:v>
      </x:c>
      <x:c r="F682" s="15" t="n">
        <x:v>46249.583333333336</x:v>
      </x:c>
      <x:c r="G682" s="15" t="n">
        <x:v>46240.666666666664</x:v>
      </x:c>
      <x:c r="H682" s="14" t="n">
        <x:v>1</x:v>
      </x:c>
      <x:c r="I682" s="1" t="n">
        <x:f>IF(AND(E682&lt;Reporting!$B$4,OR(G682="",G682&gt;=Reporting!$B$4)),1,0)</x:f>
        <x:v>0</x:v>
      </x:c>
      <x:c r="J682" s="1" t="n">
        <x:f>IF(AND(I682=1,F682&lt;Reporting!$B$4),1,0)</x:f>
        <x:v>0</x:v>
      </x:c>
      <x:c r="K682" s="1" t="n">
        <x:f>IF(F682&lt;Reporting!$B$4,1,0)</x:f>
        <x:v>1</x:v>
      </x:c>
      <x:c r="L682" s="1" t="n">
        <x:f>IF(AND(K682=1,G682&lt;&gt;"",G682&lt;=F682),1,0)</x:f>
        <x:v>1</x:v>
      </x:c>
      <x:c r="M682" s="1" t="n">
        <x:f>IF(AND(G682&lt;&gt;"",G682&lt;Reporting!$B$4),1,0)</x:f>
        <x:v>1</x:v>
      </x:c>
      <x:c r="N682" s="16" t="n">
        <x:f>IF(M682=1,G682-E682,"")</x:f>
        <x:v>5.083333333328483</x:v>
      </x:c>
      <x:c r="O682" s="1" t="str">
        <x:f>IF(E682&gt;=Reporting!$B$4,"Outside cutoff",IF(M682=1,"Closed",IF(J682=1,"Overdue","Open - within SLA")))</x:f>
        <x:v>Closed</x:v>
      </x:c>
    </x:row>
    <x:row r="683">
      <x:c r="A683" s="14" t="str">
        <x:v>CASE-00678</x:v>
      </x:c>
      <x:c r="B683" s="14" t="str">
        <x:v>Warehouse</x:v>
      </x:c>
      <x:c r="C683" s="14" t="str">
        <x:v>Record mismatch</x:v>
      </x:c>
      <x:c r="D683" s="14" t="str">
        <x:v>Low</x:v>
      </x:c>
      <x:c r="E683" s="15" t="n">
        <x:v>46268.458333333336</x:v>
      </x:c>
      <x:c r="F683" s="15" t="n">
        <x:v>46282.458333333336</x:v>
      </x:c>
      <x:c r="G683" s="15" t="n">
        <x:v>46285.5</x:v>
      </x:c>
      <x:c r="H683" s="14" t="n">
        <x:v>2</x:v>
      </x:c>
      <x:c r="I683" s="1" t="n">
        <x:f>IF(AND(E683&lt;Reporting!$B$4,OR(G683="",G683&gt;=Reporting!$B$4)),1,0)</x:f>
        <x:v>0</x:v>
      </x:c>
      <x:c r="J683" s="1" t="n">
        <x:f>IF(AND(I683=1,F683&lt;Reporting!$B$4),1,0)</x:f>
        <x:v>0</x:v>
      </x:c>
      <x:c r="K683" s="1" t="n">
        <x:f>IF(F683&lt;Reporting!$B$4,1,0)</x:f>
        <x:v>1</x:v>
      </x:c>
      <x:c r="L683" s="1" t="n">
        <x:f>IF(AND(K683=1,G683&lt;&gt;"",G683&lt;=F683),1,0)</x:f>
        <x:v>0</x:v>
      </x:c>
      <x:c r="M683" s="1" t="n">
        <x:f>IF(AND(G683&lt;&gt;"",G683&lt;Reporting!$B$4),1,0)</x:f>
        <x:v>1</x:v>
      </x:c>
      <x:c r="N683" s="16" t="n">
        <x:f>IF(M683=1,G683-E683,"")</x:f>
        <x:v>17.04166666666424</x:v>
      </x:c>
      <x:c r="O683" s="1" t="str">
        <x:f>IF(E683&gt;=Reporting!$B$4,"Outside cutoff",IF(M683=1,"Closed",IF(J683=1,"Overdue","Open - within SLA")))</x:f>
        <x:v>Closed</x:v>
      </x:c>
    </x:row>
    <x:row r="684">
      <x:c r="A684" s="14" t="str">
        <x:v>CASE-00679</x:v>
      </x:c>
      <x:c r="B684" s="14" t="str">
        <x:v>Warehouse</x:v>
      </x:c>
      <x:c r="C684" s="14" t="str">
        <x:v>Late review</x:v>
      </x:c>
      <x:c r="D684" s="14" t="str">
        <x:v>Medium</x:v>
      </x:c>
      <x:c r="E684" s="15" t="n">
        <x:v>46283.458333333336</x:v>
      </x:c>
      <x:c r="F684" s="15" t="n">
        <x:v>46290.458333333336</x:v>
      </x:c>
      <x:c r="G684" s="15"/>
      <x:c r="H684" s="14" t="n">
        <x:v>2</x:v>
      </x:c>
      <x:c r="I684" s="1" t="n">
        <x:f>IF(AND(E684&lt;Reporting!$B$4,OR(G684="",G684&gt;=Reporting!$B$4)),1,0)</x:f>
        <x:v>1</x:v>
      </x:c>
      <x:c r="J684" s="1" t="n">
        <x:f>IF(AND(I684=1,F684&lt;Reporting!$B$4),1,0)</x:f>
        <x:v>0</x:v>
      </x:c>
      <x:c r="K684" s="1" t="n">
        <x:f>IF(F684&lt;Reporting!$B$4,1,0)</x:f>
        <x:v>0</x:v>
      </x:c>
      <x:c r="L684" s="1" t="n">
        <x:f>IF(AND(K684=1,G684&lt;&gt;"",G684&lt;=F684),1,0)</x:f>
        <x:v>0</x:v>
      </x:c>
      <x:c r="M684" s="1" t="n">
        <x:f>IF(AND(G684&lt;&gt;"",G684&lt;Reporting!$B$4),1,0)</x:f>
        <x:v>0</x:v>
      </x:c>
      <x:c r="N684" s="16" t="str">
        <x:f>IF(M684=1,G684-E684,"")</x:f>
      </x:c>
      <x:c r="O684" s="1" t="str">
        <x:f>IF(E684&gt;=Reporting!$B$4,"Outside cutoff",IF(M684=1,"Closed",IF(J684=1,"Overdue","Open - within SLA")))</x:f>
        <x:v>Open - within SLA</x:v>
      </x:c>
    </x:row>
    <x:row r="685">
      <x:c r="A685" s="14" t="str">
        <x:v>CASE-00680</x:v>
      </x:c>
      <x:c r="B685" s="14" t="str">
        <x:v>Installation</x:v>
      </x:c>
      <x:c r="C685" s="14" t="str">
        <x:v>Late review</x:v>
      </x:c>
      <x:c r="D685" s="14" t="str">
        <x:v>Low</x:v>
      </x:c>
      <x:c r="E685" s="15" t="n">
        <x:v>46203.375</x:v>
      </x:c>
      <x:c r="F685" s="15" t="n">
        <x:v>46217.375</x:v>
      </x:c>
      <x:c r="G685" s="15" t="n">
        <x:v>46207.458333333336</x:v>
      </x:c>
      <x:c r="H685" s="14" t="n">
        <x:v>3</x:v>
      </x:c>
      <x:c r="I685" s="1" t="n">
        <x:f>IF(AND(E685&lt;Reporting!$B$4,OR(G685="",G685&gt;=Reporting!$B$4)),1,0)</x:f>
        <x:v>0</x:v>
      </x:c>
      <x:c r="J685" s="1" t="n">
        <x:f>IF(AND(I685=1,F685&lt;Reporting!$B$4),1,0)</x:f>
        <x:v>0</x:v>
      </x:c>
      <x:c r="K685" s="1" t="n">
        <x:f>IF(F685&lt;Reporting!$B$4,1,0)</x:f>
        <x:v>1</x:v>
      </x:c>
      <x:c r="L685" s="1" t="n">
        <x:f>IF(AND(K685=1,G685&lt;&gt;"",G685&lt;=F685),1,0)</x:f>
        <x:v>1</x:v>
      </x:c>
      <x:c r="M685" s="1" t="n">
        <x:f>IF(AND(G685&lt;&gt;"",G685&lt;Reporting!$B$4),1,0)</x:f>
        <x:v>1</x:v>
      </x:c>
      <x:c r="N685" s="16" t="n">
        <x:f>IF(M685=1,G685-E685,"")</x:f>
        <x:v>4.083333333335759</x:v>
      </x:c>
      <x:c r="O685" s="1" t="str">
        <x:f>IF(E685&gt;=Reporting!$B$4,"Outside cutoff",IF(M685=1,"Closed",IF(J685=1,"Overdue","Open - within SLA")))</x:f>
        <x:v>Closed</x:v>
      </x:c>
    </x:row>
    <x:row r="686">
      <x:c r="A686" s="14" t="str">
        <x:v>CASE-00681</x:v>
      </x:c>
      <x:c r="B686" s="14" t="str">
        <x:v>Customer Services</x:v>
      </x:c>
      <x:c r="C686" s="14" t="str">
        <x:v>Late review</x:v>
      </x:c>
      <x:c r="D686" s="14" t="str">
        <x:v>High</x:v>
      </x:c>
      <x:c r="E686" s="15" t="n">
        <x:v>46259.625</x:v>
      </x:c>
      <x:c r="F686" s="15" t="n">
        <x:v>46262.625</x:v>
      </x:c>
      <x:c r="G686" s="15" t="n">
        <x:v>46276.666666666664</x:v>
      </x:c>
      <x:c r="H686" s="14" t="n">
        <x:v>1</x:v>
      </x:c>
      <x:c r="I686" s="1" t="n">
        <x:f>IF(AND(E686&lt;Reporting!$B$4,OR(G686="",G686&gt;=Reporting!$B$4)),1,0)</x:f>
        <x:v>0</x:v>
      </x:c>
      <x:c r="J686" s="1" t="n">
        <x:f>IF(AND(I686=1,F686&lt;Reporting!$B$4),1,0)</x:f>
        <x:v>0</x:v>
      </x:c>
      <x:c r="K686" s="1" t="n">
        <x:f>IF(F686&lt;Reporting!$B$4,1,0)</x:f>
        <x:v>1</x:v>
      </x:c>
      <x:c r="L686" s="1" t="n">
        <x:f>IF(AND(K686=1,G686&lt;&gt;"",G686&lt;=F686),1,0)</x:f>
        <x:v>0</x:v>
      </x:c>
      <x:c r="M686" s="1" t="n">
        <x:f>IF(AND(G686&lt;&gt;"",G686&lt;Reporting!$B$4),1,0)</x:f>
        <x:v>1</x:v>
      </x:c>
      <x:c r="N686" s="16" t="n">
        <x:f>IF(M686=1,G686-E686,"")</x:f>
        <x:v>17.04166666666424</x:v>
      </x:c>
      <x:c r="O686" s="1" t="str">
        <x:f>IF(E686&gt;=Reporting!$B$4,"Outside cutoff",IF(M686=1,"Closed",IF(J686=1,"Overdue","Open - within SLA")))</x:f>
        <x:v>Closed</x:v>
      </x:c>
    </x:row>
    <x:row r="687">
      <x:c r="A687" s="14" t="str">
        <x:v>CASE-00682</x:v>
      </x:c>
      <x:c r="B687" s="14" t="str">
        <x:v>Customer Services</x:v>
      </x:c>
      <x:c r="C687" s="14" t="str">
        <x:v>Process deviation</x:v>
      </x:c>
      <x:c r="D687" s="14" t="str">
        <x:v>Low</x:v>
      </x:c>
      <x:c r="E687" s="15" t="n">
        <x:v>46208.541666666664</x:v>
      </x:c>
      <x:c r="F687" s="15" t="n">
        <x:v>46222.541666666664</x:v>
      </x:c>
      <x:c r="G687" s="15" t="n">
        <x:v>46224.625</x:v>
      </x:c>
      <x:c r="H687" s="14" t="n">
        <x:v>1</x:v>
      </x:c>
      <x:c r="I687" s="1" t="n">
        <x:f>IF(AND(E687&lt;Reporting!$B$4,OR(G687="",G687&gt;=Reporting!$B$4)),1,0)</x:f>
        <x:v>0</x:v>
      </x:c>
      <x:c r="J687" s="1" t="n">
        <x:f>IF(AND(I687=1,F687&lt;Reporting!$B$4),1,0)</x:f>
        <x:v>0</x:v>
      </x:c>
      <x:c r="K687" s="1" t="n">
        <x:f>IF(F687&lt;Reporting!$B$4,1,0)</x:f>
        <x:v>1</x:v>
      </x:c>
      <x:c r="L687" s="1" t="n">
        <x:f>IF(AND(K687=1,G687&lt;&gt;"",G687&lt;=F687),1,0)</x:f>
        <x:v>0</x:v>
      </x:c>
      <x:c r="M687" s="1" t="n">
        <x:f>IF(AND(G687&lt;&gt;"",G687&lt;Reporting!$B$4),1,0)</x:f>
        <x:v>1</x:v>
      </x:c>
      <x:c r="N687" s="16" t="n">
        <x:f>IF(M687=1,G687-E687,"")</x:f>
        <x:v>16.08333333333576</x:v>
      </x:c>
      <x:c r="O687" s="1" t="str">
        <x:f>IF(E687&gt;=Reporting!$B$4,"Outside cutoff",IF(M687=1,"Closed",IF(J687=1,"Overdue","Open - within SLA")))</x:f>
        <x:v>Closed</x:v>
      </x:c>
    </x:row>
    <x:row r="688">
      <x:c r="A688" s="14" t="str">
        <x:v>CASE-00683</x:v>
      </x:c>
      <x:c r="B688" s="14" t="str">
        <x:v>Installation</x:v>
      </x:c>
      <x:c r="C688" s="14" t="str">
        <x:v>Late review</x:v>
      </x:c>
      <x:c r="D688" s="14" t="str">
        <x:v>Medium</x:v>
      </x:c>
      <x:c r="E688" s="15" t="n">
        <x:v>46275.375</x:v>
      </x:c>
      <x:c r="F688" s="15" t="n">
        <x:v>46282.375</x:v>
      </x:c>
      <x:c r="G688" s="15"/>
      <x:c r="H688" s="14" t="n">
        <x:v>3</x:v>
      </x:c>
      <x:c r="I688" s="1" t="n">
        <x:f>IF(AND(E688&lt;Reporting!$B$4,OR(G688="",G688&gt;=Reporting!$B$4)),1,0)</x:f>
        <x:v>1</x:v>
      </x:c>
      <x:c r="J688" s="1" t="n">
        <x:f>IF(AND(I688=1,F688&lt;Reporting!$B$4),1,0)</x:f>
        <x:v>1</x:v>
      </x:c>
      <x:c r="K688" s="1" t="n">
        <x:f>IF(F688&lt;Reporting!$B$4,1,0)</x:f>
        <x:v>1</x:v>
      </x:c>
      <x:c r="L688" s="1" t="n">
        <x:f>IF(AND(K688=1,G688&lt;&gt;"",G688&lt;=F688),1,0)</x:f>
        <x:v>0</x:v>
      </x:c>
      <x:c r="M688" s="1" t="n">
        <x:f>IF(AND(G688&lt;&gt;"",G688&lt;Reporting!$B$4),1,0)</x:f>
        <x:v>0</x:v>
      </x:c>
      <x:c r="N688" s="16" t="str">
        <x:f>IF(M688=1,G688-E688,"")</x:f>
      </x:c>
      <x:c r="O688" s="1" t="str">
        <x:f>IF(E688&gt;=Reporting!$B$4,"Outside cutoff",IF(M688=1,"Closed",IF(J688=1,"Overdue","Open - within SLA")))</x:f>
        <x:v>Overdue</x:v>
      </x:c>
    </x:row>
    <x:row r="689">
      <x:c r="A689" s="14" t="str">
        <x:v>CASE-00684</x:v>
      </x:c>
      <x:c r="B689" s="14" t="str">
        <x:v>Installation</x:v>
      </x:c>
      <x:c r="C689" s="14" t="str">
        <x:v>Record mismatch</x:v>
      </x:c>
      <x:c r="D689" s="14" t="str">
        <x:v>Low</x:v>
      </x:c>
      <x:c r="E689" s="15" t="n">
        <x:v>46210.625</x:v>
      </x:c>
      <x:c r="F689" s="15" t="n">
        <x:v>46224.625</x:v>
      </x:c>
      <x:c r="G689" s="15" t="n">
        <x:v>46221.625</x:v>
      </x:c>
      <x:c r="H689" s="14" t="n">
        <x:v>3</x:v>
      </x:c>
      <x:c r="I689" s="1" t="n">
        <x:f>IF(AND(E689&lt;Reporting!$B$4,OR(G689="",G689&gt;=Reporting!$B$4)),1,0)</x:f>
        <x:v>0</x:v>
      </x:c>
      <x:c r="J689" s="1" t="n">
        <x:f>IF(AND(I689=1,F689&lt;Reporting!$B$4),1,0)</x:f>
        <x:v>0</x:v>
      </x:c>
      <x:c r="K689" s="1" t="n">
        <x:f>IF(F689&lt;Reporting!$B$4,1,0)</x:f>
        <x:v>1</x:v>
      </x:c>
      <x:c r="L689" s="1" t="n">
        <x:f>IF(AND(K689=1,G689&lt;&gt;"",G689&lt;=F689),1,0)</x:f>
        <x:v>1</x:v>
      </x:c>
      <x:c r="M689" s="1" t="n">
        <x:f>IF(AND(G689&lt;&gt;"",G689&lt;Reporting!$B$4),1,0)</x:f>
        <x:v>1</x:v>
      </x:c>
      <x:c r="N689" s="16" t="n">
        <x:f>IF(M689=1,G689-E689,"")</x:f>
        <x:v>11</x:v>
      </x:c>
      <x:c r="O689" s="1" t="str">
        <x:f>IF(E689&gt;=Reporting!$B$4,"Outside cutoff",IF(M689=1,"Closed",IF(J689=1,"Overdue","Open - within SLA")))</x:f>
        <x:v>Closed</x:v>
      </x:c>
    </x:row>
    <x:row r="690">
      <x:c r="A690" s="14" t="str">
        <x:v>CASE-00685</x:v>
      </x:c>
      <x:c r="B690" s="14" t="str">
        <x:v>Customer Services</x:v>
      </x:c>
      <x:c r="C690" s="14" t="str">
        <x:v>Late review</x:v>
      </x:c>
      <x:c r="D690" s="14" t="str">
        <x:v>Medium</x:v>
      </x:c>
      <x:c r="E690" s="15" t="n">
        <x:v>46259.583333333336</x:v>
      </x:c>
      <x:c r="F690" s="15" t="n">
        <x:v>46266.583333333336</x:v>
      </x:c>
      <x:c r="G690" s="15" t="n">
        <x:v>46274.625</x:v>
      </x:c>
      <x:c r="H690" s="14" t="n">
        <x:v>1</x:v>
      </x:c>
      <x:c r="I690" s="1" t="n">
        <x:f>IF(AND(E690&lt;Reporting!$B$4,OR(G690="",G690&gt;=Reporting!$B$4)),1,0)</x:f>
        <x:v>0</x:v>
      </x:c>
      <x:c r="J690" s="1" t="n">
        <x:f>IF(AND(I690=1,F690&lt;Reporting!$B$4),1,0)</x:f>
        <x:v>0</x:v>
      </x:c>
      <x:c r="K690" s="1" t="n">
        <x:f>IF(F690&lt;Reporting!$B$4,1,0)</x:f>
        <x:v>1</x:v>
      </x:c>
      <x:c r="L690" s="1" t="n">
        <x:f>IF(AND(K690=1,G690&lt;&gt;"",G690&lt;=F690),1,0)</x:f>
        <x:v>0</x:v>
      </x:c>
      <x:c r="M690" s="1" t="n">
        <x:f>IF(AND(G690&lt;&gt;"",G690&lt;Reporting!$B$4),1,0)</x:f>
        <x:v>1</x:v>
      </x:c>
      <x:c r="N690" s="16" t="n">
        <x:f>IF(M690=1,G690-E690,"")</x:f>
        <x:v>15.041666666664241</x:v>
      </x:c>
      <x:c r="O690" s="1" t="str">
        <x:f>IF(E690&gt;=Reporting!$B$4,"Outside cutoff",IF(M690=1,"Closed",IF(J690=1,"Overdue","Open - within SLA")))</x:f>
        <x:v>Closed</x:v>
      </x:c>
    </x:row>
    <x:row r="691">
      <x:c r="A691" s="14" t="str">
        <x:v>CASE-00686</x:v>
      </x:c>
      <x:c r="B691" s="14" t="str">
        <x:v>Customer Services</x:v>
      </x:c>
      <x:c r="C691" s="14" t="str">
        <x:v>Process deviation</x:v>
      </x:c>
      <x:c r="D691" s="14" t="str">
        <x:v>Low</x:v>
      </x:c>
      <x:c r="E691" s="15" t="n">
        <x:v>46249.5</x:v>
      </x:c>
      <x:c r="F691" s="15" t="n">
        <x:v>46263.5</x:v>
      </x:c>
      <x:c r="G691" s="15" t="n">
        <x:v>46265.583333333336</x:v>
      </x:c>
      <x:c r="H691" s="14" t="n">
        <x:v>1</x:v>
      </x:c>
      <x:c r="I691" s="1" t="n">
        <x:f>IF(AND(E691&lt;Reporting!$B$4,OR(G691="",G691&gt;=Reporting!$B$4)),1,0)</x:f>
        <x:v>0</x:v>
      </x:c>
      <x:c r="J691" s="1" t="n">
        <x:f>IF(AND(I691=1,F691&lt;Reporting!$B$4),1,0)</x:f>
        <x:v>0</x:v>
      </x:c>
      <x:c r="K691" s="1" t="n">
        <x:f>IF(F691&lt;Reporting!$B$4,1,0)</x:f>
        <x:v>1</x:v>
      </x:c>
      <x:c r="L691" s="1" t="n">
        <x:f>IF(AND(K691=1,G691&lt;&gt;"",G691&lt;=F691),1,0)</x:f>
        <x:v>0</x:v>
      </x:c>
      <x:c r="M691" s="1" t="n">
        <x:f>IF(AND(G691&lt;&gt;"",G691&lt;Reporting!$B$4),1,0)</x:f>
        <x:v>1</x:v>
      </x:c>
      <x:c r="N691" s="16" t="n">
        <x:f>IF(M691=1,G691-E691,"")</x:f>
        <x:v>16.08333333333576</x:v>
      </x:c>
      <x:c r="O691" s="1" t="str">
        <x:f>IF(E691&gt;=Reporting!$B$4,"Outside cutoff",IF(M691=1,"Closed",IF(J691=1,"Overdue","Open - within SLA")))</x:f>
        <x:v>Closed</x:v>
      </x:c>
    </x:row>
    <x:row r="692">
      <x:c r="A692" s="14" t="str">
        <x:v>CASE-00687</x:v>
      </x:c>
      <x:c r="B692" s="14" t="str">
        <x:v>Installation</x:v>
      </x:c>
      <x:c r="C692" s="14" t="str">
        <x:v>Process deviation</x:v>
      </x:c>
      <x:c r="D692" s="14" t="str">
        <x:v>High</x:v>
      </x:c>
      <x:c r="E692" s="15" t="n">
        <x:v>46272.541666666664</x:v>
      </x:c>
      <x:c r="F692" s="15" t="n">
        <x:v>46275.541666666664</x:v>
      </x:c>
      <x:c r="G692" s="15" t="n">
        <x:v>46282.625</x:v>
      </x:c>
      <x:c r="H692" s="14" t="n">
        <x:v>3</x:v>
      </x:c>
      <x:c r="I692" s="1" t="n">
        <x:f>IF(AND(E692&lt;Reporting!$B$4,OR(G692="",G692&gt;=Reporting!$B$4)),1,0)</x:f>
        <x:v>0</x:v>
      </x:c>
      <x:c r="J692" s="1" t="n">
        <x:f>IF(AND(I692=1,F692&lt;Reporting!$B$4),1,0)</x:f>
        <x:v>0</x:v>
      </x:c>
      <x:c r="K692" s="1" t="n">
        <x:f>IF(F692&lt;Reporting!$B$4,1,0)</x:f>
        <x:v>1</x:v>
      </x:c>
      <x:c r="L692" s="1" t="n">
        <x:f>IF(AND(K692=1,G692&lt;&gt;"",G692&lt;=F692),1,0)</x:f>
        <x:v>0</x:v>
      </x:c>
      <x:c r="M692" s="1" t="n">
        <x:f>IF(AND(G692&lt;&gt;"",G692&lt;Reporting!$B$4),1,0)</x:f>
        <x:v>1</x:v>
      </x:c>
      <x:c r="N692" s="16" t="n">
        <x:f>IF(M692=1,G692-E692,"")</x:f>
        <x:v>10.083333333335759</x:v>
      </x:c>
      <x:c r="O692" s="1" t="str">
        <x:f>IF(E692&gt;=Reporting!$B$4,"Outside cutoff",IF(M692=1,"Closed",IF(J692=1,"Overdue","Open - within SLA")))</x:f>
        <x:v>Closed</x:v>
      </x:c>
    </x:row>
    <x:row r="693">
      <x:c r="A693" s="14" t="str">
        <x:v>CASE-00688</x:v>
      </x:c>
      <x:c r="B693" s="14" t="str">
        <x:v>Customer Services</x:v>
      </x:c>
      <x:c r="C693" s="14" t="str">
        <x:v>Late review</x:v>
      </x:c>
      <x:c r="D693" s="14" t="str">
        <x:v>Medium</x:v>
      </x:c>
      <x:c r="E693" s="15" t="n">
        <x:v>46235.625</x:v>
      </x:c>
      <x:c r="F693" s="15" t="n">
        <x:v>46242.625</x:v>
      </x:c>
      <x:c r="G693" s="15" t="n">
        <x:v>46247.708333333336</x:v>
      </x:c>
      <x:c r="H693" s="14" t="n">
        <x:v>1</x:v>
      </x:c>
      <x:c r="I693" s="1" t="n">
        <x:f>IF(AND(E693&lt;Reporting!$B$4,OR(G693="",G693&gt;=Reporting!$B$4)),1,0)</x:f>
        <x:v>0</x:v>
      </x:c>
      <x:c r="J693" s="1" t="n">
        <x:f>IF(AND(I693=1,F693&lt;Reporting!$B$4),1,0)</x:f>
        <x:v>0</x:v>
      </x:c>
      <x:c r="K693" s="1" t="n">
        <x:f>IF(F693&lt;Reporting!$B$4,1,0)</x:f>
        <x:v>1</x:v>
      </x:c>
      <x:c r="L693" s="1" t="n">
        <x:f>IF(AND(K693=1,G693&lt;&gt;"",G693&lt;=F693),1,0)</x:f>
        <x:v>0</x:v>
      </x:c>
      <x:c r="M693" s="1" t="n">
        <x:f>IF(AND(G693&lt;&gt;"",G693&lt;Reporting!$B$4),1,0)</x:f>
        <x:v>1</x:v>
      </x:c>
      <x:c r="N693" s="16" t="n">
        <x:f>IF(M693=1,G693-E693,"")</x:f>
        <x:v>12.083333333335759</x:v>
      </x:c>
      <x:c r="O693" s="1" t="str">
        <x:f>IF(E693&gt;=Reporting!$B$4,"Outside cutoff",IF(M693=1,"Closed",IF(J693=1,"Overdue","Open - within SLA")))</x:f>
        <x:v>Closed</x:v>
      </x:c>
    </x:row>
    <x:row r="694">
      <x:c r="A694" s="14" t="str">
        <x:v>CASE-00689</x:v>
      </x:c>
      <x:c r="B694" s="14" t="str">
        <x:v>Customer Services</x:v>
      </x:c>
      <x:c r="C694" s="14" t="str">
        <x:v>Process deviation</x:v>
      </x:c>
      <x:c r="D694" s="14" t="str">
        <x:v>Medium</x:v>
      </x:c>
      <x:c r="E694" s="15" t="n">
        <x:v>46207.375</x:v>
      </x:c>
      <x:c r="F694" s="15" t="n">
        <x:v>46214.375</x:v>
      </x:c>
      <x:c r="G694" s="15" t="n">
        <x:v>46223.416666666664</x:v>
      </x:c>
      <x:c r="H694" s="14" t="n">
        <x:v>1</x:v>
      </x:c>
      <x:c r="I694" s="1" t="n">
        <x:f>IF(AND(E694&lt;Reporting!$B$4,OR(G694="",G694&gt;=Reporting!$B$4)),1,0)</x:f>
        <x:v>0</x:v>
      </x:c>
      <x:c r="J694" s="1" t="n">
        <x:f>IF(AND(I694=1,F694&lt;Reporting!$B$4),1,0)</x:f>
        <x:v>0</x:v>
      </x:c>
      <x:c r="K694" s="1" t="n">
        <x:f>IF(F694&lt;Reporting!$B$4,1,0)</x:f>
        <x:v>1</x:v>
      </x:c>
      <x:c r="L694" s="1" t="n">
        <x:f>IF(AND(K694=1,G694&lt;&gt;"",G694&lt;=F694),1,0)</x:f>
        <x:v>0</x:v>
      </x:c>
      <x:c r="M694" s="1" t="n">
        <x:f>IF(AND(G694&lt;&gt;"",G694&lt;Reporting!$B$4),1,0)</x:f>
        <x:v>1</x:v>
      </x:c>
      <x:c r="N694" s="16" t="n">
        <x:f>IF(M694=1,G694-E694,"")</x:f>
        <x:v>16.04166666666424</x:v>
      </x:c>
      <x:c r="O694" s="1" t="str">
        <x:f>IF(E694&gt;=Reporting!$B$4,"Outside cutoff",IF(M694=1,"Closed",IF(J694=1,"Overdue","Open - within SLA")))</x:f>
        <x:v>Closed</x:v>
      </x:c>
    </x:row>
    <x:row r="695">
      <x:c r="A695" s="14" t="str">
        <x:v>CASE-00690</x:v>
      </x:c>
      <x:c r="B695" s="14" t="str">
        <x:v>Installation</x:v>
      </x:c>
      <x:c r="C695" s="14" t="str">
        <x:v>Late review</x:v>
      </x:c>
      <x:c r="D695" s="14" t="str">
        <x:v>High</x:v>
      </x:c>
      <x:c r="E695" s="15" t="n">
        <x:v>46238.5</x:v>
      </x:c>
      <x:c r="F695" s="15" t="n">
        <x:v>46241.5</x:v>
      </x:c>
      <x:c r="G695" s="15" t="n">
        <x:v>46253.583333333336</x:v>
      </x:c>
      <x:c r="H695" s="14" t="n">
        <x:v>3</x:v>
      </x:c>
      <x:c r="I695" s="1" t="n">
        <x:f>IF(AND(E695&lt;Reporting!$B$4,OR(G695="",G695&gt;=Reporting!$B$4)),1,0)</x:f>
        <x:v>0</x:v>
      </x:c>
      <x:c r="J695" s="1" t="n">
        <x:f>IF(AND(I695=1,F695&lt;Reporting!$B$4),1,0)</x:f>
        <x:v>0</x:v>
      </x:c>
      <x:c r="K695" s="1" t="n">
        <x:f>IF(F695&lt;Reporting!$B$4,1,0)</x:f>
        <x:v>1</x:v>
      </x:c>
      <x:c r="L695" s="1" t="n">
        <x:f>IF(AND(K695=1,G695&lt;&gt;"",G695&lt;=F695),1,0)</x:f>
        <x:v>0</x:v>
      </x:c>
      <x:c r="M695" s="1" t="n">
        <x:f>IF(AND(G695&lt;&gt;"",G695&lt;Reporting!$B$4),1,0)</x:f>
        <x:v>1</x:v>
      </x:c>
      <x:c r="N695" s="16" t="n">
        <x:f>IF(M695=1,G695-E695,"")</x:f>
        <x:v>15.083333333335759</x:v>
      </x:c>
      <x:c r="O695" s="1" t="str">
        <x:f>IF(E695&gt;=Reporting!$B$4,"Outside cutoff",IF(M695=1,"Closed",IF(J695=1,"Overdue","Open - within SLA")))</x:f>
        <x:v>Closed</x:v>
      </x:c>
    </x:row>
    <x:row r="696">
      <x:c r="A696" s="14" t="str">
        <x:v>CASE-00691</x:v>
      </x:c>
      <x:c r="B696" s="14" t="str">
        <x:v>Customer Services</x:v>
      </x:c>
      <x:c r="C696" s="14" t="str">
        <x:v>Record mismatch</x:v>
      </x:c>
      <x:c r="D696" s="14" t="str">
        <x:v>Medium</x:v>
      </x:c>
      <x:c r="E696" s="15" t="n">
        <x:v>46239.625</x:v>
      </x:c>
      <x:c r="F696" s="15" t="n">
        <x:v>46246.625</x:v>
      </x:c>
      <x:c r="G696" s="15" t="n">
        <x:v>46248.708333333336</x:v>
      </x:c>
      <x:c r="H696" s="14" t="n">
        <x:v>1</x:v>
      </x:c>
      <x:c r="I696" s="1" t="n">
        <x:f>IF(AND(E696&lt;Reporting!$B$4,OR(G696="",G696&gt;=Reporting!$B$4)),1,0)</x:f>
        <x:v>0</x:v>
      </x:c>
      <x:c r="J696" s="1" t="n">
        <x:f>IF(AND(I696=1,F696&lt;Reporting!$B$4),1,0)</x:f>
        <x:v>0</x:v>
      </x:c>
      <x:c r="K696" s="1" t="n">
        <x:f>IF(F696&lt;Reporting!$B$4,1,0)</x:f>
        <x:v>1</x:v>
      </x:c>
      <x:c r="L696" s="1" t="n">
        <x:f>IF(AND(K696=1,G696&lt;&gt;"",G696&lt;=F696),1,0)</x:f>
        <x:v>0</x:v>
      </x:c>
      <x:c r="M696" s="1" t="n">
        <x:f>IF(AND(G696&lt;&gt;"",G696&lt;Reporting!$B$4),1,0)</x:f>
        <x:v>1</x:v>
      </x:c>
      <x:c r="N696" s="16" t="n">
        <x:f>IF(M696=1,G696-E696,"")</x:f>
        <x:v>9.083333333335759</x:v>
      </x:c>
      <x:c r="O696" s="1" t="str">
        <x:f>IF(E696&gt;=Reporting!$B$4,"Outside cutoff",IF(M696=1,"Closed",IF(J696=1,"Overdue","Open - within SLA")))</x:f>
        <x:v>Closed</x:v>
      </x:c>
    </x:row>
    <x:row r="697">
      <x:c r="A697" s="14" t="str">
        <x:v>CASE-00692</x:v>
      </x:c>
      <x:c r="B697" s="14" t="str">
        <x:v>Customer Services</x:v>
      </x:c>
      <x:c r="C697" s="14" t="str">
        <x:v>Late review</x:v>
      </x:c>
      <x:c r="D697" s="14" t="str">
        <x:v>Medium</x:v>
      </x:c>
      <x:c r="E697" s="15" t="n">
        <x:v>46233.5</x:v>
      </x:c>
      <x:c r="F697" s="15" t="n">
        <x:v>46240.5</x:v>
      </x:c>
      <x:c r="G697" s="15" t="n">
        <x:v>46240.541666666664</x:v>
      </x:c>
      <x:c r="H697" s="14" t="n">
        <x:v>1</x:v>
      </x:c>
      <x:c r="I697" s="1" t="n">
        <x:f>IF(AND(E697&lt;Reporting!$B$4,OR(G697="",G697&gt;=Reporting!$B$4)),1,0)</x:f>
        <x:v>0</x:v>
      </x:c>
      <x:c r="J697" s="1" t="n">
        <x:f>IF(AND(I697=1,F697&lt;Reporting!$B$4),1,0)</x:f>
        <x:v>0</x:v>
      </x:c>
      <x:c r="K697" s="1" t="n">
        <x:f>IF(F697&lt;Reporting!$B$4,1,0)</x:f>
        <x:v>1</x:v>
      </x:c>
      <x:c r="L697" s="1" t="n">
        <x:f>IF(AND(K697=1,G697&lt;&gt;"",G697&lt;=F697),1,0)</x:f>
        <x:v>0</x:v>
      </x:c>
      <x:c r="M697" s="1" t="n">
        <x:f>IF(AND(G697&lt;&gt;"",G697&lt;Reporting!$B$4),1,0)</x:f>
        <x:v>1</x:v>
      </x:c>
      <x:c r="N697" s="16" t="n">
        <x:f>IF(M697=1,G697-E697,"")</x:f>
        <x:v>7.041666666664241</x:v>
      </x:c>
      <x:c r="O697" s="1" t="str">
        <x:f>IF(E697&gt;=Reporting!$B$4,"Outside cutoff",IF(M697=1,"Closed",IF(J697=1,"Overdue","Open - within SLA")))</x:f>
        <x:v>Closed</x:v>
      </x:c>
    </x:row>
    <x:row r="698">
      <x:c r="A698" s="14" t="str">
        <x:v>CASE-00693</x:v>
      </x:c>
      <x:c r="B698" s="14" t="str">
        <x:v>Installation</x:v>
      </x:c>
      <x:c r="C698" s="14" t="str">
        <x:v>Record mismatch</x:v>
      </x:c>
      <x:c r="D698" s="14" t="str">
        <x:v>High</x:v>
      </x:c>
      <x:c r="E698" s="15" t="n">
        <x:v>46280.333333333336</x:v>
      </x:c>
      <x:c r="F698" s="15" t="n">
        <x:v>46283.333333333336</x:v>
      </x:c>
      <x:c r="G698" s="15"/>
      <x:c r="H698" s="14" t="n">
        <x:v>3</x:v>
      </x:c>
      <x:c r="I698" s="1" t="n">
        <x:f>IF(AND(E698&lt;Reporting!$B$4,OR(G698="",G698&gt;=Reporting!$B$4)),1,0)</x:f>
        <x:v>1</x:v>
      </x:c>
      <x:c r="J698" s="1" t="n">
        <x:f>IF(AND(I698=1,F698&lt;Reporting!$B$4),1,0)</x:f>
        <x:v>1</x:v>
      </x:c>
      <x:c r="K698" s="1" t="n">
        <x:f>IF(F698&lt;Reporting!$B$4,1,0)</x:f>
        <x:v>1</x:v>
      </x:c>
      <x:c r="L698" s="1" t="n">
        <x:f>IF(AND(K698=1,G698&lt;&gt;"",G698&lt;=F698),1,0)</x:f>
        <x:v>0</x:v>
      </x:c>
      <x:c r="M698" s="1" t="n">
        <x:f>IF(AND(G698&lt;&gt;"",G698&lt;Reporting!$B$4),1,0)</x:f>
        <x:v>0</x:v>
      </x:c>
      <x:c r="N698" s="16" t="str">
        <x:f>IF(M698=1,G698-E698,"")</x:f>
      </x:c>
      <x:c r="O698" s="1" t="str">
        <x:f>IF(E698&gt;=Reporting!$B$4,"Outside cutoff",IF(M698=1,"Closed",IF(J698=1,"Overdue","Open - within SLA")))</x:f>
        <x:v>Overdue</x:v>
      </x:c>
    </x:row>
    <x:row r="699">
      <x:c r="A699" s="14" t="str">
        <x:v>CASE-00694</x:v>
      </x:c>
      <x:c r="B699" s="14" t="str">
        <x:v>Installation</x:v>
      </x:c>
      <x:c r="C699" s="14" t="str">
        <x:v>Process deviation</x:v>
      </x:c>
      <x:c r="D699" s="14" t="str">
        <x:v>Low</x:v>
      </x:c>
      <x:c r="E699" s="15" t="n">
        <x:v>46213.416666666664</x:v>
      </x:c>
      <x:c r="F699" s="15" t="n">
        <x:v>46227.416666666664</x:v>
      </x:c>
      <x:c r="G699" s="15" t="n">
        <x:v>46219.416666666664</x:v>
      </x:c>
      <x:c r="H699" s="14" t="n">
        <x:v>3</x:v>
      </x:c>
      <x:c r="I699" s="1" t="n">
        <x:f>IF(AND(E699&lt;Reporting!$B$4,OR(G699="",G699&gt;=Reporting!$B$4)),1,0)</x:f>
        <x:v>0</x:v>
      </x:c>
      <x:c r="J699" s="1" t="n">
        <x:f>IF(AND(I699=1,F699&lt;Reporting!$B$4),1,0)</x:f>
        <x:v>0</x:v>
      </x:c>
      <x:c r="K699" s="1" t="n">
        <x:f>IF(F699&lt;Reporting!$B$4,1,0)</x:f>
        <x:v>1</x:v>
      </x:c>
      <x:c r="L699" s="1" t="n">
        <x:f>IF(AND(K699=1,G699&lt;&gt;"",G699&lt;=F699),1,0)</x:f>
        <x:v>1</x:v>
      </x:c>
      <x:c r="M699" s="1" t="n">
        <x:f>IF(AND(G699&lt;&gt;"",G699&lt;Reporting!$B$4),1,0)</x:f>
        <x:v>1</x:v>
      </x:c>
      <x:c r="N699" s="16" t="n">
        <x:f>IF(M699=1,G699-E699,"")</x:f>
        <x:v>6</x:v>
      </x:c>
      <x:c r="O699" s="1" t="str">
        <x:f>IF(E699&gt;=Reporting!$B$4,"Outside cutoff",IF(M699=1,"Closed",IF(J699=1,"Overdue","Open - within SLA")))</x:f>
        <x:v>Closed</x:v>
      </x:c>
    </x:row>
    <x:row r="700">
      <x:c r="A700" s="14" t="str">
        <x:v>CASE-00695</x:v>
      </x:c>
      <x:c r="B700" s="14" t="str">
        <x:v>Customer Services</x:v>
      </x:c>
      <x:c r="C700" s="14" t="str">
        <x:v>Late review</x:v>
      </x:c>
      <x:c r="D700" s="14" t="str">
        <x:v>Low</x:v>
      </x:c>
      <x:c r="E700" s="15" t="n">
        <x:v>46232.583333333336</x:v>
      </x:c>
      <x:c r="F700" s="15" t="n">
        <x:v>46246.583333333336</x:v>
      </x:c>
      <x:c r="G700" s="15" t="n">
        <x:v>46247.583333333336</x:v>
      </x:c>
      <x:c r="H700" s="14" t="n">
        <x:v>1</x:v>
      </x:c>
      <x:c r="I700" s="1" t="n">
        <x:f>IF(AND(E700&lt;Reporting!$B$4,OR(G700="",G700&gt;=Reporting!$B$4)),1,0)</x:f>
        <x:v>0</x:v>
      </x:c>
      <x:c r="J700" s="1" t="n">
        <x:f>IF(AND(I700=1,F700&lt;Reporting!$B$4),1,0)</x:f>
        <x:v>0</x:v>
      </x:c>
      <x:c r="K700" s="1" t="n">
        <x:f>IF(F700&lt;Reporting!$B$4,1,0)</x:f>
        <x:v>1</x:v>
      </x:c>
      <x:c r="L700" s="1" t="n">
        <x:f>IF(AND(K700=1,G700&lt;&gt;"",G700&lt;=F700),1,0)</x:f>
        <x:v>0</x:v>
      </x:c>
      <x:c r="M700" s="1" t="n">
        <x:f>IF(AND(G700&lt;&gt;"",G700&lt;Reporting!$B$4),1,0)</x:f>
        <x:v>1</x:v>
      </x:c>
      <x:c r="N700" s="16" t="n">
        <x:f>IF(M700=1,G700-E700,"")</x:f>
        <x:v>15</x:v>
      </x:c>
      <x:c r="O700" s="1" t="str">
        <x:f>IF(E700&gt;=Reporting!$B$4,"Outside cutoff",IF(M700=1,"Closed",IF(J700=1,"Overdue","Open - within SLA")))</x:f>
        <x:v>Closed</x:v>
      </x:c>
    </x:row>
    <x:row r="701">
      <x:c r="A701" s="14" t="str">
        <x:v>CASE-00696</x:v>
      </x:c>
      <x:c r="B701" s="14" t="str">
        <x:v>Customer Services</x:v>
      </x:c>
      <x:c r="C701" s="14" t="str">
        <x:v>Process deviation</x:v>
      </x:c>
      <x:c r="D701" s="14" t="str">
        <x:v>High</x:v>
      </x:c>
      <x:c r="E701" s="15" t="n">
        <x:v>46218.625</x:v>
      </x:c>
      <x:c r="F701" s="15" t="n">
        <x:v>46221.625</x:v>
      </x:c>
      <x:c r="G701" s="15" t="n">
        <x:v>46223.708333333336</x:v>
      </x:c>
      <x:c r="H701" s="14" t="n">
        <x:v>1</x:v>
      </x:c>
      <x:c r="I701" s="1" t="n">
        <x:f>IF(AND(E701&lt;Reporting!$B$4,OR(G701="",G701&gt;=Reporting!$B$4)),1,0)</x:f>
        <x:v>0</x:v>
      </x:c>
      <x:c r="J701" s="1" t="n">
        <x:f>IF(AND(I701=1,F701&lt;Reporting!$B$4),1,0)</x:f>
        <x:v>0</x:v>
      </x:c>
      <x:c r="K701" s="1" t="n">
        <x:f>IF(F701&lt;Reporting!$B$4,1,0)</x:f>
        <x:v>1</x:v>
      </x:c>
      <x:c r="L701" s="1" t="n">
        <x:f>IF(AND(K701=1,G701&lt;&gt;"",G701&lt;=F701),1,0)</x:f>
        <x:v>0</x:v>
      </x:c>
      <x:c r="M701" s="1" t="n">
        <x:f>IF(AND(G701&lt;&gt;"",G701&lt;Reporting!$B$4),1,0)</x:f>
        <x:v>1</x:v>
      </x:c>
      <x:c r="N701" s="16" t="n">
        <x:f>IF(M701=1,G701-E701,"")</x:f>
        <x:v>5.083333333335759</x:v>
      </x:c>
      <x:c r="O701" s="1" t="str">
        <x:f>IF(E701&gt;=Reporting!$B$4,"Outside cutoff",IF(M701=1,"Closed",IF(J701=1,"Overdue","Open - within SLA")))</x:f>
        <x:v>Closed</x:v>
      </x:c>
    </x:row>
    <x:row r="702">
      <x:c r="A702" s="14" t="str">
        <x:v>CASE-00697</x:v>
      </x:c>
      <x:c r="B702" s="14" t="str">
        <x:v>Customer Services</x:v>
      </x:c>
      <x:c r="C702" s="14" t="str">
        <x:v>Missing evidence</x:v>
      </x:c>
      <x:c r="D702" s="14" t="str">
        <x:v>Low</x:v>
      </x:c>
      <x:c r="E702" s="15" t="n">
        <x:v>46211.375</x:v>
      </x:c>
      <x:c r="F702" s="15" t="n">
        <x:v>46225.375</x:v>
      </x:c>
      <x:c r="G702" s="15" t="n">
        <x:v>46215.375</x:v>
      </x:c>
      <x:c r="H702" s="14" t="n">
        <x:v>1</x:v>
      </x:c>
      <x:c r="I702" s="1" t="n">
        <x:f>IF(AND(E702&lt;Reporting!$B$4,OR(G702="",G702&gt;=Reporting!$B$4)),1,0)</x:f>
        <x:v>0</x:v>
      </x:c>
      <x:c r="J702" s="1" t="n">
        <x:f>IF(AND(I702=1,F702&lt;Reporting!$B$4),1,0)</x:f>
        <x:v>0</x:v>
      </x:c>
      <x:c r="K702" s="1" t="n">
        <x:f>IF(F702&lt;Reporting!$B$4,1,0)</x:f>
        <x:v>1</x:v>
      </x:c>
      <x:c r="L702" s="1" t="n">
        <x:f>IF(AND(K702=1,G702&lt;&gt;"",G702&lt;=F702),1,0)</x:f>
        <x:v>1</x:v>
      </x:c>
      <x:c r="M702" s="1" t="n">
        <x:f>IF(AND(G702&lt;&gt;"",G702&lt;Reporting!$B$4),1,0)</x:f>
        <x:v>1</x:v>
      </x:c>
      <x:c r="N702" s="16" t="n">
        <x:f>IF(M702=1,G702-E702,"")</x:f>
        <x:v>4</x:v>
      </x:c>
      <x:c r="O702" s="1" t="str">
        <x:f>IF(E702&gt;=Reporting!$B$4,"Outside cutoff",IF(M702=1,"Closed",IF(J702=1,"Overdue","Open - within SLA")))</x:f>
        <x:v>Closed</x:v>
      </x:c>
    </x:row>
    <x:row r="703">
      <x:c r="A703" s="14" t="str">
        <x:v>CASE-00698</x:v>
      </x:c>
      <x:c r="B703" s="14" t="str">
        <x:v>Customer Services</x:v>
      </x:c>
      <x:c r="C703" s="14" t="str">
        <x:v>Process deviation</x:v>
      </x:c>
      <x:c r="D703" s="14" t="str">
        <x:v>Medium</x:v>
      </x:c>
      <x:c r="E703" s="15" t="n">
        <x:v>46203.541666666664</x:v>
      </x:c>
      <x:c r="F703" s="15" t="n">
        <x:v>46210.541666666664</x:v>
      </x:c>
      <x:c r="G703" s="15" t="n">
        <x:v>46207.583333333336</x:v>
      </x:c>
      <x:c r="H703" s="14" t="n">
        <x:v>1</x:v>
      </x:c>
      <x:c r="I703" s="1" t="n">
        <x:f>IF(AND(E703&lt;Reporting!$B$4,OR(G703="",G703&gt;=Reporting!$B$4)),1,0)</x:f>
        <x:v>0</x:v>
      </x:c>
      <x:c r="J703" s="1" t="n">
        <x:f>IF(AND(I703=1,F703&lt;Reporting!$B$4),1,0)</x:f>
        <x:v>0</x:v>
      </x:c>
      <x:c r="K703" s="1" t="n">
        <x:f>IF(F703&lt;Reporting!$B$4,1,0)</x:f>
        <x:v>1</x:v>
      </x:c>
      <x:c r="L703" s="1" t="n">
        <x:f>IF(AND(K703=1,G703&lt;&gt;"",G703&lt;=F703),1,0)</x:f>
        <x:v>1</x:v>
      </x:c>
      <x:c r="M703" s="1" t="n">
        <x:f>IF(AND(G703&lt;&gt;"",G703&lt;Reporting!$B$4),1,0)</x:f>
        <x:v>1</x:v>
      </x:c>
      <x:c r="N703" s="16" t="n">
        <x:f>IF(M703=1,G703-E703,"")</x:f>
        <x:v>4.041666666671517</x:v>
      </x:c>
      <x:c r="O703" s="1" t="str">
        <x:f>IF(E703&gt;=Reporting!$B$4,"Outside cutoff",IF(M703=1,"Closed",IF(J703=1,"Overdue","Open - within SLA")))</x:f>
        <x:v>Closed</x:v>
      </x:c>
    </x:row>
    <x:row r="704">
      <x:c r="A704" s="14" t="str">
        <x:v>CASE-00699</x:v>
      </x:c>
      <x:c r="B704" s="14" t="str">
        <x:v>Customer Services</x:v>
      </x:c>
      <x:c r="C704" s="14" t="str">
        <x:v>Record mismatch</x:v>
      </x:c>
      <x:c r="D704" s="14" t="str">
        <x:v>Low</x:v>
      </x:c>
      <x:c r="E704" s="15" t="n">
        <x:v>46241.583333333336</x:v>
      </x:c>
      <x:c r="F704" s="15" t="n">
        <x:v>46255.583333333336</x:v>
      </x:c>
      <x:c r="G704" s="15" t="n">
        <x:v>46250.666666666664</x:v>
      </x:c>
      <x:c r="H704" s="14" t="n">
        <x:v>1</x:v>
      </x:c>
      <x:c r="I704" s="1" t="n">
        <x:f>IF(AND(E704&lt;Reporting!$B$4,OR(G704="",G704&gt;=Reporting!$B$4)),1,0)</x:f>
        <x:v>0</x:v>
      </x:c>
      <x:c r="J704" s="1" t="n">
        <x:f>IF(AND(I704=1,F704&lt;Reporting!$B$4),1,0)</x:f>
        <x:v>0</x:v>
      </x:c>
      <x:c r="K704" s="1" t="n">
        <x:f>IF(F704&lt;Reporting!$B$4,1,0)</x:f>
        <x:v>1</x:v>
      </x:c>
      <x:c r="L704" s="1" t="n">
        <x:f>IF(AND(K704=1,G704&lt;&gt;"",G704&lt;=F704),1,0)</x:f>
        <x:v>1</x:v>
      </x:c>
      <x:c r="M704" s="1" t="n">
        <x:f>IF(AND(G704&lt;&gt;"",G704&lt;Reporting!$B$4),1,0)</x:f>
        <x:v>1</x:v>
      </x:c>
      <x:c r="N704" s="16" t="n">
        <x:f>IF(M704=1,G704-E704,"")</x:f>
        <x:v>9.083333333328483</x:v>
      </x:c>
      <x:c r="O704" s="1" t="str">
        <x:f>IF(E704&gt;=Reporting!$B$4,"Outside cutoff",IF(M704=1,"Closed",IF(J704=1,"Overdue","Open - within SLA")))</x:f>
        <x:v>Closed</x:v>
      </x:c>
    </x:row>
    <x:row r="705">
      <x:c r="A705" s="14" t="str">
        <x:v>CASE-00700</x:v>
      </x:c>
      <x:c r="B705" s="14" t="str">
        <x:v>Installation</x:v>
      </x:c>
      <x:c r="C705" s="14" t="str">
        <x:v>Missing evidence</x:v>
      </x:c>
      <x:c r="D705" s="14" t="str">
        <x:v>Low</x:v>
      </x:c>
      <x:c r="E705" s="15" t="n">
        <x:v>46274.625</x:v>
      </x:c>
      <x:c r="F705" s="15" t="n">
        <x:v>46288.625</x:v>
      </x:c>
      <x:c r="G705" s="15"/>
      <x:c r="H705" s="14" t="n">
        <x:v>3</x:v>
      </x:c>
      <x:c r="I705" s="1" t="n">
        <x:f>IF(AND(E705&lt;Reporting!$B$4,OR(G705="",G705&gt;=Reporting!$B$4)),1,0)</x:f>
        <x:v>1</x:v>
      </x:c>
      <x:c r="J705" s="1" t="n">
        <x:f>IF(AND(I705=1,F705&lt;Reporting!$B$4),1,0)</x:f>
        <x:v>0</x:v>
      </x:c>
      <x:c r="K705" s="1" t="n">
        <x:f>IF(F705&lt;Reporting!$B$4,1,0)</x:f>
        <x:v>0</x:v>
      </x:c>
      <x:c r="L705" s="1" t="n">
        <x:f>IF(AND(K705=1,G705&lt;&gt;"",G705&lt;=F705),1,0)</x:f>
        <x:v>0</x:v>
      </x:c>
      <x:c r="M705" s="1" t="n">
        <x:f>IF(AND(G705&lt;&gt;"",G705&lt;Reporting!$B$4),1,0)</x:f>
        <x:v>0</x:v>
      </x:c>
      <x:c r="N705" s="16" t="str">
        <x:f>IF(M705=1,G705-E705,"")</x:f>
      </x:c>
      <x:c r="O705" s="1" t="str">
        <x:f>IF(E705&gt;=Reporting!$B$4,"Outside cutoff",IF(M705=1,"Closed",IF(J705=1,"Overdue","Open - within SLA")))</x:f>
        <x:v>Open - within SLA</x:v>
      </x:c>
    </x:row>
    <x:row r="706">
      <x:c r="A706" s="14" t="str">
        <x:v>CASE-00701</x:v>
      </x:c>
      <x:c r="B706" s="14" t="str">
        <x:v>Warehouse</x:v>
      </x:c>
      <x:c r="C706" s="14" t="str">
        <x:v>Late review</x:v>
      </x:c>
      <x:c r="D706" s="14" t="str">
        <x:v>Medium</x:v>
      </x:c>
      <x:c r="E706" s="15" t="n">
        <x:v>46220.541666666664</x:v>
      </x:c>
      <x:c r="F706" s="15" t="n">
        <x:v>46227.541666666664</x:v>
      </x:c>
      <x:c r="G706" s="15" t="n">
        <x:v>46232.541666666664</x:v>
      </x:c>
      <x:c r="H706" s="14" t="n">
        <x:v>2</x:v>
      </x:c>
      <x:c r="I706" s="1" t="n">
        <x:f>IF(AND(E706&lt;Reporting!$B$4,OR(G706="",G706&gt;=Reporting!$B$4)),1,0)</x:f>
        <x:v>0</x:v>
      </x:c>
      <x:c r="J706" s="1" t="n">
        <x:f>IF(AND(I706=1,F706&lt;Reporting!$B$4),1,0)</x:f>
        <x:v>0</x:v>
      </x:c>
      <x:c r="K706" s="1" t="n">
        <x:f>IF(F706&lt;Reporting!$B$4,1,0)</x:f>
        <x:v>1</x:v>
      </x:c>
      <x:c r="L706" s="1" t="n">
        <x:f>IF(AND(K706=1,G706&lt;&gt;"",G706&lt;=F706),1,0)</x:f>
        <x:v>0</x:v>
      </x:c>
      <x:c r="M706" s="1" t="n">
        <x:f>IF(AND(G706&lt;&gt;"",G706&lt;Reporting!$B$4),1,0)</x:f>
        <x:v>1</x:v>
      </x:c>
      <x:c r="N706" s="16" t="n">
        <x:f>IF(M706=1,G706-E706,"")</x:f>
        <x:v>12</x:v>
      </x:c>
      <x:c r="O706" s="1" t="str">
        <x:f>IF(E706&gt;=Reporting!$B$4,"Outside cutoff",IF(M706=1,"Closed",IF(J706=1,"Overdue","Open - within SLA")))</x:f>
        <x:v>Closed</x:v>
      </x:c>
    </x:row>
    <x:row r="707">
      <x:c r="A707" s="14" t="str">
        <x:v>CASE-00702</x:v>
      </x:c>
      <x:c r="B707" s="14" t="str">
        <x:v>Customer Services</x:v>
      </x:c>
      <x:c r="C707" s="14" t="str">
        <x:v>Process deviation</x:v>
      </x:c>
      <x:c r="D707" s="14" t="str">
        <x:v>Low</x:v>
      </x:c>
      <x:c r="E707" s="15" t="n">
        <x:v>46223.458333333336</x:v>
      </x:c>
      <x:c r="F707" s="15" t="n">
        <x:v>46237.458333333336</x:v>
      </x:c>
      <x:c r="G707" s="15" t="n">
        <x:v>46234.541666666664</x:v>
      </x:c>
      <x:c r="H707" s="14" t="n">
        <x:v>1</x:v>
      </x:c>
      <x:c r="I707" s="1" t="n">
        <x:f>IF(AND(E707&lt;Reporting!$B$4,OR(G707="",G707&gt;=Reporting!$B$4)),1,0)</x:f>
        <x:v>0</x:v>
      </x:c>
      <x:c r="J707" s="1" t="n">
        <x:f>IF(AND(I707=1,F707&lt;Reporting!$B$4),1,0)</x:f>
        <x:v>0</x:v>
      </x:c>
      <x:c r="K707" s="1" t="n">
        <x:f>IF(F707&lt;Reporting!$B$4,1,0)</x:f>
        <x:v>1</x:v>
      </x:c>
      <x:c r="L707" s="1" t="n">
        <x:f>IF(AND(K707=1,G707&lt;&gt;"",G707&lt;=F707),1,0)</x:f>
        <x:v>1</x:v>
      </x:c>
      <x:c r="M707" s="1" t="n">
        <x:f>IF(AND(G707&lt;&gt;"",G707&lt;Reporting!$B$4),1,0)</x:f>
        <x:v>1</x:v>
      </x:c>
      <x:c r="N707" s="16" t="n">
        <x:f>IF(M707=1,G707-E707,"")</x:f>
        <x:v>11.083333333328483</x:v>
      </x:c>
      <x:c r="O707" s="1" t="str">
        <x:f>IF(E707&gt;=Reporting!$B$4,"Outside cutoff",IF(M707=1,"Closed",IF(J707=1,"Overdue","Open - within SLA")))</x:f>
        <x:v>Closed</x:v>
      </x:c>
    </x:row>
    <x:row r="708">
      <x:c r="A708" s="14" t="str">
        <x:v>CASE-00703</x:v>
      </x:c>
      <x:c r="B708" s="14" t="str">
        <x:v>Warehouse</x:v>
      </x:c>
      <x:c r="C708" s="14" t="str">
        <x:v>Missing evidence</x:v>
      </x:c>
      <x:c r="D708" s="14" t="str">
        <x:v>Medium</x:v>
      </x:c>
      <x:c r="E708" s="15" t="n">
        <x:v>46248.458333333336</x:v>
      </x:c>
      <x:c r="F708" s="15" t="n">
        <x:v>46255.458333333336</x:v>
      </x:c>
      <x:c r="G708" s="15" t="n">
        <x:v>46263.458333333336</x:v>
      </x:c>
      <x:c r="H708" s="14" t="n">
        <x:v>2</x:v>
      </x:c>
      <x:c r="I708" s="1" t="n">
        <x:f>IF(AND(E708&lt;Reporting!$B$4,OR(G708="",G708&gt;=Reporting!$B$4)),1,0)</x:f>
        <x:v>0</x:v>
      </x:c>
      <x:c r="J708" s="1" t="n">
        <x:f>IF(AND(I708=1,F708&lt;Reporting!$B$4),1,0)</x:f>
        <x:v>0</x:v>
      </x:c>
      <x:c r="K708" s="1" t="n">
        <x:f>IF(F708&lt;Reporting!$B$4,1,0)</x:f>
        <x:v>1</x:v>
      </x:c>
      <x:c r="L708" s="1" t="n">
        <x:f>IF(AND(K708=1,G708&lt;&gt;"",G708&lt;=F708),1,0)</x:f>
        <x:v>0</x:v>
      </x:c>
      <x:c r="M708" s="1" t="n">
        <x:f>IF(AND(G708&lt;&gt;"",G708&lt;Reporting!$B$4),1,0)</x:f>
        <x:v>1</x:v>
      </x:c>
      <x:c r="N708" s="16" t="n">
        <x:f>IF(M708=1,G708-E708,"")</x:f>
        <x:v>15</x:v>
      </x:c>
      <x:c r="O708" s="1" t="str">
        <x:f>IF(E708&gt;=Reporting!$B$4,"Outside cutoff",IF(M708=1,"Closed",IF(J708=1,"Overdue","Open - within SLA")))</x:f>
        <x:v>Closed</x:v>
      </x:c>
    </x:row>
    <x:row r="709">
      <x:c r="A709" s="14" t="str">
        <x:v>CASE-00704</x:v>
      </x:c>
      <x:c r="B709" s="14" t="str">
        <x:v>Warehouse</x:v>
      </x:c>
      <x:c r="C709" s="14" t="str">
        <x:v>Missing evidence</x:v>
      </x:c>
      <x:c r="D709" s="14" t="str">
        <x:v>Medium</x:v>
      </x:c>
      <x:c r="E709" s="15" t="n">
        <x:v>46250.416666666664</x:v>
      </x:c>
      <x:c r="F709" s="15" t="n">
        <x:v>46257.416666666664</x:v>
      </x:c>
      <x:c r="G709" s="15" t="n">
        <x:v>46265.458333333336</x:v>
      </x:c>
      <x:c r="H709" s="14" t="n">
        <x:v>2</x:v>
      </x:c>
      <x:c r="I709" s="1" t="n">
        <x:f>IF(AND(E709&lt;Reporting!$B$4,OR(G709="",G709&gt;=Reporting!$B$4)),1,0)</x:f>
        <x:v>0</x:v>
      </x:c>
      <x:c r="J709" s="1" t="n">
        <x:f>IF(AND(I709=1,F709&lt;Reporting!$B$4),1,0)</x:f>
        <x:v>0</x:v>
      </x:c>
      <x:c r="K709" s="1" t="n">
        <x:f>IF(F709&lt;Reporting!$B$4,1,0)</x:f>
        <x:v>1</x:v>
      </x:c>
      <x:c r="L709" s="1" t="n">
        <x:f>IF(AND(K709=1,G709&lt;&gt;"",G709&lt;=F709),1,0)</x:f>
        <x:v>0</x:v>
      </x:c>
      <x:c r="M709" s="1" t="n">
        <x:f>IF(AND(G709&lt;&gt;"",G709&lt;Reporting!$B$4),1,0)</x:f>
        <x:v>1</x:v>
      </x:c>
      <x:c r="N709" s="16" t="n">
        <x:f>IF(M709=1,G709-E709,"")</x:f>
        <x:v>15.041666666671517</x:v>
      </x:c>
      <x:c r="O709" s="1" t="str">
        <x:f>IF(E709&gt;=Reporting!$B$4,"Outside cutoff",IF(M709=1,"Closed",IF(J709=1,"Overdue","Open - within SLA")))</x:f>
        <x:v>Closed</x:v>
      </x:c>
    </x:row>
    <x:row r="710">
      <x:c r="A710" s="14" t="str">
        <x:v>CASE-00705</x:v>
      </x:c>
      <x:c r="B710" s="14" t="str">
        <x:v>Customer Services</x:v>
      </x:c>
      <x:c r="C710" s="14" t="str">
        <x:v>Late review</x:v>
      </x:c>
      <x:c r="D710" s="14" t="str">
        <x:v>High</x:v>
      </x:c>
      <x:c r="E710" s="15" t="n">
        <x:v>46234.625</x:v>
      </x:c>
      <x:c r="F710" s="15" t="n">
        <x:v>46237.625</x:v>
      </x:c>
      <x:c r="G710" s="15" t="n">
        <x:v>46239.625</x:v>
      </x:c>
      <x:c r="H710" s="14" t="n">
        <x:v>1</x:v>
      </x:c>
      <x:c r="I710" s="1" t="n">
        <x:f>IF(AND(E710&lt;Reporting!$B$4,OR(G710="",G710&gt;=Reporting!$B$4)),1,0)</x:f>
        <x:v>0</x:v>
      </x:c>
      <x:c r="J710" s="1" t="n">
        <x:f>IF(AND(I710=1,F710&lt;Reporting!$B$4),1,0)</x:f>
        <x:v>0</x:v>
      </x:c>
      <x:c r="K710" s="1" t="n">
        <x:f>IF(F710&lt;Reporting!$B$4,1,0)</x:f>
        <x:v>1</x:v>
      </x:c>
      <x:c r="L710" s="1" t="n">
        <x:f>IF(AND(K710=1,G710&lt;&gt;"",G710&lt;=F710),1,0)</x:f>
        <x:v>0</x:v>
      </x:c>
      <x:c r="M710" s="1" t="n">
        <x:f>IF(AND(G710&lt;&gt;"",G710&lt;Reporting!$B$4),1,0)</x:f>
        <x:v>1</x:v>
      </x:c>
      <x:c r="N710" s="16" t="n">
        <x:f>IF(M710=1,G710-E710,"")</x:f>
        <x:v>5</x:v>
      </x:c>
      <x:c r="O710" s="1" t="str">
        <x:f>IF(E710&gt;=Reporting!$B$4,"Outside cutoff",IF(M710=1,"Closed",IF(J710=1,"Overdue","Open - within SLA")))</x:f>
        <x:v>Closed</x:v>
      </x:c>
    </x:row>
    <x:row r="711">
      <x:c r="A711" s="14" t="str">
        <x:v>CASE-00706</x:v>
      </x:c>
      <x:c r="B711" s="14" t="str">
        <x:v>Warehouse</x:v>
      </x:c>
      <x:c r="C711" s="14" t="str">
        <x:v>Process deviation</x:v>
      </x:c>
      <x:c r="D711" s="14" t="str">
        <x:v>High</x:v>
      </x:c>
      <x:c r="E711" s="15" t="n">
        <x:v>46257.541666666664</x:v>
      </x:c>
      <x:c r="F711" s="15" t="n">
        <x:v>46260.541666666664</x:v>
      </x:c>
      <x:c r="G711" s="15" t="n">
        <x:v>46275.583333333336</x:v>
      </x:c>
      <x:c r="H711" s="14" t="n">
        <x:v>2</x:v>
      </x:c>
      <x:c r="I711" s="1" t="n">
        <x:f>IF(AND(E711&lt;Reporting!$B$4,OR(G711="",G711&gt;=Reporting!$B$4)),1,0)</x:f>
        <x:v>0</x:v>
      </x:c>
      <x:c r="J711" s="1" t="n">
        <x:f>IF(AND(I711=1,F711&lt;Reporting!$B$4),1,0)</x:f>
        <x:v>0</x:v>
      </x:c>
      <x:c r="K711" s="1" t="n">
        <x:f>IF(F711&lt;Reporting!$B$4,1,0)</x:f>
        <x:v>1</x:v>
      </x:c>
      <x:c r="L711" s="1" t="n">
        <x:f>IF(AND(K711=1,G711&lt;&gt;"",G711&lt;=F711),1,0)</x:f>
        <x:v>0</x:v>
      </x:c>
      <x:c r="M711" s="1" t="n">
        <x:f>IF(AND(G711&lt;&gt;"",G711&lt;Reporting!$B$4),1,0)</x:f>
        <x:v>1</x:v>
      </x:c>
      <x:c r="N711" s="16" t="n">
        <x:f>IF(M711=1,G711-E711,"")</x:f>
        <x:v>18.041666666671517</x:v>
      </x:c>
      <x:c r="O711" s="1" t="str">
        <x:f>IF(E711&gt;=Reporting!$B$4,"Outside cutoff",IF(M711=1,"Closed",IF(J711=1,"Overdue","Open - within SLA")))</x:f>
        <x:v>Closed</x:v>
      </x:c>
    </x:row>
    <x:row r="712">
      <x:c r="A712" s="14" t="str">
        <x:v>CASE-00707</x:v>
      </x:c>
      <x:c r="B712" s="14" t="str">
        <x:v>Customer Services</x:v>
      </x:c>
      <x:c r="C712" s="14" t="str">
        <x:v>Record mismatch</x:v>
      </x:c>
      <x:c r="D712" s="14" t="str">
        <x:v>Medium</x:v>
      </x:c>
      <x:c r="E712" s="15" t="n">
        <x:v>46218.416666666664</x:v>
      </x:c>
      <x:c r="F712" s="15" t="n">
        <x:v>46225.416666666664</x:v>
      </x:c>
      <x:c r="G712" s="15" t="n">
        <x:v>46231.416666666664</x:v>
      </x:c>
      <x:c r="H712" s="14" t="n">
        <x:v>1</x:v>
      </x:c>
      <x:c r="I712" s="1" t="n">
        <x:f>IF(AND(E712&lt;Reporting!$B$4,OR(G712="",G712&gt;=Reporting!$B$4)),1,0)</x:f>
        <x:v>0</x:v>
      </x:c>
      <x:c r="J712" s="1" t="n">
        <x:f>IF(AND(I712=1,F712&lt;Reporting!$B$4),1,0)</x:f>
        <x:v>0</x:v>
      </x:c>
      <x:c r="K712" s="1" t="n">
        <x:f>IF(F712&lt;Reporting!$B$4,1,0)</x:f>
        <x:v>1</x:v>
      </x:c>
      <x:c r="L712" s="1" t="n">
        <x:f>IF(AND(K712=1,G712&lt;&gt;"",G712&lt;=F712),1,0)</x:f>
        <x:v>0</x:v>
      </x:c>
      <x:c r="M712" s="1" t="n">
        <x:f>IF(AND(G712&lt;&gt;"",G712&lt;Reporting!$B$4),1,0)</x:f>
        <x:v>1</x:v>
      </x:c>
      <x:c r="N712" s="16" t="n">
        <x:f>IF(M712=1,G712-E712,"")</x:f>
        <x:v>13</x:v>
      </x:c>
      <x:c r="O712" s="1" t="str">
        <x:f>IF(E712&gt;=Reporting!$B$4,"Outside cutoff",IF(M712=1,"Closed",IF(J712=1,"Overdue","Open - within SLA")))</x:f>
        <x:v>Closed</x:v>
      </x:c>
    </x:row>
    <x:row r="713">
      <x:c r="A713" s="14" t="str">
        <x:v>CASE-00708</x:v>
      </x:c>
      <x:c r="B713" s="14" t="str">
        <x:v>Customer Services</x:v>
      </x:c>
      <x:c r="C713" s="14" t="str">
        <x:v>Late review</x:v>
      </x:c>
      <x:c r="D713" s="14" t="str">
        <x:v>Medium</x:v>
      </x:c>
      <x:c r="E713" s="15" t="n">
        <x:v>46275.625</x:v>
      </x:c>
      <x:c r="F713" s="15" t="n">
        <x:v>46282.625</x:v>
      </x:c>
      <x:c r="G713" s="15" t="n">
        <x:v>46282.708333333336</x:v>
      </x:c>
      <x:c r="H713" s="14" t="n">
        <x:v>1</x:v>
      </x:c>
      <x:c r="I713" s="1" t="n">
        <x:f>IF(AND(E713&lt;Reporting!$B$4,OR(G713="",G713&gt;=Reporting!$B$4)),1,0)</x:f>
        <x:v>0</x:v>
      </x:c>
      <x:c r="J713" s="1" t="n">
        <x:f>IF(AND(I713=1,F713&lt;Reporting!$B$4),1,0)</x:f>
        <x:v>0</x:v>
      </x:c>
      <x:c r="K713" s="1" t="n">
        <x:f>IF(F713&lt;Reporting!$B$4,1,0)</x:f>
        <x:v>1</x:v>
      </x:c>
      <x:c r="L713" s="1" t="n">
        <x:f>IF(AND(K713=1,G713&lt;&gt;"",G713&lt;=F713),1,0)</x:f>
        <x:v>0</x:v>
      </x:c>
      <x:c r="M713" s="1" t="n">
        <x:f>IF(AND(G713&lt;&gt;"",G713&lt;Reporting!$B$4),1,0)</x:f>
        <x:v>1</x:v>
      </x:c>
      <x:c r="N713" s="16" t="n">
        <x:f>IF(M713=1,G713-E713,"")</x:f>
        <x:v>7.083333333335759</x:v>
      </x:c>
      <x:c r="O713" s="1" t="str">
        <x:f>IF(E713&gt;=Reporting!$B$4,"Outside cutoff",IF(M713=1,"Closed",IF(J713=1,"Overdue","Open - within SLA")))</x:f>
        <x:v>Closed</x:v>
      </x:c>
    </x:row>
    <x:row r="714">
      <x:c r="A714" s="14" t="str">
        <x:v>CASE-00709</x:v>
      </x:c>
      <x:c r="B714" s="14" t="str">
        <x:v>Warehouse</x:v>
      </x:c>
      <x:c r="C714" s="14" t="str">
        <x:v>Process deviation</x:v>
      </x:c>
      <x:c r="D714" s="14" t="str">
        <x:v>High</x:v>
      </x:c>
      <x:c r="E714" s="15" t="n">
        <x:v>46262.416666666664</x:v>
      </x:c>
      <x:c r="F714" s="15" t="n">
        <x:v>46265.416666666664</x:v>
      </x:c>
      <x:c r="G714" s="15" t="n">
        <x:v>46279.5</x:v>
      </x:c>
      <x:c r="H714" s="14" t="n">
        <x:v>2</x:v>
      </x:c>
      <x:c r="I714" s="1" t="n">
        <x:f>IF(AND(E714&lt;Reporting!$B$4,OR(G714="",G714&gt;=Reporting!$B$4)),1,0)</x:f>
        <x:v>0</x:v>
      </x:c>
      <x:c r="J714" s="1" t="n">
        <x:f>IF(AND(I714=1,F714&lt;Reporting!$B$4),1,0)</x:f>
        <x:v>0</x:v>
      </x:c>
      <x:c r="K714" s="1" t="n">
        <x:f>IF(F714&lt;Reporting!$B$4,1,0)</x:f>
        <x:v>1</x:v>
      </x:c>
      <x:c r="L714" s="1" t="n">
        <x:f>IF(AND(K714=1,G714&lt;&gt;"",G714&lt;=F714),1,0)</x:f>
        <x:v>0</x:v>
      </x:c>
      <x:c r="M714" s="1" t="n">
        <x:f>IF(AND(G714&lt;&gt;"",G714&lt;Reporting!$B$4),1,0)</x:f>
        <x:v>1</x:v>
      </x:c>
      <x:c r="N714" s="16" t="n">
        <x:f>IF(M714=1,G714-E714,"")</x:f>
        <x:v>17.08333333333576</x:v>
      </x:c>
      <x:c r="O714" s="1" t="str">
        <x:f>IF(E714&gt;=Reporting!$B$4,"Outside cutoff",IF(M714=1,"Closed",IF(J714=1,"Overdue","Open - within SLA")))</x:f>
        <x:v>Closed</x:v>
      </x:c>
    </x:row>
    <x:row r="715">
      <x:c r="A715" s="14" t="str">
        <x:v>CASE-00710</x:v>
      </x:c>
      <x:c r="B715" s="14" t="str">
        <x:v>Customer Services</x:v>
      </x:c>
      <x:c r="C715" s="14" t="str">
        <x:v>Late review</x:v>
      </x:c>
      <x:c r="D715" s="14" t="str">
        <x:v>Medium</x:v>
      </x:c>
      <x:c r="E715" s="15" t="n">
        <x:v>46254.5</x:v>
      </x:c>
      <x:c r="F715" s="15" t="n">
        <x:v>46261.5</x:v>
      </x:c>
      <x:c r="G715" s="15" t="n">
        <x:v>46257.541666666664</x:v>
      </x:c>
      <x:c r="H715" s="14" t="n">
        <x:v>1</x:v>
      </x:c>
      <x:c r="I715" s="1" t="n">
        <x:f>IF(AND(E715&lt;Reporting!$B$4,OR(G715="",G715&gt;=Reporting!$B$4)),1,0)</x:f>
        <x:v>0</x:v>
      </x:c>
      <x:c r="J715" s="1" t="n">
        <x:f>IF(AND(I715=1,F715&lt;Reporting!$B$4),1,0)</x:f>
        <x:v>0</x:v>
      </x:c>
      <x:c r="K715" s="1" t="n">
        <x:f>IF(F715&lt;Reporting!$B$4,1,0)</x:f>
        <x:v>1</x:v>
      </x:c>
      <x:c r="L715" s="1" t="n">
        <x:f>IF(AND(K715=1,G715&lt;&gt;"",G715&lt;=F715),1,0)</x:f>
        <x:v>1</x:v>
      </x:c>
      <x:c r="M715" s="1" t="n">
        <x:f>IF(AND(G715&lt;&gt;"",G715&lt;Reporting!$B$4),1,0)</x:f>
        <x:v>1</x:v>
      </x:c>
      <x:c r="N715" s="16" t="n">
        <x:f>IF(M715=1,G715-E715,"")</x:f>
        <x:v>3.0416666666642413</x:v>
      </x:c>
      <x:c r="O715" s="1" t="str">
        <x:f>IF(E715&gt;=Reporting!$B$4,"Outside cutoff",IF(M715=1,"Closed",IF(J715=1,"Overdue","Open - within SLA")))</x:f>
        <x:v>Closed</x:v>
      </x:c>
    </x:row>
    <x:row r="716">
      <x:c r="A716" s="14" t="str">
        <x:v>CASE-00711</x:v>
      </x:c>
      <x:c r="B716" s="14" t="str">
        <x:v>Installation</x:v>
      </x:c>
      <x:c r="C716" s="14" t="str">
        <x:v>Missing evidence</x:v>
      </x:c>
      <x:c r="D716" s="14" t="str">
        <x:v>Low</x:v>
      </x:c>
      <x:c r="E716" s="15" t="n">
        <x:v>46244.666666666664</x:v>
      </x:c>
      <x:c r="F716" s="15" t="n">
        <x:v>46258.666666666664</x:v>
      </x:c>
      <x:c r="G716" s="15" t="n">
        <x:v>46246.666666666664</x:v>
      </x:c>
      <x:c r="H716" s="14" t="n">
        <x:v>3</x:v>
      </x:c>
      <x:c r="I716" s="1" t="n">
        <x:f>IF(AND(E716&lt;Reporting!$B$4,OR(G716="",G716&gt;=Reporting!$B$4)),1,0)</x:f>
        <x:v>0</x:v>
      </x:c>
      <x:c r="J716" s="1" t="n">
        <x:f>IF(AND(I716=1,F716&lt;Reporting!$B$4),1,0)</x:f>
        <x:v>0</x:v>
      </x:c>
      <x:c r="K716" s="1" t="n">
        <x:f>IF(F716&lt;Reporting!$B$4,1,0)</x:f>
        <x:v>1</x:v>
      </x:c>
      <x:c r="L716" s="1" t="n">
        <x:f>IF(AND(K716=1,G716&lt;&gt;"",G716&lt;=F716),1,0)</x:f>
        <x:v>1</x:v>
      </x:c>
      <x:c r="M716" s="1" t="n">
        <x:f>IF(AND(G716&lt;&gt;"",G716&lt;Reporting!$B$4),1,0)</x:f>
        <x:v>1</x:v>
      </x:c>
      <x:c r="N716" s="16" t="n">
        <x:f>IF(M716=1,G716-E716,"")</x:f>
        <x:v>2</x:v>
      </x:c>
      <x:c r="O716" s="1" t="str">
        <x:f>IF(E716&gt;=Reporting!$B$4,"Outside cutoff",IF(M716=1,"Closed",IF(J716=1,"Overdue","Open - within SLA")))</x:f>
        <x:v>Closed</x:v>
      </x:c>
    </x:row>
    <x:row r="717">
      <x:c r="A717" s="14" t="str">
        <x:v>CASE-00712</x:v>
      </x:c>
      <x:c r="B717" s="14" t="str">
        <x:v>Customer Services</x:v>
      </x:c>
      <x:c r="C717" s="14" t="str">
        <x:v>Process deviation</x:v>
      </x:c>
      <x:c r="D717" s="14" t="str">
        <x:v>Medium</x:v>
      </x:c>
      <x:c r="E717" s="15" t="n">
        <x:v>46277.541666666664</x:v>
      </x:c>
      <x:c r="F717" s="15" t="n">
        <x:v>46284.541666666664</x:v>
      </x:c>
      <x:c r="G717" s="15"/>
      <x:c r="H717" s="14" t="n">
        <x:v>1</x:v>
      </x:c>
      <x:c r="I717" s="1" t="n">
        <x:f>IF(AND(E717&lt;Reporting!$B$4,OR(G717="",G717&gt;=Reporting!$B$4)),1,0)</x:f>
        <x:v>1</x:v>
      </x:c>
      <x:c r="J717" s="1" t="n">
        <x:f>IF(AND(I717=1,F717&lt;Reporting!$B$4),1,0)</x:f>
        <x:v>1</x:v>
      </x:c>
      <x:c r="K717" s="1" t="n">
        <x:f>IF(F717&lt;Reporting!$B$4,1,0)</x:f>
        <x:v>1</x:v>
      </x:c>
      <x:c r="L717" s="1" t="n">
        <x:f>IF(AND(K717=1,G717&lt;&gt;"",G717&lt;=F717),1,0)</x:f>
        <x:v>0</x:v>
      </x:c>
      <x:c r="M717" s="1" t="n">
        <x:f>IF(AND(G717&lt;&gt;"",G717&lt;Reporting!$B$4),1,0)</x:f>
        <x:v>0</x:v>
      </x:c>
      <x:c r="N717" s="16" t="str">
        <x:f>IF(M717=1,G717-E717,"")</x:f>
      </x:c>
      <x:c r="O717" s="1" t="str">
        <x:f>IF(E717&gt;=Reporting!$B$4,"Outside cutoff",IF(M717=1,"Closed",IF(J717=1,"Overdue","Open - within SLA")))</x:f>
        <x:v>Overdue</x:v>
      </x:c>
    </x:row>
    <x:row r="718">
      <x:c r="A718" s="14" t="str">
        <x:v>CASE-00713</x:v>
      </x:c>
      <x:c r="B718" s="14" t="str">
        <x:v>Installation</x:v>
      </x:c>
      <x:c r="C718" s="14" t="str">
        <x:v>Late review</x:v>
      </x:c>
      <x:c r="D718" s="14" t="str">
        <x:v>Medium</x:v>
      </x:c>
      <x:c r="E718" s="15" t="n">
        <x:v>46235.541666666664</x:v>
      </x:c>
      <x:c r="F718" s="15" t="n">
        <x:v>46242.541666666664</x:v>
      </x:c>
      <x:c r="G718" s="15"/>
      <x:c r="H718" s="14" t="n">
        <x:v>3</x:v>
      </x:c>
      <x:c r="I718" s="1" t="n">
        <x:f>IF(AND(E718&lt;Reporting!$B$4,OR(G718="",G718&gt;=Reporting!$B$4)),1,0)</x:f>
        <x:v>1</x:v>
      </x:c>
      <x:c r="J718" s="1" t="n">
        <x:f>IF(AND(I718=1,F718&lt;Reporting!$B$4),1,0)</x:f>
        <x:v>1</x:v>
      </x:c>
      <x:c r="K718" s="1" t="n">
        <x:f>IF(F718&lt;Reporting!$B$4,1,0)</x:f>
        <x:v>1</x:v>
      </x:c>
      <x:c r="L718" s="1" t="n">
        <x:f>IF(AND(K718=1,G718&lt;&gt;"",G718&lt;=F718),1,0)</x:f>
        <x:v>0</x:v>
      </x:c>
      <x:c r="M718" s="1" t="n">
        <x:f>IF(AND(G718&lt;&gt;"",G718&lt;Reporting!$B$4),1,0)</x:f>
        <x:v>0</x:v>
      </x:c>
      <x:c r="N718" s="16" t="str">
        <x:f>IF(M718=1,G718-E718,"")</x:f>
      </x:c>
      <x:c r="O718" s="1" t="str">
        <x:f>IF(E718&gt;=Reporting!$B$4,"Outside cutoff",IF(M718=1,"Closed",IF(J718=1,"Overdue","Open - within SLA")))</x:f>
        <x:v>Overdue</x:v>
      </x:c>
    </x:row>
    <x:row r="719">
      <x:c r="A719" s="14" t="str">
        <x:v>CASE-00714</x:v>
      </x:c>
      <x:c r="B719" s="14" t="str">
        <x:v>Installation</x:v>
      </x:c>
      <x:c r="C719" s="14" t="str">
        <x:v>Process deviation</x:v>
      </x:c>
      <x:c r="D719" s="14" t="str">
        <x:v>High</x:v>
      </x:c>
      <x:c r="E719" s="15" t="n">
        <x:v>46261.666666666664</x:v>
      </x:c>
      <x:c r="F719" s="15" t="n">
        <x:v>46264.666666666664</x:v>
      </x:c>
      <x:c r="G719" s="15" t="n">
        <x:v>46271.75</x:v>
      </x:c>
      <x:c r="H719" s="14" t="n">
        <x:v>3</x:v>
      </x:c>
      <x:c r="I719" s="1" t="n">
        <x:f>IF(AND(E719&lt;Reporting!$B$4,OR(G719="",G719&gt;=Reporting!$B$4)),1,0)</x:f>
        <x:v>0</x:v>
      </x:c>
      <x:c r="J719" s="1" t="n">
        <x:f>IF(AND(I719=1,F719&lt;Reporting!$B$4),1,0)</x:f>
        <x:v>0</x:v>
      </x:c>
      <x:c r="K719" s="1" t="n">
        <x:f>IF(F719&lt;Reporting!$B$4,1,0)</x:f>
        <x:v>1</x:v>
      </x:c>
      <x:c r="L719" s="1" t="n">
        <x:f>IF(AND(K719=1,G719&lt;&gt;"",G719&lt;=F719),1,0)</x:f>
        <x:v>0</x:v>
      </x:c>
      <x:c r="M719" s="1" t="n">
        <x:f>IF(AND(G719&lt;&gt;"",G719&lt;Reporting!$B$4),1,0)</x:f>
        <x:v>1</x:v>
      </x:c>
      <x:c r="N719" s="16" t="n">
        <x:f>IF(M719=1,G719-E719,"")</x:f>
        <x:v>10.083333333335759</x:v>
      </x:c>
      <x:c r="O719" s="1" t="str">
        <x:f>IF(E719&gt;=Reporting!$B$4,"Outside cutoff",IF(M719=1,"Closed",IF(J719=1,"Overdue","Open - within SLA")))</x:f>
        <x:v>Closed</x:v>
      </x:c>
    </x:row>
    <x:row r="720">
      <x:c r="A720" s="14" t="str">
        <x:v>CASE-00715</x:v>
      </x:c>
      <x:c r="B720" s="14" t="str">
        <x:v>Warehouse</x:v>
      </x:c>
      <x:c r="C720" s="14" t="str">
        <x:v>Process deviation</x:v>
      </x:c>
      <x:c r="D720" s="14" t="str">
        <x:v>Medium</x:v>
      </x:c>
      <x:c r="E720" s="15" t="n">
        <x:v>46214.416666666664</x:v>
      </x:c>
      <x:c r="F720" s="15" t="n">
        <x:v>46221.416666666664</x:v>
      </x:c>
      <x:c r="G720" s="15" t="n">
        <x:v>46230.5</x:v>
      </x:c>
      <x:c r="H720" s="14" t="n">
        <x:v>2</x:v>
      </x:c>
      <x:c r="I720" s="1" t="n">
        <x:f>IF(AND(E720&lt;Reporting!$B$4,OR(G720="",G720&gt;=Reporting!$B$4)),1,0)</x:f>
        <x:v>0</x:v>
      </x:c>
      <x:c r="J720" s="1" t="n">
        <x:f>IF(AND(I720=1,F720&lt;Reporting!$B$4),1,0)</x:f>
        <x:v>0</x:v>
      </x:c>
      <x:c r="K720" s="1" t="n">
        <x:f>IF(F720&lt;Reporting!$B$4,1,0)</x:f>
        <x:v>1</x:v>
      </x:c>
      <x:c r="L720" s="1" t="n">
        <x:f>IF(AND(K720=1,G720&lt;&gt;"",G720&lt;=F720),1,0)</x:f>
        <x:v>0</x:v>
      </x:c>
      <x:c r="M720" s="1" t="n">
        <x:f>IF(AND(G720&lt;&gt;"",G720&lt;Reporting!$B$4),1,0)</x:f>
        <x:v>1</x:v>
      </x:c>
      <x:c r="N720" s="16" t="n">
        <x:f>IF(M720=1,G720-E720,"")</x:f>
        <x:v>16.08333333333576</x:v>
      </x:c>
      <x:c r="O720" s="1" t="str">
        <x:f>IF(E720&gt;=Reporting!$B$4,"Outside cutoff",IF(M720=1,"Closed",IF(J720=1,"Overdue","Open - within SLA")))</x:f>
        <x:v>Closed</x:v>
      </x:c>
    </x:row>
    <x:row r="721">
      <x:c r="A721" s="14" t="str">
        <x:v>CASE-00716</x:v>
      </x:c>
      <x:c r="B721" s="14" t="str">
        <x:v>Installation</x:v>
      </x:c>
      <x:c r="C721" s="14" t="str">
        <x:v>Missing evidence</x:v>
      </x:c>
      <x:c r="D721" s="14" t="str">
        <x:v>High</x:v>
      </x:c>
      <x:c r="E721" s="15" t="n">
        <x:v>46226.5</x:v>
      </x:c>
      <x:c r="F721" s="15" t="n">
        <x:v>46229.5</x:v>
      </x:c>
      <x:c r="G721" s="15" t="n">
        <x:v>46230.5</x:v>
      </x:c>
      <x:c r="H721" s="14" t="n">
        <x:v>3</x:v>
      </x:c>
      <x:c r="I721" s="1" t="n">
        <x:f>IF(AND(E721&lt;Reporting!$B$4,OR(G721="",G721&gt;=Reporting!$B$4)),1,0)</x:f>
        <x:v>0</x:v>
      </x:c>
      <x:c r="J721" s="1" t="n">
        <x:f>IF(AND(I721=1,F721&lt;Reporting!$B$4),1,0)</x:f>
        <x:v>0</x:v>
      </x:c>
      <x:c r="K721" s="1" t="n">
        <x:f>IF(F721&lt;Reporting!$B$4,1,0)</x:f>
        <x:v>1</x:v>
      </x:c>
      <x:c r="L721" s="1" t="n">
        <x:f>IF(AND(K721=1,G721&lt;&gt;"",G721&lt;=F721),1,0)</x:f>
        <x:v>0</x:v>
      </x:c>
      <x:c r="M721" s="1" t="n">
        <x:f>IF(AND(G721&lt;&gt;"",G721&lt;Reporting!$B$4),1,0)</x:f>
        <x:v>1</x:v>
      </x:c>
      <x:c r="N721" s="16" t="n">
        <x:f>IF(M721=1,G721-E721,"")</x:f>
        <x:v>4</x:v>
      </x:c>
      <x:c r="O721" s="1" t="str">
        <x:f>IF(E721&gt;=Reporting!$B$4,"Outside cutoff",IF(M721=1,"Closed",IF(J721=1,"Overdue","Open - within SLA")))</x:f>
        <x:v>Closed</x:v>
      </x:c>
    </x:row>
    <x:row r="722">
      <x:c r="A722" s="14" t="str">
        <x:v>CASE-00717</x:v>
      </x:c>
      <x:c r="B722" s="14" t="str">
        <x:v>Customer Services</x:v>
      </x:c>
      <x:c r="C722" s="14" t="str">
        <x:v>Process deviation</x:v>
      </x:c>
      <x:c r="D722" s="14" t="str">
        <x:v>Medium</x:v>
      </x:c>
      <x:c r="E722" s="15" t="n">
        <x:v>46208.416666666664</x:v>
      </x:c>
      <x:c r="F722" s="15" t="n">
        <x:v>46215.416666666664</x:v>
      </x:c>
      <x:c r="G722" s="15" t="n">
        <x:v>46213.458333333336</x:v>
      </x:c>
      <x:c r="H722" s="14" t="n">
        <x:v>1</x:v>
      </x:c>
      <x:c r="I722" s="1" t="n">
        <x:f>IF(AND(E722&lt;Reporting!$B$4,OR(G722="",G722&gt;=Reporting!$B$4)),1,0)</x:f>
        <x:v>0</x:v>
      </x:c>
      <x:c r="J722" s="1" t="n">
        <x:f>IF(AND(I722=1,F722&lt;Reporting!$B$4),1,0)</x:f>
        <x:v>0</x:v>
      </x:c>
      <x:c r="K722" s="1" t="n">
        <x:f>IF(F722&lt;Reporting!$B$4,1,0)</x:f>
        <x:v>1</x:v>
      </x:c>
      <x:c r="L722" s="1" t="n">
        <x:f>IF(AND(K722=1,G722&lt;&gt;"",G722&lt;=F722),1,0)</x:f>
        <x:v>1</x:v>
      </x:c>
      <x:c r="M722" s="1" t="n">
        <x:f>IF(AND(G722&lt;&gt;"",G722&lt;Reporting!$B$4),1,0)</x:f>
        <x:v>1</x:v>
      </x:c>
      <x:c r="N722" s="16" t="n">
        <x:f>IF(M722=1,G722-E722,"")</x:f>
        <x:v>5.041666666671517</x:v>
      </x:c>
      <x:c r="O722" s="1" t="str">
        <x:f>IF(E722&gt;=Reporting!$B$4,"Outside cutoff",IF(M722=1,"Closed",IF(J722=1,"Overdue","Open - within SLA")))</x:f>
        <x:v>Closed</x:v>
      </x:c>
    </x:row>
    <x:row r="723">
      <x:c r="A723" s="14" t="str">
        <x:v>CASE-00718</x:v>
      </x:c>
      <x:c r="B723" s="14" t="str">
        <x:v>Installation</x:v>
      </x:c>
      <x:c r="C723" s="14" t="str">
        <x:v>Late review</x:v>
      </x:c>
      <x:c r="D723" s="14" t="str">
        <x:v>Medium</x:v>
      </x:c>
      <x:c r="E723" s="15" t="n">
        <x:v>46234.333333333336</x:v>
      </x:c>
      <x:c r="F723" s="15" t="n">
        <x:v>46241.333333333336</x:v>
      </x:c>
      <x:c r="G723" s="15" t="n">
        <x:v>46245.333333333336</x:v>
      </x:c>
      <x:c r="H723" s="14" t="n">
        <x:v>3</x:v>
      </x:c>
      <x:c r="I723" s="1" t="n">
        <x:f>IF(AND(E723&lt;Reporting!$B$4,OR(G723="",G723&gt;=Reporting!$B$4)),1,0)</x:f>
        <x:v>0</x:v>
      </x:c>
      <x:c r="J723" s="1" t="n">
        <x:f>IF(AND(I723=1,F723&lt;Reporting!$B$4),1,0)</x:f>
        <x:v>0</x:v>
      </x:c>
      <x:c r="K723" s="1" t="n">
        <x:f>IF(F723&lt;Reporting!$B$4,1,0)</x:f>
        <x:v>1</x:v>
      </x:c>
      <x:c r="L723" s="1" t="n">
        <x:f>IF(AND(K723=1,G723&lt;&gt;"",G723&lt;=F723),1,0)</x:f>
        <x:v>0</x:v>
      </x:c>
      <x:c r="M723" s="1" t="n">
        <x:f>IF(AND(G723&lt;&gt;"",G723&lt;Reporting!$B$4),1,0)</x:f>
        <x:v>1</x:v>
      </x:c>
      <x:c r="N723" s="16" t="n">
        <x:f>IF(M723=1,G723-E723,"")</x:f>
        <x:v>11</x:v>
      </x:c>
      <x:c r="O723" s="1" t="str">
        <x:f>IF(E723&gt;=Reporting!$B$4,"Outside cutoff",IF(M723=1,"Closed",IF(J723=1,"Overdue","Open - within SLA")))</x:f>
        <x:v>Closed</x:v>
      </x:c>
    </x:row>
    <x:row r="724">
      <x:c r="A724" s="14" t="str">
        <x:v>CASE-00719</x:v>
      </x:c>
      <x:c r="B724" s="14" t="str">
        <x:v>Installation</x:v>
      </x:c>
      <x:c r="C724" s="14" t="str">
        <x:v>Process deviation</x:v>
      </x:c>
      <x:c r="D724" s="14" t="str">
        <x:v>Medium</x:v>
      </x:c>
      <x:c r="E724" s="15" t="n">
        <x:v>46275.666666666664</x:v>
      </x:c>
      <x:c r="F724" s="15" t="n">
        <x:v>46282.666666666664</x:v>
      </x:c>
      <x:c r="G724" s="15"/>
      <x:c r="H724" s="14" t="n">
        <x:v>3</x:v>
      </x:c>
      <x:c r="I724" s="1" t="n">
        <x:f>IF(AND(E724&lt;Reporting!$B$4,OR(G724="",G724&gt;=Reporting!$B$4)),1,0)</x:f>
        <x:v>1</x:v>
      </x:c>
      <x:c r="J724" s="1" t="n">
        <x:f>IF(AND(I724=1,F724&lt;Reporting!$B$4),1,0)</x:f>
        <x:v>1</x:v>
      </x:c>
      <x:c r="K724" s="1" t="n">
        <x:f>IF(F724&lt;Reporting!$B$4,1,0)</x:f>
        <x:v>1</x:v>
      </x:c>
      <x:c r="L724" s="1" t="n">
        <x:f>IF(AND(K724=1,G724&lt;&gt;"",G724&lt;=F724),1,0)</x:f>
        <x:v>0</x:v>
      </x:c>
      <x:c r="M724" s="1" t="n">
        <x:f>IF(AND(G724&lt;&gt;"",G724&lt;Reporting!$B$4),1,0)</x:f>
        <x:v>0</x:v>
      </x:c>
      <x:c r="N724" s="16" t="str">
        <x:f>IF(M724=1,G724-E724,"")</x:f>
      </x:c>
      <x:c r="O724" s="1" t="str">
        <x:f>IF(E724&gt;=Reporting!$B$4,"Outside cutoff",IF(M724=1,"Closed",IF(J724=1,"Overdue","Open - within SLA")))</x:f>
        <x:v>Overdue</x:v>
      </x:c>
    </x:row>
    <x:row r="725">
      <x:c r="A725" s="14" t="str">
        <x:v>CASE-00720</x:v>
      </x:c>
      <x:c r="B725" s="14" t="str">
        <x:v>Warehouse</x:v>
      </x:c>
      <x:c r="C725" s="14" t="str">
        <x:v>Record mismatch</x:v>
      </x:c>
      <x:c r="D725" s="14" t="str">
        <x:v>Medium</x:v>
      </x:c>
      <x:c r="E725" s="15" t="n">
        <x:v>46284.333333333336</x:v>
      </x:c>
      <x:c r="F725" s="15" t="n">
        <x:v>46291.333333333336</x:v>
      </x:c>
      <x:c r="G725" s="15"/>
      <x:c r="H725" s="14" t="n">
        <x:v>2</x:v>
      </x:c>
      <x:c r="I725" s="1" t="n">
        <x:f>IF(AND(E725&lt;Reporting!$B$4,OR(G725="",G725&gt;=Reporting!$B$4)),1,0)</x:f>
        <x:v>1</x:v>
      </x:c>
      <x:c r="J725" s="1" t="n">
        <x:f>IF(AND(I725=1,F725&lt;Reporting!$B$4),1,0)</x:f>
        <x:v>0</x:v>
      </x:c>
      <x:c r="K725" s="1" t="n">
        <x:f>IF(F725&lt;Reporting!$B$4,1,0)</x:f>
        <x:v>0</x:v>
      </x:c>
      <x:c r="L725" s="1" t="n">
        <x:f>IF(AND(K725=1,G725&lt;&gt;"",G725&lt;=F725),1,0)</x:f>
        <x:v>0</x:v>
      </x:c>
      <x:c r="M725" s="1" t="n">
        <x:f>IF(AND(G725&lt;&gt;"",G725&lt;Reporting!$B$4),1,0)</x:f>
        <x:v>0</x:v>
      </x:c>
      <x:c r="N725" s="16" t="str">
        <x:f>IF(M725=1,G725-E725,"")</x:f>
      </x:c>
      <x:c r="O725" s="1" t="str">
        <x:f>IF(E725&gt;=Reporting!$B$4,"Outside cutoff",IF(M725=1,"Closed",IF(J725=1,"Overdue","Open - within SLA")))</x:f>
        <x:v>Open - within SLA</x:v>
      </x:c>
    </x:row>
    <x:row r="726">
      <x:c r="A726" s="14" t="str">
        <x:v>CASE-00721</x:v>
      </x:c>
      <x:c r="B726" s="14" t="str">
        <x:v>Installation</x:v>
      </x:c>
      <x:c r="C726" s="14" t="str">
        <x:v>Missing evidence</x:v>
      </x:c>
      <x:c r="D726" s="14" t="str">
        <x:v>Medium</x:v>
      </x:c>
      <x:c r="E726" s="15" t="n">
        <x:v>46232.583333333336</x:v>
      </x:c>
      <x:c r="F726" s="15" t="n">
        <x:v>46239.583333333336</x:v>
      </x:c>
      <x:c r="G726" s="15" t="n">
        <x:v>46250.625</x:v>
      </x:c>
      <x:c r="H726" s="14" t="n">
        <x:v>3</x:v>
      </x:c>
      <x:c r="I726" s="1" t="n">
        <x:f>IF(AND(E726&lt;Reporting!$B$4,OR(G726="",G726&gt;=Reporting!$B$4)),1,0)</x:f>
        <x:v>0</x:v>
      </x:c>
      <x:c r="J726" s="1" t="n">
        <x:f>IF(AND(I726=1,F726&lt;Reporting!$B$4),1,0)</x:f>
        <x:v>0</x:v>
      </x:c>
      <x:c r="K726" s="1" t="n">
        <x:f>IF(F726&lt;Reporting!$B$4,1,0)</x:f>
        <x:v>1</x:v>
      </x:c>
      <x:c r="L726" s="1" t="n">
        <x:f>IF(AND(K726=1,G726&lt;&gt;"",G726&lt;=F726),1,0)</x:f>
        <x:v>0</x:v>
      </x:c>
      <x:c r="M726" s="1" t="n">
        <x:f>IF(AND(G726&lt;&gt;"",G726&lt;Reporting!$B$4),1,0)</x:f>
        <x:v>1</x:v>
      </x:c>
      <x:c r="N726" s="16" t="n">
        <x:f>IF(M726=1,G726-E726,"")</x:f>
        <x:v>18.04166666666424</x:v>
      </x:c>
      <x:c r="O726" s="1" t="str">
        <x:f>IF(E726&gt;=Reporting!$B$4,"Outside cutoff",IF(M726=1,"Closed",IF(J726=1,"Overdue","Open - within SLA")))</x:f>
        <x:v>Closed</x:v>
      </x:c>
    </x:row>
    <x:row r="727">
      <x:c r="A727" s="14" t="str">
        <x:v>CASE-00722</x:v>
      </x:c>
      <x:c r="B727" s="14" t="str">
        <x:v>Warehouse</x:v>
      </x:c>
      <x:c r="C727" s="14" t="str">
        <x:v>Process deviation</x:v>
      </x:c>
      <x:c r="D727" s="14" t="str">
        <x:v>Medium</x:v>
      </x:c>
      <x:c r="E727" s="15" t="n">
        <x:v>46263.666666666664</x:v>
      </x:c>
      <x:c r="F727" s="15" t="n">
        <x:v>46270.666666666664</x:v>
      </x:c>
      <x:c r="G727" s="15" t="n">
        <x:v>46284.75</x:v>
      </x:c>
      <x:c r="H727" s="14" t="n">
        <x:v>2</x:v>
      </x:c>
      <x:c r="I727" s="1" t="n">
        <x:f>IF(AND(E727&lt;Reporting!$B$4,OR(G727="",G727&gt;=Reporting!$B$4)),1,0)</x:f>
        <x:v>0</x:v>
      </x:c>
      <x:c r="J727" s="1" t="n">
        <x:f>IF(AND(I727=1,F727&lt;Reporting!$B$4),1,0)</x:f>
        <x:v>0</x:v>
      </x:c>
      <x:c r="K727" s="1" t="n">
        <x:f>IF(F727&lt;Reporting!$B$4,1,0)</x:f>
        <x:v>1</x:v>
      </x:c>
      <x:c r="L727" s="1" t="n">
        <x:f>IF(AND(K727=1,G727&lt;&gt;"",G727&lt;=F727),1,0)</x:f>
        <x:v>0</x:v>
      </x:c>
      <x:c r="M727" s="1" t="n">
        <x:f>IF(AND(G727&lt;&gt;"",G727&lt;Reporting!$B$4),1,0)</x:f>
        <x:v>1</x:v>
      </x:c>
      <x:c r="N727" s="16" t="n">
        <x:f>IF(M727=1,G727-E727,"")</x:f>
        <x:v>21.08333333333576</x:v>
      </x:c>
      <x:c r="O727" s="1" t="str">
        <x:f>IF(E727&gt;=Reporting!$B$4,"Outside cutoff",IF(M727=1,"Closed",IF(J727=1,"Overdue","Open - within SLA")))</x:f>
        <x:v>Closed</x:v>
      </x:c>
    </x:row>
    <x:row r="728">
      <x:c r="A728" s="14" t="str">
        <x:v>CASE-00723</x:v>
      </x:c>
      <x:c r="B728" s="14" t="str">
        <x:v>Installation</x:v>
      </x:c>
      <x:c r="C728" s="14" t="str">
        <x:v>Process deviation</x:v>
      </x:c>
      <x:c r="D728" s="14" t="str">
        <x:v>Medium</x:v>
      </x:c>
      <x:c r="E728" s="15" t="n">
        <x:v>46216.583333333336</x:v>
      </x:c>
      <x:c r="F728" s="15" t="n">
        <x:v>46223.583333333336</x:v>
      </x:c>
      <x:c r="G728" s="15" t="n">
        <x:v>46220.666666666664</x:v>
      </x:c>
      <x:c r="H728" s="14" t="n">
        <x:v>3</x:v>
      </x:c>
      <x:c r="I728" s="1" t="n">
        <x:f>IF(AND(E728&lt;Reporting!$B$4,OR(G728="",G728&gt;=Reporting!$B$4)),1,0)</x:f>
        <x:v>0</x:v>
      </x:c>
      <x:c r="J728" s="1" t="n">
        <x:f>IF(AND(I728=1,F728&lt;Reporting!$B$4),1,0)</x:f>
        <x:v>0</x:v>
      </x:c>
      <x:c r="K728" s="1" t="n">
        <x:f>IF(F728&lt;Reporting!$B$4,1,0)</x:f>
        <x:v>1</x:v>
      </x:c>
      <x:c r="L728" s="1" t="n">
        <x:f>IF(AND(K728=1,G728&lt;&gt;"",G728&lt;=F728),1,0)</x:f>
        <x:v>1</x:v>
      </x:c>
      <x:c r="M728" s="1" t="n">
        <x:f>IF(AND(G728&lt;&gt;"",G728&lt;Reporting!$B$4),1,0)</x:f>
        <x:v>1</x:v>
      </x:c>
      <x:c r="N728" s="16" t="n">
        <x:f>IF(M728=1,G728-E728,"")</x:f>
        <x:v>4.083333333328483</x:v>
      </x:c>
      <x:c r="O728" s="1" t="str">
        <x:f>IF(E728&gt;=Reporting!$B$4,"Outside cutoff",IF(M728=1,"Closed",IF(J728=1,"Overdue","Open - within SLA")))</x:f>
        <x:v>Closed</x:v>
      </x:c>
    </x:row>
    <x:row r="729">
      <x:c r="A729" s="14" t="str">
        <x:v>CASE-00724</x:v>
      </x:c>
      <x:c r="B729" s="14" t="str">
        <x:v>Warehouse</x:v>
      </x:c>
      <x:c r="C729" s="14" t="str">
        <x:v>Record mismatch</x:v>
      </x:c>
      <x:c r="D729" s="14" t="str">
        <x:v>Low</x:v>
      </x:c>
      <x:c r="E729" s="15" t="n">
        <x:v>46280.416666666664</x:v>
      </x:c>
      <x:c r="F729" s="15" t="n">
        <x:v>46294.416666666664</x:v>
      </x:c>
      <x:c r="G729" s="15"/>
      <x:c r="H729" s="14" t="n">
        <x:v>2</x:v>
      </x:c>
      <x:c r="I729" s="1" t="n">
        <x:f>IF(AND(E729&lt;Reporting!$B$4,OR(G729="",G729&gt;=Reporting!$B$4)),1,0)</x:f>
        <x:v>1</x:v>
      </x:c>
      <x:c r="J729" s="1" t="n">
        <x:f>IF(AND(I729=1,F729&lt;Reporting!$B$4),1,0)</x:f>
        <x:v>0</x:v>
      </x:c>
      <x:c r="K729" s="1" t="n">
        <x:f>IF(F729&lt;Reporting!$B$4,1,0)</x:f>
        <x:v>0</x:v>
      </x:c>
      <x:c r="L729" s="1" t="n">
        <x:f>IF(AND(K729=1,G729&lt;&gt;"",G729&lt;=F729),1,0)</x:f>
        <x:v>0</x:v>
      </x:c>
      <x:c r="M729" s="1" t="n">
        <x:f>IF(AND(G729&lt;&gt;"",G729&lt;Reporting!$B$4),1,0)</x:f>
        <x:v>0</x:v>
      </x:c>
      <x:c r="N729" s="16" t="str">
        <x:f>IF(M729=1,G729-E729,"")</x:f>
      </x:c>
      <x:c r="O729" s="1" t="str">
        <x:f>IF(E729&gt;=Reporting!$B$4,"Outside cutoff",IF(M729=1,"Closed",IF(J729=1,"Overdue","Open - within SLA")))</x:f>
        <x:v>Open - within SLA</x:v>
      </x:c>
    </x:row>
    <x:row r="730">
      <x:c r="A730" s="14" t="str">
        <x:v>CASE-00725</x:v>
      </x:c>
      <x:c r="B730" s="14" t="str">
        <x:v>Customer Services</x:v>
      </x:c>
      <x:c r="C730" s="14" t="str">
        <x:v>Missing evidence</x:v>
      </x:c>
      <x:c r="D730" s="14" t="str">
        <x:v>Low</x:v>
      </x:c>
      <x:c r="E730" s="15" t="n">
        <x:v>46265.666666666664</x:v>
      </x:c>
      <x:c r="F730" s="15" t="n">
        <x:v>46279.666666666664</x:v>
      </x:c>
      <x:c r="G730" s="15" t="n">
        <x:v>46279.666666666664</x:v>
      </x:c>
      <x:c r="H730" s="14" t="n">
        <x:v>1</x:v>
      </x:c>
      <x:c r="I730" s="1" t="n">
        <x:f>IF(AND(E730&lt;Reporting!$B$4,OR(G730="",G730&gt;=Reporting!$B$4)),1,0)</x:f>
        <x:v>0</x:v>
      </x:c>
      <x:c r="J730" s="1" t="n">
        <x:f>IF(AND(I730=1,F730&lt;Reporting!$B$4),1,0)</x:f>
        <x:v>0</x:v>
      </x:c>
      <x:c r="K730" s="1" t="n">
        <x:f>IF(F730&lt;Reporting!$B$4,1,0)</x:f>
        <x:v>1</x:v>
      </x:c>
      <x:c r="L730" s="1" t="n">
        <x:f>IF(AND(K730=1,G730&lt;&gt;"",G730&lt;=F730),1,0)</x:f>
        <x:v>1</x:v>
      </x:c>
      <x:c r="M730" s="1" t="n">
        <x:f>IF(AND(G730&lt;&gt;"",G730&lt;Reporting!$B$4),1,0)</x:f>
        <x:v>1</x:v>
      </x:c>
      <x:c r="N730" s="16" t="n">
        <x:f>IF(M730=1,G730-E730,"")</x:f>
        <x:v>14</x:v>
      </x:c>
      <x:c r="O730" s="1" t="str">
        <x:f>IF(E730&gt;=Reporting!$B$4,"Outside cutoff",IF(M730=1,"Closed",IF(J730=1,"Overdue","Open - within SLA")))</x:f>
        <x:v>Closed</x:v>
      </x:c>
    </x:row>
    <x:row r="731">
      <x:c r="A731" s="14" t="str">
        <x:v>CASE-00726</x:v>
      </x:c>
      <x:c r="B731" s="14" t="str">
        <x:v>Installation</x:v>
      </x:c>
      <x:c r="C731" s="14" t="str">
        <x:v>Late review</x:v>
      </x:c>
      <x:c r="D731" s="14" t="str">
        <x:v>Medium</x:v>
      </x:c>
      <x:c r="E731" s="15" t="n">
        <x:v>46277.583333333336</x:v>
      </x:c>
      <x:c r="F731" s="15" t="n">
        <x:v>46284.583333333336</x:v>
      </x:c>
      <x:c r="G731" s="15"/>
      <x:c r="H731" s="14" t="n">
        <x:v>3</x:v>
      </x:c>
      <x:c r="I731" s="1" t="n">
        <x:f>IF(AND(E731&lt;Reporting!$B$4,OR(G731="",G731&gt;=Reporting!$B$4)),1,0)</x:f>
        <x:v>1</x:v>
      </x:c>
      <x:c r="J731" s="1" t="n">
        <x:f>IF(AND(I731=1,F731&lt;Reporting!$B$4),1,0)</x:f>
        <x:v>1</x:v>
      </x:c>
      <x:c r="K731" s="1" t="n">
        <x:f>IF(F731&lt;Reporting!$B$4,1,0)</x:f>
        <x:v>1</x:v>
      </x:c>
      <x:c r="L731" s="1" t="n">
        <x:f>IF(AND(K731=1,G731&lt;&gt;"",G731&lt;=F731),1,0)</x:f>
        <x:v>0</x:v>
      </x:c>
      <x:c r="M731" s="1" t="n">
        <x:f>IF(AND(G731&lt;&gt;"",G731&lt;Reporting!$B$4),1,0)</x:f>
        <x:v>0</x:v>
      </x:c>
      <x:c r="N731" s="16" t="str">
        <x:f>IF(M731=1,G731-E731,"")</x:f>
      </x:c>
      <x:c r="O731" s="1" t="str">
        <x:f>IF(E731&gt;=Reporting!$B$4,"Outside cutoff",IF(M731=1,"Closed",IF(J731=1,"Overdue","Open - within SLA")))</x:f>
        <x:v>Overdue</x:v>
      </x:c>
    </x:row>
    <x:row r="732">
      <x:c r="A732" s="14" t="str">
        <x:v>CASE-00727</x:v>
      </x:c>
      <x:c r="B732" s="14" t="str">
        <x:v>Customer Services</x:v>
      </x:c>
      <x:c r="C732" s="14" t="str">
        <x:v>Late review</x:v>
      </x:c>
      <x:c r="D732" s="14" t="str">
        <x:v>Medium</x:v>
      </x:c>
      <x:c r="E732" s="15" t="n">
        <x:v>46203.5</x:v>
      </x:c>
      <x:c r="F732" s="15" t="n">
        <x:v>46210.5</x:v>
      </x:c>
      <x:c r="G732" s="15" t="n">
        <x:v>46220.583333333336</x:v>
      </x:c>
      <x:c r="H732" s="14" t="n">
        <x:v>1</x:v>
      </x:c>
      <x:c r="I732" s="1" t="n">
        <x:f>IF(AND(E732&lt;Reporting!$B$4,OR(G732="",G732&gt;=Reporting!$B$4)),1,0)</x:f>
        <x:v>0</x:v>
      </x:c>
      <x:c r="J732" s="1" t="n">
        <x:f>IF(AND(I732=1,F732&lt;Reporting!$B$4),1,0)</x:f>
        <x:v>0</x:v>
      </x:c>
      <x:c r="K732" s="1" t="n">
        <x:f>IF(F732&lt;Reporting!$B$4,1,0)</x:f>
        <x:v>1</x:v>
      </x:c>
      <x:c r="L732" s="1" t="n">
        <x:f>IF(AND(K732=1,G732&lt;&gt;"",G732&lt;=F732),1,0)</x:f>
        <x:v>0</x:v>
      </x:c>
      <x:c r="M732" s="1" t="n">
        <x:f>IF(AND(G732&lt;&gt;"",G732&lt;Reporting!$B$4),1,0)</x:f>
        <x:v>1</x:v>
      </x:c>
      <x:c r="N732" s="16" t="n">
        <x:f>IF(M732=1,G732-E732,"")</x:f>
        <x:v>17.08333333333576</x:v>
      </x:c>
      <x:c r="O732" s="1" t="str">
        <x:f>IF(E732&gt;=Reporting!$B$4,"Outside cutoff",IF(M732=1,"Closed",IF(J732=1,"Overdue","Open - within SLA")))</x:f>
        <x:v>Closed</x:v>
      </x:c>
    </x:row>
    <x:row r="733">
      <x:c r="A733" s="14" t="str">
        <x:v>CASE-00728</x:v>
      </x:c>
      <x:c r="B733" s="14" t="str">
        <x:v>Customer Services</x:v>
      </x:c>
      <x:c r="C733" s="14" t="str">
        <x:v>Missing evidence</x:v>
      </x:c>
      <x:c r="D733" s="14" t="str">
        <x:v>Medium</x:v>
      </x:c>
      <x:c r="E733" s="15" t="n">
        <x:v>46204.583333333336</x:v>
      </x:c>
      <x:c r="F733" s="15" t="n">
        <x:v>46211.583333333336</x:v>
      </x:c>
      <x:c r="G733" s="15" t="n">
        <x:v>46215.583333333336</x:v>
      </x:c>
      <x:c r="H733" s="14" t="n">
        <x:v>1</x:v>
      </x:c>
      <x:c r="I733" s="1" t="n">
        <x:f>IF(AND(E733&lt;Reporting!$B$4,OR(G733="",G733&gt;=Reporting!$B$4)),1,0)</x:f>
        <x:v>0</x:v>
      </x:c>
      <x:c r="J733" s="1" t="n">
        <x:f>IF(AND(I733=1,F733&lt;Reporting!$B$4),1,0)</x:f>
        <x:v>0</x:v>
      </x:c>
      <x:c r="K733" s="1" t="n">
        <x:f>IF(F733&lt;Reporting!$B$4,1,0)</x:f>
        <x:v>1</x:v>
      </x:c>
      <x:c r="L733" s="1" t="n">
        <x:f>IF(AND(K733=1,G733&lt;&gt;"",G733&lt;=F733),1,0)</x:f>
        <x:v>0</x:v>
      </x:c>
      <x:c r="M733" s="1" t="n">
        <x:f>IF(AND(G733&lt;&gt;"",G733&lt;Reporting!$B$4),1,0)</x:f>
        <x:v>1</x:v>
      </x:c>
      <x:c r="N733" s="16" t="n">
        <x:f>IF(M733=1,G733-E733,"")</x:f>
        <x:v>11</x:v>
      </x:c>
      <x:c r="O733" s="1" t="str">
        <x:f>IF(E733&gt;=Reporting!$B$4,"Outside cutoff",IF(M733=1,"Closed",IF(J733=1,"Overdue","Open - within SLA")))</x:f>
        <x:v>Closed</x:v>
      </x:c>
    </x:row>
    <x:row r="734">
      <x:c r="A734" s="14" t="str">
        <x:v>CASE-00729</x:v>
      </x:c>
      <x:c r="B734" s="14" t="str">
        <x:v>Customer Services</x:v>
      </x:c>
      <x:c r="C734" s="14" t="str">
        <x:v>Record mismatch</x:v>
      </x:c>
      <x:c r="D734" s="14" t="str">
        <x:v>Medium</x:v>
      </x:c>
      <x:c r="E734" s="15" t="n">
        <x:v>46221.416666666664</x:v>
      </x:c>
      <x:c r="F734" s="15" t="n">
        <x:v>46228.416666666664</x:v>
      </x:c>
      <x:c r="G734" s="15" t="n">
        <x:v>46230.458333333336</x:v>
      </x:c>
      <x:c r="H734" s="14" t="n">
        <x:v>1</x:v>
      </x:c>
      <x:c r="I734" s="1" t="n">
        <x:f>IF(AND(E734&lt;Reporting!$B$4,OR(G734="",G734&gt;=Reporting!$B$4)),1,0)</x:f>
        <x:v>0</x:v>
      </x:c>
      <x:c r="J734" s="1" t="n">
        <x:f>IF(AND(I734=1,F734&lt;Reporting!$B$4),1,0)</x:f>
        <x:v>0</x:v>
      </x:c>
      <x:c r="K734" s="1" t="n">
        <x:f>IF(F734&lt;Reporting!$B$4,1,0)</x:f>
        <x:v>1</x:v>
      </x:c>
      <x:c r="L734" s="1" t="n">
        <x:f>IF(AND(K734=1,G734&lt;&gt;"",G734&lt;=F734),1,0)</x:f>
        <x:v>0</x:v>
      </x:c>
      <x:c r="M734" s="1" t="n">
        <x:f>IF(AND(G734&lt;&gt;"",G734&lt;Reporting!$B$4),1,0)</x:f>
        <x:v>1</x:v>
      </x:c>
      <x:c r="N734" s="16" t="n">
        <x:f>IF(M734=1,G734-E734,"")</x:f>
        <x:v>9.041666666671517</x:v>
      </x:c>
      <x:c r="O734" s="1" t="str">
        <x:f>IF(E734&gt;=Reporting!$B$4,"Outside cutoff",IF(M734=1,"Closed",IF(J734=1,"Overdue","Open - within SLA")))</x:f>
        <x:v>Closed</x:v>
      </x:c>
    </x:row>
    <x:row r="735">
      <x:c r="A735" s="14" t="str">
        <x:v>CASE-00730</x:v>
      </x:c>
      <x:c r="B735" s="14" t="str">
        <x:v>Warehouse</x:v>
      </x:c>
      <x:c r="C735" s="14" t="str">
        <x:v>Missing evidence</x:v>
      </x:c>
      <x:c r="D735" s="14" t="str">
        <x:v>Medium</x:v>
      </x:c>
      <x:c r="E735" s="15" t="n">
        <x:v>46275.5</x:v>
      </x:c>
      <x:c r="F735" s="15" t="n">
        <x:v>46282.5</x:v>
      </x:c>
      <x:c r="G735" s="15"/>
      <x:c r="H735" s="14" t="n">
        <x:v>2</x:v>
      </x:c>
      <x:c r="I735" s="1" t="n">
        <x:f>IF(AND(E735&lt;Reporting!$B$4,OR(G735="",G735&gt;=Reporting!$B$4)),1,0)</x:f>
        <x:v>1</x:v>
      </x:c>
      <x:c r="J735" s="1" t="n">
        <x:f>IF(AND(I735=1,F735&lt;Reporting!$B$4),1,0)</x:f>
        <x:v>1</x:v>
      </x:c>
      <x:c r="K735" s="1" t="n">
        <x:f>IF(F735&lt;Reporting!$B$4,1,0)</x:f>
        <x:v>1</x:v>
      </x:c>
      <x:c r="L735" s="1" t="n">
        <x:f>IF(AND(K735=1,G735&lt;&gt;"",G735&lt;=F735),1,0)</x:f>
        <x:v>0</x:v>
      </x:c>
      <x:c r="M735" s="1" t="n">
        <x:f>IF(AND(G735&lt;&gt;"",G735&lt;Reporting!$B$4),1,0)</x:f>
        <x:v>0</x:v>
      </x:c>
      <x:c r="N735" s="16" t="str">
        <x:f>IF(M735=1,G735-E735,"")</x:f>
      </x:c>
      <x:c r="O735" s="1" t="str">
        <x:f>IF(E735&gt;=Reporting!$B$4,"Outside cutoff",IF(M735=1,"Closed",IF(J735=1,"Overdue","Open - within SLA")))</x:f>
        <x:v>Overdue</x:v>
      </x:c>
    </x:row>
    <x:row r="736">
      <x:c r="A736" s="14" t="str">
        <x:v>CASE-00731</x:v>
      </x:c>
      <x:c r="B736" s="14" t="str">
        <x:v>Customer Services</x:v>
      </x:c>
      <x:c r="C736" s="14" t="str">
        <x:v>Missing evidence</x:v>
      </x:c>
      <x:c r="D736" s="14" t="str">
        <x:v>Low</x:v>
      </x:c>
      <x:c r="E736" s="15" t="n">
        <x:v>46220.333333333336</x:v>
      </x:c>
      <x:c r="F736" s="15" t="n">
        <x:v>46234.333333333336</x:v>
      </x:c>
      <x:c r="G736" s="15" t="n">
        <x:v>46221.333333333336</x:v>
      </x:c>
      <x:c r="H736" s="14" t="n">
        <x:v>1</x:v>
      </x:c>
      <x:c r="I736" s="1" t="n">
        <x:f>IF(AND(E736&lt;Reporting!$B$4,OR(G736="",G736&gt;=Reporting!$B$4)),1,0)</x:f>
        <x:v>0</x:v>
      </x:c>
      <x:c r="J736" s="1" t="n">
        <x:f>IF(AND(I736=1,F736&lt;Reporting!$B$4),1,0)</x:f>
        <x:v>0</x:v>
      </x:c>
      <x:c r="K736" s="1" t="n">
        <x:f>IF(F736&lt;Reporting!$B$4,1,0)</x:f>
        <x:v>1</x:v>
      </x:c>
      <x:c r="L736" s="1" t="n">
        <x:f>IF(AND(K736=1,G736&lt;&gt;"",G736&lt;=F736),1,0)</x:f>
        <x:v>1</x:v>
      </x:c>
      <x:c r="M736" s="1" t="n">
        <x:f>IF(AND(G736&lt;&gt;"",G736&lt;Reporting!$B$4),1,0)</x:f>
        <x:v>1</x:v>
      </x:c>
      <x:c r="N736" s="16" t="n">
        <x:f>IF(M736=1,G736-E736,"")</x:f>
        <x:v>1</x:v>
      </x:c>
      <x:c r="O736" s="1" t="str">
        <x:f>IF(E736&gt;=Reporting!$B$4,"Outside cutoff",IF(M736=1,"Closed",IF(J736=1,"Overdue","Open - within SLA")))</x:f>
        <x:v>Closed</x:v>
      </x:c>
    </x:row>
    <x:row r="737">
      <x:c r="A737" s="14" t="str">
        <x:v>CASE-00732</x:v>
      </x:c>
      <x:c r="B737" s="14" t="str">
        <x:v>Warehouse</x:v>
      </x:c>
      <x:c r="C737" s="14" t="str">
        <x:v>Late review</x:v>
      </x:c>
      <x:c r="D737" s="14" t="str">
        <x:v>High</x:v>
      </x:c>
      <x:c r="E737" s="15" t="n">
        <x:v>46269.625</x:v>
      </x:c>
      <x:c r="F737" s="15" t="n">
        <x:v>46272.625</x:v>
      </x:c>
      <x:c r="G737" s="15"/>
      <x:c r="H737" s="14" t="n">
        <x:v>2</x:v>
      </x:c>
      <x:c r="I737" s="1" t="n">
        <x:f>IF(AND(E737&lt;Reporting!$B$4,OR(G737="",G737&gt;=Reporting!$B$4)),1,0)</x:f>
        <x:v>1</x:v>
      </x:c>
      <x:c r="J737" s="1" t="n">
        <x:f>IF(AND(I737=1,F737&lt;Reporting!$B$4),1,0)</x:f>
        <x:v>1</x:v>
      </x:c>
      <x:c r="K737" s="1" t="n">
        <x:f>IF(F737&lt;Reporting!$B$4,1,0)</x:f>
        <x:v>1</x:v>
      </x:c>
      <x:c r="L737" s="1" t="n">
        <x:f>IF(AND(K737=1,G737&lt;&gt;"",G737&lt;=F737),1,0)</x:f>
        <x:v>0</x:v>
      </x:c>
      <x:c r="M737" s="1" t="n">
        <x:f>IF(AND(G737&lt;&gt;"",G737&lt;Reporting!$B$4),1,0)</x:f>
        <x:v>0</x:v>
      </x:c>
      <x:c r="N737" s="16" t="str">
        <x:f>IF(M737=1,G737-E737,"")</x:f>
      </x:c>
      <x:c r="O737" s="1" t="str">
        <x:f>IF(E737&gt;=Reporting!$B$4,"Outside cutoff",IF(M737=1,"Closed",IF(J737=1,"Overdue","Open - within SLA")))</x:f>
        <x:v>Overdue</x:v>
      </x:c>
    </x:row>
    <x:row r="738">
      <x:c r="A738" s="14" t="str">
        <x:v>CASE-00733</x:v>
      </x:c>
      <x:c r="B738" s="14" t="str">
        <x:v>Installation</x:v>
      </x:c>
      <x:c r="C738" s="14" t="str">
        <x:v>Missing evidence</x:v>
      </x:c>
      <x:c r="D738" s="14" t="str">
        <x:v>High</x:v>
      </x:c>
      <x:c r="E738" s="15" t="n">
        <x:v>46257.625</x:v>
      </x:c>
      <x:c r="F738" s="15" t="n">
        <x:v>46260.625</x:v>
      </x:c>
      <x:c r="G738" s="15" t="n">
        <x:v>46265.708333333336</x:v>
      </x:c>
      <x:c r="H738" s="14" t="n">
        <x:v>3</x:v>
      </x:c>
      <x:c r="I738" s="1" t="n">
        <x:f>IF(AND(E738&lt;Reporting!$B$4,OR(G738="",G738&gt;=Reporting!$B$4)),1,0)</x:f>
        <x:v>0</x:v>
      </x:c>
      <x:c r="J738" s="1" t="n">
        <x:f>IF(AND(I738=1,F738&lt;Reporting!$B$4),1,0)</x:f>
        <x:v>0</x:v>
      </x:c>
      <x:c r="K738" s="1" t="n">
        <x:f>IF(F738&lt;Reporting!$B$4,1,0)</x:f>
        <x:v>1</x:v>
      </x:c>
      <x:c r="L738" s="1" t="n">
        <x:f>IF(AND(K738=1,G738&lt;&gt;"",G738&lt;=F738),1,0)</x:f>
        <x:v>0</x:v>
      </x:c>
      <x:c r="M738" s="1" t="n">
        <x:f>IF(AND(G738&lt;&gt;"",G738&lt;Reporting!$B$4),1,0)</x:f>
        <x:v>1</x:v>
      </x:c>
      <x:c r="N738" s="16" t="n">
        <x:f>IF(M738=1,G738-E738,"")</x:f>
        <x:v>8.083333333335759</x:v>
      </x:c>
      <x:c r="O738" s="1" t="str">
        <x:f>IF(E738&gt;=Reporting!$B$4,"Outside cutoff",IF(M738=1,"Closed",IF(J738=1,"Overdue","Open - within SLA")))</x:f>
        <x:v>Closed</x:v>
      </x:c>
    </x:row>
    <x:row r="739">
      <x:c r="A739" s="14" t="str">
        <x:v>CASE-00734</x:v>
      </x:c>
      <x:c r="B739" s="14" t="str">
        <x:v>Installation</x:v>
      </x:c>
      <x:c r="C739" s="14" t="str">
        <x:v>Record mismatch</x:v>
      </x:c>
      <x:c r="D739" s="14" t="str">
        <x:v>High</x:v>
      </x:c>
      <x:c r="E739" s="15" t="n">
        <x:v>46275.416666666664</x:v>
      </x:c>
      <x:c r="F739" s="15" t="n">
        <x:v>46278.416666666664</x:v>
      </x:c>
      <x:c r="G739" s="15"/>
      <x:c r="H739" s="14" t="n">
        <x:v>3</x:v>
      </x:c>
      <x:c r="I739" s="1" t="n">
        <x:f>IF(AND(E739&lt;Reporting!$B$4,OR(G739="",G739&gt;=Reporting!$B$4)),1,0)</x:f>
        <x:v>1</x:v>
      </x:c>
      <x:c r="J739" s="1" t="n">
        <x:f>IF(AND(I739=1,F739&lt;Reporting!$B$4),1,0)</x:f>
        <x:v>1</x:v>
      </x:c>
      <x:c r="K739" s="1" t="n">
        <x:f>IF(F739&lt;Reporting!$B$4,1,0)</x:f>
        <x:v>1</x:v>
      </x:c>
      <x:c r="L739" s="1" t="n">
        <x:f>IF(AND(K739=1,G739&lt;&gt;"",G739&lt;=F739),1,0)</x:f>
        <x:v>0</x:v>
      </x:c>
      <x:c r="M739" s="1" t="n">
        <x:f>IF(AND(G739&lt;&gt;"",G739&lt;Reporting!$B$4),1,0)</x:f>
        <x:v>0</x:v>
      </x:c>
      <x:c r="N739" s="16" t="str">
        <x:f>IF(M739=1,G739-E739,"")</x:f>
      </x:c>
      <x:c r="O739" s="1" t="str">
        <x:f>IF(E739&gt;=Reporting!$B$4,"Outside cutoff",IF(M739=1,"Closed",IF(J739=1,"Overdue","Open - within SLA")))</x:f>
        <x:v>Overdue</x:v>
      </x:c>
    </x:row>
    <x:row r="740">
      <x:c r="A740" s="14" t="str">
        <x:v>CASE-00735</x:v>
      </x:c>
      <x:c r="B740" s="14" t="str">
        <x:v>Customer Services</x:v>
      </x:c>
      <x:c r="C740" s="14" t="str">
        <x:v>Missing evidence</x:v>
      </x:c>
      <x:c r="D740" s="14" t="str">
        <x:v>Medium</x:v>
      </x:c>
      <x:c r="E740" s="15" t="n">
        <x:v>46244.5</x:v>
      </x:c>
      <x:c r="F740" s="15" t="n">
        <x:v>46251.5</x:v>
      </x:c>
      <x:c r="G740" s="15" t="n">
        <x:v>46262.583333333336</x:v>
      </x:c>
      <x:c r="H740" s="14" t="n">
        <x:v>1</x:v>
      </x:c>
      <x:c r="I740" s="1" t="n">
        <x:f>IF(AND(E740&lt;Reporting!$B$4,OR(G740="",G740&gt;=Reporting!$B$4)),1,0)</x:f>
        <x:v>0</x:v>
      </x:c>
      <x:c r="J740" s="1" t="n">
        <x:f>IF(AND(I740=1,F740&lt;Reporting!$B$4),1,0)</x:f>
        <x:v>0</x:v>
      </x:c>
      <x:c r="K740" s="1" t="n">
        <x:f>IF(F740&lt;Reporting!$B$4,1,0)</x:f>
        <x:v>1</x:v>
      </x:c>
      <x:c r="L740" s="1" t="n">
        <x:f>IF(AND(K740=1,G740&lt;&gt;"",G740&lt;=F740),1,0)</x:f>
        <x:v>0</x:v>
      </x:c>
      <x:c r="M740" s="1" t="n">
        <x:f>IF(AND(G740&lt;&gt;"",G740&lt;Reporting!$B$4),1,0)</x:f>
        <x:v>1</x:v>
      </x:c>
      <x:c r="N740" s="16" t="n">
        <x:f>IF(M740=1,G740-E740,"")</x:f>
        <x:v>18.08333333333576</x:v>
      </x:c>
      <x:c r="O740" s="1" t="str">
        <x:f>IF(E740&gt;=Reporting!$B$4,"Outside cutoff",IF(M740=1,"Closed",IF(J740=1,"Overdue","Open - within SLA")))</x:f>
        <x:v>Closed</x:v>
      </x:c>
    </x:row>
    <x:row r="741">
      <x:c r="A741" s="14" t="str">
        <x:v>CASE-00736</x:v>
      </x:c>
      <x:c r="B741" s="14" t="str">
        <x:v>Installation</x:v>
      </x:c>
      <x:c r="C741" s="14" t="str">
        <x:v>Process deviation</x:v>
      </x:c>
      <x:c r="D741" s="14" t="str">
        <x:v>Low</x:v>
      </x:c>
      <x:c r="E741" s="15" t="n">
        <x:v>46274.541666666664</x:v>
      </x:c>
      <x:c r="F741" s="15" t="n">
        <x:v>46288.541666666664</x:v>
      </x:c>
      <x:c r="G741" s="15" t="n">
        <x:v>46278.541666666664</x:v>
      </x:c>
      <x:c r="H741" s="14" t="n">
        <x:v>3</x:v>
      </x:c>
      <x:c r="I741" s="1" t="n">
        <x:f>IF(AND(E741&lt;Reporting!$B$4,OR(G741="",G741&gt;=Reporting!$B$4)),1,0)</x:f>
        <x:v>0</x:v>
      </x:c>
      <x:c r="J741" s="1" t="n">
        <x:f>IF(AND(I741=1,F741&lt;Reporting!$B$4),1,0)</x:f>
        <x:v>0</x:v>
      </x:c>
      <x:c r="K741" s="1" t="n">
        <x:f>IF(F741&lt;Reporting!$B$4,1,0)</x:f>
        <x:v>0</x:v>
      </x:c>
      <x:c r="L741" s="1" t="n">
        <x:f>IF(AND(K741=1,G741&lt;&gt;"",G741&lt;=F741),1,0)</x:f>
        <x:v>0</x:v>
      </x:c>
      <x:c r="M741" s="1" t="n">
        <x:f>IF(AND(G741&lt;&gt;"",G741&lt;Reporting!$B$4),1,0)</x:f>
        <x:v>1</x:v>
      </x:c>
      <x:c r="N741" s="16" t="n">
        <x:f>IF(M741=1,G741-E741,"")</x:f>
        <x:v>4</x:v>
      </x:c>
      <x:c r="O741" s="1" t="str">
        <x:f>IF(E741&gt;=Reporting!$B$4,"Outside cutoff",IF(M741=1,"Closed",IF(J741=1,"Overdue","Open - within SLA")))</x:f>
        <x:v>Closed</x:v>
      </x:c>
    </x:row>
    <x:row r="742">
      <x:c r="A742" s="14" t="str">
        <x:v>CASE-00737</x:v>
      </x:c>
      <x:c r="B742" s="14" t="str">
        <x:v>Warehouse</x:v>
      </x:c>
      <x:c r="C742" s="14" t="str">
        <x:v>Process deviation</x:v>
      </x:c>
      <x:c r="D742" s="14" t="str">
        <x:v>High</x:v>
      </x:c>
      <x:c r="E742" s="15" t="n">
        <x:v>46228.375</x:v>
      </x:c>
      <x:c r="F742" s="15" t="n">
        <x:v>46231.375</x:v>
      </x:c>
      <x:c r="G742" s="15" t="n">
        <x:v>46240.458333333336</x:v>
      </x:c>
      <x:c r="H742" s="14" t="n">
        <x:v>2</x:v>
      </x:c>
      <x:c r="I742" s="1" t="n">
        <x:f>IF(AND(E742&lt;Reporting!$B$4,OR(G742="",G742&gt;=Reporting!$B$4)),1,0)</x:f>
        <x:v>0</x:v>
      </x:c>
      <x:c r="J742" s="1" t="n">
        <x:f>IF(AND(I742=1,F742&lt;Reporting!$B$4),1,0)</x:f>
        <x:v>0</x:v>
      </x:c>
      <x:c r="K742" s="1" t="n">
        <x:f>IF(F742&lt;Reporting!$B$4,1,0)</x:f>
        <x:v>1</x:v>
      </x:c>
      <x:c r="L742" s="1" t="n">
        <x:f>IF(AND(K742=1,G742&lt;&gt;"",G742&lt;=F742),1,0)</x:f>
        <x:v>0</x:v>
      </x:c>
      <x:c r="M742" s="1" t="n">
        <x:f>IF(AND(G742&lt;&gt;"",G742&lt;Reporting!$B$4),1,0)</x:f>
        <x:v>1</x:v>
      </x:c>
      <x:c r="N742" s="16" t="n">
        <x:f>IF(M742=1,G742-E742,"")</x:f>
        <x:v>12.083333333335759</x:v>
      </x:c>
      <x:c r="O742" s="1" t="str">
        <x:f>IF(E742&gt;=Reporting!$B$4,"Outside cutoff",IF(M742=1,"Closed",IF(J742=1,"Overdue","Open - within SLA")))</x:f>
        <x:v>Closed</x:v>
      </x:c>
    </x:row>
    <x:row r="743">
      <x:c r="A743" s="14" t="str">
        <x:v>CASE-00738</x:v>
      </x:c>
      <x:c r="B743" s="14" t="str">
        <x:v>Customer Services</x:v>
      </x:c>
      <x:c r="C743" s="14" t="str">
        <x:v>Missing evidence</x:v>
      </x:c>
      <x:c r="D743" s="14" t="str">
        <x:v>Low</x:v>
      </x:c>
      <x:c r="E743" s="15" t="n">
        <x:v>46259.583333333336</x:v>
      </x:c>
      <x:c r="F743" s="15" t="n">
        <x:v>46273.583333333336</x:v>
      </x:c>
      <x:c r="G743" s="15" t="n">
        <x:v>46260.625</x:v>
      </x:c>
      <x:c r="H743" s="14" t="n">
        <x:v>1</x:v>
      </x:c>
      <x:c r="I743" s="1" t="n">
        <x:f>IF(AND(E743&lt;Reporting!$B$4,OR(G743="",G743&gt;=Reporting!$B$4)),1,0)</x:f>
        <x:v>0</x:v>
      </x:c>
      <x:c r="J743" s="1" t="n">
        <x:f>IF(AND(I743=1,F743&lt;Reporting!$B$4),1,0)</x:f>
        <x:v>0</x:v>
      </x:c>
      <x:c r="K743" s="1" t="n">
        <x:f>IF(F743&lt;Reporting!$B$4,1,0)</x:f>
        <x:v>1</x:v>
      </x:c>
      <x:c r="L743" s="1" t="n">
        <x:f>IF(AND(K743=1,G743&lt;&gt;"",G743&lt;=F743),1,0)</x:f>
        <x:v>1</x:v>
      </x:c>
      <x:c r="M743" s="1" t="n">
        <x:f>IF(AND(G743&lt;&gt;"",G743&lt;Reporting!$B$4),1,0)</x:f>
        <x:v>1</x:v>
      </x:c>
      <x:c r="N743" s="16" t="n">
        <x:f>IF(M743=1,G743-E743,"")</x:f>
        <x:v>1.0416666666642413</x:v>
      </x:c>
      <x:c r="O743" s="1" t="str">
        <x:f>IF(E743&gt;=Reporting!$B$4,"Outside cutoff",IF(M743=1,"Closed",IF(J743=1,"Overdue","Open - within SLA")))</x:f>
        <x:v>Closed</x:v>
      </x:c>
    </x:row>
    <x:row r="744">
      <x:c r="A744" s="14" t="str">
        <x:v>CASE-00739</x:v>
      </x:c>
      <x:c r="B744" s="14" t="str">
        <x:v>Customer Services</x:v>
      </x:c>
      <x:c r="C744" s="14" t="str">
        <x:v>Late review</x:v>
      </x:c>
      <x:c r="D744" s="14" t="str">
        <x:v>Low</x:v>
      </x:c>
      <x:c r="E744" s="15" t="n">
        <x:v>46228.625</x:v>
      </x:c>
      <x:c r="F744" s="15" t="n">
        <x:v>46242.625</x:v>
      </x:c>
      <x:c r="G744" s="15" t="n">
        <x:v>46242.666666666664</x:v>
      </x:c>
      <x:c r="H744" s="14" t="n">
        <x:v>1</x:v>
      </x:c>
      <x:c r="I744" s="1" t="n">
        <x:f>IF(AND(E744&lt;Reporting!$B$4,OR(G744="",G744&gt;=Reporting!$B$4)),1,0)</x:f>
        <x:v>0</x:v>
      </x:c>
      <x:c r="J744" s="1" t="n">
        <x:f>IF(AND(I744=1,F744&lt;Reporting!$B$4),1,0)</x:f>
        <x:v>0</x:v>
      </x:c>
      <x:c r="K744" s="1" t="n">
        <x:f>IF(F744&lt;Reporting!$B$4,1,0)</x:f>
        <x:v>1</x:v>
      </x:c>
      <x:c r="L744" s="1" t="n">
        <x:f>IF(AND(K744=1,G744&lt;&gt;"",G744&lt;=F744),1,0)</x:f>
        <x:v>0</x:v>
      </x:c>
      <x:c r="M744" s="1" t="n">
        <x:f>IF(AND(G744&lt;&gt;"",G744&lt;Reporting!$B$4),1,0)</x:f>
        <x:v>1</x:v>
      </x:c>
      <x:c r="N744" s="16" t="n">
        <x:f>IF(M744=1,G744-E744,"")</x:f>
        <x:v>14.041666666664241</x:v>
      </x:c>
      <x:c r="O744" s="1" t="str">
        <x:f>IF(E744&gt;=Reporting!$B$4,"Outside cutoff",IF(M744=1,"Closed",IF(J744=1,"Overdue","Open - within SLA")))</x:f>
        <x:v>Closed</x:v>
      </x:c>
    </x:row>
    <x:row r="745">
      <x:c r="A745" s="14" t="str">
        <x:v>CASE-00740</x:v>
      </x:c>
      <x:c r="B745" s="14" t="str">
        <x:v>Warehouse</x:v>
      </x:c>
      <x:c r="C745" s="14" t="str">
        <x:v>Late review</x:v>
      </x:c>
      <x:c r="D745" s="14" t="str">
        <x:v>Medium</x:v>
      </x:c>
      <x:c r="E745" s="15" t="n">
        <x:v>46235.375</x:v>
      </x:c>
      <x:c r="F745" s="15" t="n">
        <x:v>46242.375</x:v>
      </x:c>
      <x:c r="G745" s="15" t="n">
        <x:v>46247.458333333336</x:v>
      </x:c>
      <x:c r="H745" s="14" t="n">
        <x:v>2</x:v>
      </x:c>
      <x:c r="I745" s="1" t="n">
        <x:f>IF(AND(E745&lt;Reporting!$B$4,OR(G745="",G745&gt;=Reporting!$B$4)),1,0)</x:f>
        <x:v>0</x:v>
      </x:c>
      <x:c r="J745" s="1" t="n">
        <x:f>IF(AND(I745=1,F745&lt;Reporting!$B$4),1,0)</x:f>
        <x:v>0</x:v>
      </x:c>
      <x:c r="K745" s="1" t="n">
        <x:f>IF(F745&lt;Reporting!$B$4,1,0)</x:f>
        <x:v>1</x:v>
      </x:c>
      <x:c r="L745" s="1" t="n">
        <x:f>IF(AND(K745=1,G745&lt;&gt;"",G745&lt;=F745),1,0)</x:f>
        <x:v>0</x:v>
      </x:c>
      <x:c r="M745" s="1" t="n">
        <x:f>IF(AND(G745&lt;&gt;"",G745&lt;Reporting!$B$4),1,0)</x:f>
        <x:v>1</x:v>
      </x:c>
      <x:c r="N745" s="16" t="n">
        <x:f>IF(M745=1,G745-E745,"")</x:f>
        <x:v>12.083333333335759</x:v>
      </x:c>
      <x:c r="O745" s="1" t="str">
        <x:f>IF(E745&gt;=Reporting!$B$4,"Outside cutoff",IF(M745=1,"Closed",IF(J745=1,"Overdue","Open - within SLA")))</x:f>
        <x:v>Closed</x:v>
      </x:c>
    </x:row>
    <x:row r="746">
      <x:c r="A746" s="14" t="str">
        <x:v>CASE-00741</x:v>
      </x:c>
      <x:c r="B746" s="14" t="str">
        <x:v>Warehouse</x:v>
      </x:c>
      <x:c r="C746" s="14" t="str">
        <x:v>Record mismatch</x:v>
      </x:c>
      <x:c r="D746" s="14" t="str">
        <x:v>Medium</x:v>
      </x:c>
      <x:c r="E746" s="15" t="n">
        <x:v>46263.375</x:v>
      </x:c>
      <x:c r="F746" s="15" t="n">
        <x:v>46270.375</x:v>
      </x:c>
      <x:c r="G746" s="15"/>
      <x:c r="H746" s="14" t="n">
        <x:v>2</x:v>
      </x:c>
      <x:c r="I746" s="1" t="n">
        <x:f>IF(AND(E746&lt;Reporting!$B$4,OR(G746="",G746&gt;=Reporting!$B$4)),1,0)</x:f>
        <x:v>1</x:v>
      </x:c>
      <x:c r="J746" s="1" t="n">
        <x:f>IF(AND(I746=1,F746&lt;Reporting!$B$4),1,0)</x:f>
        <x:v>1</x:v>
      </x:c>
      <x:c r="K746" s="1" t="n">
        <x:f>IF(F746&lt;Reporting!$B$4,1,0)</x:f>
        <x:v>1</x:v>
      </x:c>
      <x:c r="L746" s="1" t="n">
        <x:f>IF(AND(K746=1,G746&lt;&gt;"",G746&lt;=F746),1,0)</x:f>
        <x:v>0</x:v>
      </x:c>
      <x:c r="M746" s="1" t="n">
        <x:f>IF(AND(G746&lt;&gt;"",G746&lt;Reporting!$B$4),1,0)</x:f>
        <x:v>0</x:v>
      </x:c>
      <x:c r="N746" s="16" t="str">
        <x:f>IF(M746=1,G746-E746,"")</x:f>
      </x:c>
      <x:c r="O746" s="1" t="str">
        <x:f>IF(E746&gt;=Reporting!$B$4,"Outside cutoff",IF(M746=1,"Closed",IF(J746=1,"Overdue","Open - within SLA")))</x:f>
        <x:v>Overdue</x:v>
      </x:c>
    </x:row>
    <x:row r="747">
      <x:c r="A747" s="14" t="str">
        <x:v>CASE-00742</x:v>
      </x:c>
      <x:c r="B747" s="14" t="str">
        <x:v>Installation</x:v>
      </x:c>
      <x:c r="C747" s="14" t="str">
        <x:v>Late review</x:v>
      </x:c>
      <x:c r="D747" s="14" t="str">
        <x:v>Medium</x:v>
      </x:c>
      <x:c r="E747" s="15" t="n">
        <x:v>46253.375</x:v>
      </x:c>
      <x:c r="F747" s="15" t="n">
        <x:v>46260.375</x:v>
      </x:c>
      <x:c r="G747" s="15" t="n">
        <x:v>46271.375</x:v>
      </x:c>
      <x:c r="H747" s="14" t="n">
        <x:v>3</x:v>
      </x:c>
      <x:c r="I747" s="1" t="n">
        <x:f>IF(AND(E747&lt;Reporting!$B$4,OR(G747="",G747&gt;=Reporting!$B$4)),1,0)</x:f>
        <x:v>0</x:v>
      </x:c>
      <x:c r="J747" s="1" t="n">
        <x:f>IF(AND(I747=1,F747&lt;Reporting!$B$4),1,0)</x:f>
        <x:v>0</x:v>
      </x:c>
      <x:c r="K747" s="1" t="n">
        <x:f>IF(F747&lt;Reporting!$B$4,1,0)</x:f>
        <x:v>1</x:v>
      </x:c>
      <x:c r="L747" s="1" t="n">
        <x:f>IF(AND(K747=1,G747&lt;&gt;"",G747&lt;=F747),1,0)</x:f>
        <x:v>0</x:v>
      </x:c>
      <x:c r="M747" s="1" t="n">
        <x:f>IF(AND(G747&lt;&gt;"",G747&lt;Reporting!$B$4),1,0)</x:f>
        <x:v>1</x:v>
      </x:c>
      <x:c r="N747" s="16" t="n">
        <x:f>IF(M747=1,G747-E747,"")</x:f>
        <x:v>18</x:v>
      </x:c>
      <x:c r="O747" s="1" t="str">
        <x:f>IF(E747&gt;=Reporting!$B$4,"Outside cutoff",IF(M747=1,"Closed",IF(J747=1,"Overdue","Open - within SLA")))</x:f>
        <x:v>Closed</x:v>
      </x:c>
    </x:row>
    <x:row r="748">
      <x:c r="A748" s="14" t="str">
        <x:v>CASE-00743</x:v>
      </x:c>
      <x:c r="B748" s="14" t="str">
        <x:v>Warehouse</x:v>
      </x:c>
      <x:c r="C748" s="14" t="str">
        <x:v>Record mismatch</x:v>
      </x:c>
      <x:c r="D748" s="14" t="str">
        <x:v>Low</x:v>
      </x:c>
      <x:c r="E748" s="15" t="n">
        <x:v>46282.416666666664</x:v>
      </x:c>
      <x:c r="F748" s="15" t="n">
        <x:v>46296.416666666664</x:v>
      </x:c>
      <x:c r="G748" s="15"/>
      <x:c r="H748" s="14" t="n">
        <x:v>2</x:v>
      </x:c>
      <x:c r="I748" s="1" t="n">
        <x:f>IF(AND(E748&lt;Reporting!$B$4,OR(G748="",G748&gt;=Reporting!$B$4)),1,0)</x:f>
        <x:v>1</x:v>
      </x:c>
      <x:c r="J748" s="1" t="n">
        <x:f>IF(AND(I748=1,F748&lt;Reporting!$B$4),1,0)</x:f>
        <x:v>0</x:v>
      </x:c>
      <x:c r="K748" s="1" t="n">
        <x:f>IF(F748&lt;Reporting!$B$4,1,0)</x:f>
        <x:v>0</x:v>
      </x:c>
      <x:c r="L748" s="1" t="n">
        <x:f>IF(AND(K748=1,G748&lt;&gt;"",G748&lt;=F748),1,0)</x:f>
        <x:v>0</x:v>
      </x:c>
      <x:c r="M748" s="1" t="n">
        <x:f>IF(AND(G748&lt;&gt;"",G748&lt;Reporting!$B$4),1,0)</x:f>
        <x:v>0</x:v>
      </x:c>
      <x:c r="N748" s="16" t="str">
        <x:f>IF(M748=1,G748-E748,"")</x:f>
      </x:c>
      <x:c r="O748" s="1" t="str">
        <x:f>IF(E748&gt;=Reporting!$B$4,"Outside cutoff",IF(M748=1,"Closed",IF(J748=1,"Overdue","Open - within SLA")))</x:f>
        <x:v>Open - within SLA</x:v>
      </x:c>
    </x:row>
    <x:row r="749">
      <x:c r="A749" s="14" t="str">
        <x:v>CASE-00744</x:v>
      </x:c>
      <x:c r="B749" s="14" t="str">
        <x:v>Warehouse</x:v>
      </x:c>
      <x:c r="C749" s="14" t="str">
        <x:v>Process deviation</x:v>
      </x:c>
      <x:c r="D749" s="14" t="str">
        <x:v>Low</x:v>
      </x:c>
      <x:c r="E749" s="15" t="n">
        <x:v>46237.458333333336</x:v>
      </x:c>
      <x:c r="F749" s="15" t="n">
        <x:v>46251.458333333336</x:v>
      </x:c>
      <x:c r="G749" s="15" t="n">
        <x:v>46246.541666666664</x:v>
      </x:c>
      <x:c r="H749" s="14" t="n">
        <x:v>2</x:v>
      </x:c>
      <x:c r="I749" s="1" t="n">
        <x:f>IF(AND(E749&lt;Reporting!$B$4,OR(G749="",G749&gt;=Reporting!$B$4)),1,0)</x:f>
        <x:v>0</x:v>
      </x:c>
      <x:c r="J749" s="1" t="n">
        <x:f>IF(AND(I749=1,F749&lt;Reporting!$B$4),1,0)</x:f>
        <x:v>0</x:v>
      </x:c>
      <x:c r="K749" s="1" t="n">
        <x:f>IF(F749&lt;Reporting!$B$4,1,0)</x:f>
        <x:v>1</x:v>
      </x:c>
      <x:c r="L749" s="1" t="n">
        <x:f>IF(AND(K749=1,G749&lt;&gt;"",G749&lt;=F749),1,0)</x:f>
        <x:v>1</x:v>
      </x:c>
      <x:c r="M749" s="1" t="n">
        <x:f>IF(AND(G749&lt;&gt;"",G749&lt;Reporting!$B$4),1,0)</x:f>
        <x:v>1</x:v>
      </x:c>
      <x:c r="N749" s="16" t="n">
        <x:f>IF(M749=1,G749-E749,"")</x:f>
        <x:v>9.083333333328483</x:v>
      </x:c>
      <x:c r="O749" s="1" t="str">
        <x:f>IF(E749&gt;=Reporting!$B$4,"Outside cutoff",IF(M749=1,"Closed",IF(J749=1,"Overdue","Open - within SLA")))</x:f>
        <x:v>Closed</x:v>
      </x:c>
    </x:row>
    <x:row r="750">
      <x:c r="A750" s="14" t="str">
        <x:v>CASE-00745</x:v>
      </x:c>
      <x:c r="B750" s="14" t="str">
        <x:v>Customer Services</x:v>
      </x:c>
      <x:c r="C750" s="14" t="str">
        <x:v>Process deviation</x:v>
      </x:c>
      <x:c r="D750" s="14" t="str">
        <x:v>Medium</x:v>
      </x:c>
      <x:c r="E750" s="15" t="n">
        <x:v>46220.5</x:v>
      </x:c>
      <x:c r="F750" s="15" t="n">
        <x:v>46227.5</x:v>
      </x:c>
      <x:c r="G750" s="15" t="n">
        <x:v>46225.583333333336</x:v>
      </x:c>
      <x:c r="H750" s="14" t="n">
        <x:v>1</x:v>
      </x:c>
      <x:c r="I750" s="1" t="n">
        <x:f>IF(AND(E750&lt;Reporting!$B$4,OR(G750="",G750&gt;=Reporting!$B$4)),1,0)</x:f>
        <x:v>0</x:v>
      </x:c>
      <x:c r="J750" s="1" t="n">
        <x:f>IF(AND(I750=1,F750&lt;Reporting!$B$4),1,0)</x:f>
        <x:v>0</x:v>
      </x:c>
      <x:c r="K750" s="1" t="n">
        <x:f>IF(F750&lt;Reporting!$B$4,1,0)</x:f>
        <x:v>1</x:v>
      </x:c>
      <x:c r="L750" s="1" t="n">
        <x:f>IF(AND(K750=1,G750&lt;&gt;"",G750&lt;=F750),1,0)</x:f>
        <x:v>1</x:v>
      </x:c>
      <x:c r="M750" s="1" t="n">
        <x:f>IF(AND(G750&lt;&gt;"",G750&lt;Reporting!$B$4),1,0)</x:f>
        <x:v>1</x:v>
      </x:c>
      <x:c r="N750" s="16" t="n">
        <x:f>IF(M750=1,G750-E750,"")</x:f>
        <x:v>5.083333333335759</x:v>
      </x:c>
      <x:c r="O750" s="1" t="str">
        <x:f>IF(E750&gt;=Reporting!$B$4,"Outside cutoff",IF(M750=1,"Closed",IF(J750=1,"Overdue","Open - within SLA")))</x:f>
        <x:v>Closed</x:v>
      </x:c>
    </x:row>
    <x:row r="751">
      <x:c r="A751" s="14" t="str">
        <x:v>CASE-00746</x:v>
      </x:c>
      <x:c r="B751" s="14" t="str">
        <x:v>Customer Services</x:v>
      </x:c>
      <x:c r="C751" s="14" t="str">
        <x:v>Missing evidence</x:v>
      </x:c>
      <x:c r="D751" s="14" t="str">
        <x:v>Low</x:v>
      </x:c>
      <x:c r="E751" s="15" t="n">
        <x:v>46255.625</x:v>
      </x:c>
      <x:c r="F751" s="15" t="n">
        <x:v>46269.625</x:v>
      </x:c>
      <x:c r="G751" s="15" t="n">
        <x:v>46265.708333333336</x:v>
      </x:c>
      <x:c r="H751" s="14" t="n">
        <x:v>1</x:v>
      </x:c>
      <x:c r="I751" s="1" t="n">
        <x:f>IF(AND(E751&lt;Reporting!$B$4,OR(G751="",G751&gt;=Reporting!$B$4)),1,0)</x:f>
        <x:v>0</x:v>
      </x:c>
      <x:c r="J751" s="1" t="n">
        <x:f>IF(AND(I751=1,F751&lt;Reporting!$B$4),1,0)</x:f>
        <x:v>0</x:v>
      </x:c>
      <x:c r="K751" s="1" t="n">
        <x:f>IF(F751&lt;Reporting!$B$4,1,0)</x:f>
        <x:v>1</x:v>
      </x:c>
      <x:c r="L751" s="1" t="n">
        <x:f>IF(AND(K751=1,G751&lt;&gt;"",G751&lt;=F751),1,0)</x:f>
        <x:v>1</x:v>
      </x:c>
      <x:c r="M751" s="1" t="n">
        <x:f>IF(AND(G751&lt;&gt;"",G751&lt;Reporting!$B$4),1,0)</x:f>
        <x:v>1</x:v>
      </x:c>
      <x:c r="N751" s="16" t="n">
        <x:f>IF(M751=1,G751-E751,"")</x:f>
        <x:v>10.083333333335759</x:v>
      </x:c>
      <x:c r="O751" s="1" t="str">
        <x:f>IF(E751&gt;=Reporting!$B$4,"Outside cutoff",IF(M751=1,"Closed",IF(J751=1,"Overdue","Open - within SLA")))</x:f>
        <x:v>Closed</x:v>
      </x:c>
    </x:row>
    <x:row r="752">
      <x:c r="A752" s="14" t="str">
        <x:v>CASE-00747</x:v>
      </x:c>
      <x:c r="B752" s="14" t="str">
        <x:v>Warehouse</x:v>
      </x:c>
      <x:c r="C752" s="14" t="str">
        <x:v>Missing evidence</x:v>
      </x:c>
      <x:c r="D752" s="14" t="str">
        <x:v>Medium</x:v>
      </x:c>
      <x:c r="E752" s="15" t="n">
        <x:v>46222.541666666664</x:v>
      </x:c>
      <x:c r="F752" s="15" t="n">
        <x:v>46229.541666666664</x:v>
      </x:c>
      <x:c r="G752" s="15" t="n">
        <x:v>46223.625</x:v>
      </x:c>
      <x:c r="H752" s="14" t="n">
        <x:v>2</x:v>
      </x:c>
      <x:c r="I752" s="1" t="n">
        <x:f>IF(AND(E752&lt;Reporting!$B$4,OR(G752="",G752&gt;=Reporting!$B$4)),1,0)</x:f>
        <x:v>0</x:v>
      </x:c>
      <x:c r="J752" s="1" t="n">
        <x:f>IF(AND(I752=1,F752&lt;Reporting!$B$4),1,0)</x:f>
        <x:v>0</x:v>
      </x:c>
      <x:c r="K752" s="1" t="n">
        <x:f>IF(F752&lt;Reporting!$B$4,1,0)</x:f>
        <x:v>1</x:v>
      </x:c>
      <x:c r="L752" s="1" t="n">
        <x:f>IF(AND(K752=1,G752&lt;&gt;"",G752&lt;=F752),1,0)</x:f>
        <x:v>1</x:v>
      </x:c>
      <x:c r="M752" s="1" t="n">
        <x:f>IF(AND(G752&lt;&gt;"",G752&lt;Reporting!$B$4),1,0)</x:f>
        <x:v>1</x:v>
      </x:c>
      <x:c r="N752" s="16" t="n">
        <x:f>IF(M752=1,G752-E752,"")</x:f>
        <x:v>1.0833333333357587</x:v>
      </x:c>
      <x:c r="O752" s="1" t="str">
        <x:f>IF(E752&gt;=Reporting!$B$4,"Outside cutoff",IF(M752=1,"Closed",IF(J752=1,"Overdue","Open - within SLA")))</x:f>
        <x:v>Closed</x:v>
      </x:c>
    </x:row>
    <x:row r="753">
      <x:c r="A753" s="14" t="str">
        <x:v>CASE-00748</x:v>
      </x:c>
      <x:c r="B753" s="14" t="str">
        <x:v>Installation</x:v>
      </x:c>
      <x:c r="C753" s="14" t="str">
        <x:v>Late review</x:v>
      </x:c>
      <x:c r="D753" s="14" t="str">
        <x:v>Low</x:v>
      </x:c>
      <x:c r="E753" s="15" t="n">
        <x:v>46251.583333333336</x:v>
      </x:c>
      <x:c r="F753" s="15" t="n">
        <x:v>46265.583333333336</x:v>
      </x:c>
      <x:c r="G753" s="15" t="n">
        <x:v>46257.625</x:v>
      </x:c>
      <x:c r="H753" s="14" t="n">
        <x:v>3</x:v>
      </x:c>
      <x:c r="I753" s="1" t="n">
        <x:f>IF(AND(E753&lt;Reporting!$B$4,OR(G753="",G753&gt;=Reporting!$B$4)),1,0)</x:f>
        <x:v>0</x:v>
      </x:c>
      <x:c r="J753" s="1" t="n">
        <x:f>IF(AND(I753=1,F753&lt;Reporting!$B$4),1,0)</x:f>
        <x:v>0</x:v>
      </x:c>
      <x:c r="K753" s="1" t="n">
        <x:f>IF(F753&lt;Reporting!$B$4,1,0)</x:f>
        <x:v>1</x:v>
      </x:c>
      <x:c r="L753" s="1" t="n">
        <x:f>IF(AND(K753=1,G753&lt;&gt;"",G753&lt;=F753),1,0)</x:f>
        <x:v>1</x:v>
      </x:c>
      <x:c r="M753" s="1" t="n">
        <x:f>IF(AND(G753&lt;&gt;"",G753&lt;Reporting!$B$4),1,0)</x:f>
        <x:v>1</x:v>
      </x:c>
      <x:c r="N753" s="16" t="n">
        <x:f>IF(M753=1,G753-E753,"")</x:f>
        <x:v>6.041666666664241</x:v>
      </x:c>
      <x:c r="O753" s="1" t="str">
        <x:f>IF(E753&gt;=Reporting!$B$4,"Outside cutoff",IF(M753=1,"Closed",IF(J753=1,"Overdue","Open - within SLA")))</x:f>
        <x:v>Closed</x:v>
      </x:c>
    </x:row>
    <x:row r="754">
      <x:c r="A754" s="14" t="str">
        <x:v>CASE-00749</x:v>
      </x:c>
      <x:c r="B754" s="14" t="str">
        <x:v>Customer Services</x:v>
      </x:c>
      <x:c r="C754" s="14" t="str">
        <x:v>Record mismatch</x:v>
      </x:c>
      <x:c r="D754" s="14" t="str">
        <x:v>Medium</x:v>
      </x:c>
      <x:c r="E754" s="15" t="n">
        <x:v>46237.5</x:v>
      </x:c>
      <x:c r="F754" s="15" t="n">
        <x:v>46244.5</x:v>
      </x:c>
      <x:c r="G754" s="15" t="n">
        <x:v>46244.5</x:v>
      </x:c>
      <x:c r="H754" s="14" t="n">
        <x:v>1</x:v>
      </x:c>
      <x:c r="I754" s="1" t="n">
        <x:f>IF(AND(E754&lt;Reporting!$B$4,OR(G754="",G754&gt;=Reporting!$B$4)),1,0)</x:f>
        <x:v>0</x:v>
      </x:c>
      <x:c r="J754" s="1" t="n">
        <x:f>IF(AND(I754=1,F754&lt;Reporting!$B$4),1,0)</x:f>
        <x:v>0</x:v>
      </x:c>
      <x:c r="K754" s="1" t="n">
        <x:f>IF(F754&lt;Reporting!$B$4,1,0)</x:f>
        <x:v>1</x:v>
      </x:c>
      <x:c r="L754" s="1" t="n">
        <x:f>IF(AND(K754=1,G754&lt;&gt;"",G754&lt;=F754),1,0)</x:f>
        <x:v>1</x:v>
      </x:c>
      <x:c r="M754" s="1" t="n">
        <x:f>IF(AND(G754&lt;&gt;"",G754&lt;Reporting!$B$4),1,0)</x:f>
        <x:v>1</x:v>
      </x:c>
      <x:c r="N754" s="16" t="n">
        <x:f>IF(M754=1,G754-E754,"")</x:f>
        <x:v>7</x:v>
      </x:c>
      <x:c r="O754" s="1" t="str">
        <x:f>IF(E754&gt;=Reporting!$B$4,"Outside cutoff",IF(M754=1,"Closed",IF(J754=1,"Overdue","Open - within SLA")))</x:f>
        <x:v>Closed</x:v>
      </x:c>
    </x:row>
    <x:row r="755">
      <x:c r="A755" s="14" t="str">
        <x:v>CASE-00750</x:v>
      </x:c>
      <x:c r="B755" s="14" t="str">
        <x:v>Customer Services</x:v>
      </x:c>
      <x:c r="C755" s="14" t="str">
        <x:v>Late review</x:v>
      </x:c>
      <x:c r="D755" s="14" t="str">
        <x:v>Low</x:v>
      </x:c>
      <x:c r="E755" s="15" t="n">
        <x:v>46206.375</x:v>
      </x:c>
      <x:c r="F755" s="15" t="n">
        <x:v>46220.375</x:v>
      </x:c>
      <x:c r="G755" s="15" t="n">
        <x:v>46216.458333333336</x:v>
      </x:c>
      <x:c r="H755" s="14" t="n">
        <x:v>1</x:v>
      </x:c>
      <x:c r="I755" s="1" t="n">
        <x:f>IF(AND(E755&lt;Reporting!$B$4,OR(G755="",G755&gt;=Reporting!$B$4)),1,0)</x:f>
        <x:v>0</x:v>
      </x:c>
      <x:c r="J755" s="1" t="n">
        <x:f>IF(AND(I755=1,F755&lt;Reporting!$B$4),1,0)</x:f>
        <x:v>0</x:v>
      </x:c>
      <x:c r="K755" s="1" t="n">
        <x:f>IF(F755&lt;Reporting!$B$4,1,0)</x:f>
        <x:v>1</x:v>
      </x:c>
      <x:c r="L755" s="1" t="n">
        <x:f>IF(AND(K755=1,G755&lt;&gt;"",G755&lt;=F755),1,0)</x:f>
        <x:v>1</x:v>
      </x:c>
      <x:c r="M755" s="1" t="n">
        <x:f>IF(AND(G755&lt;&gt;"",G755&lt;Reporting!$B$4),1,0)</x:f>
        <x:v>1</x:v>
      </x:c>
      <x:c r="N755" s="16" t="n">
        <x:f>IF(M755=1,G755-E755,"")</x:f>
        <x:v>10.083333333335759</x:v>
      </x:c>
      <x:c r="O755" s="1" t="str">
        <x:f>IF(E755&gt;=Reporting!$B$4,"Outside cutoff",IF(M755=1,"Closed",IF(J755=1,"Overdue","Open - within SLA")))</x:f>
        <x:v>Closed</x:v>
      </x:c>
    </x:row>
    <x:row r="756">
      <x:c r="A756" s="14" t="str">
        <x:v>CASE-00751</x:v>
      </x:c>
      <x:c r="B756" s="14" t="str">
        <x:v>Installation</x:v>
      </x:c>
      <x:c r="C756" s="14" t="str">
        <x:v>Late review</x:v>
      </x:c>
      <x:c r="D756" s="14" t="str">
        <x:v>Medium</x:v>
      </x:c>
      <x:c r="E756" s="15" t="n">
        <x:v>46279.625</x:v>
      </x:c>
      <x:c r="F756" s="15" t="n">
        <x:v>46286.625</x:v>
      </x:c>
      <x:c r="G756" s="15" t="n">
        <x:v>46283.666666666664</x:v>
      </x:c>
      <x:c r="H756" s="14" t="n">
        <x:v>3</x:v>
      </x:c>
      <x:c r="I756" s="1" t="n">
        <x:f>IF(AND(E756&lt;Reporting!$B$4,OR(G756="",G756&gt;=Reporting!$B$4)),1,0)</x:f>
        <x:v>0</x:v>
      </x:c>
      <x:c r="J756" s="1" t="n">
        <x:f>IF(AND(I756=1,F756&lt;Reporting!$B$4),1,0)</x:f>
        <x:v>0</x:v>
      </x:c>
      <x:c r="K756" s="1" t="n">
        <x:f>IF(F756&lt;Reporting!$B$4,1,0)</x:f>
        <x:v>0</x:v>
      </x:c>
      <x:c r="L756" s="1" t="n">
        <x:f>IF(AND(K756=1,G756&lt;&gt;"",G756&lt;=F756),1,0)</x:f>
        <x:v>0</x:v>
      </x:c>
      <x:c r="M756" s="1" t="n">
        <x:f>IF(AND(G756&lt;&gt;"",G756&lt;Reporting!$B$4),1,0)</x:f>
        <x:v>1</x:v>
      </x:c>
      <x:c r="N756" s="16" t="n">
        <x:f>IF(M756=1,G756-E756,"")</x:f>
        <x:v>4.041666666664241</x:v>
      </x:c>
      <x:c r="O756" s="1" t="str">
        <x:f>IF(E756&gt;=Reporting!$B$4,"Outside cutoff",IF(M756=1,"Closed",IF(J756=1,"Overdue","Open - within SLA")))</x:f>
        <x:v>Closed</x:v>
      </x:c>
    </x:row>
    <x:row r="757">
      <x:c r="A757" s="14" t="str">
        <x:v>CASE-00752</x:v>
      </x:c>
      <x:c r="B757" s="14" t="str">
        <x:v>Installation</x:v>
      </x:c>
      <x:c r="C757" s="14" t="str">
        <x:v>Process deviation</x:v>
      </x:c>
      <x:c r="D757" s="14" t="str">
        <x:v>Low</x:v>
      </x:c>
      <x:c r="E757" s="15" t="n">
        <x:v>46280.583333333336</x:v>
      </x:c>
      <x:c r="F757" s="15" t="n">
        <x:v>46294.583333333336</x:v>
      </x:c>
      <x:c r="G757" s="15"/>
      <x:c r="H757" s="14" t="n">
        <x:v>3</x:v>
      </x:c>
      <x:c r="I757" s="1" t="n">
        <x:f>IF(AND(E757&lt;Reporting!$B$4,OR(G757="",G757&gt;=Reporting!$B$4)),1,0)</x:f>
        <x:v>1</x:v>
      </x:c>
      <x:c r="J757" s="1" t="n">
        <x:f>IF(AND(I757=1,F757&lt;Reporting!$B$4),1,0)</x:f>
        <x:v>0</x:v>
      </x:c>
      <x:c r="K757" s="1" t="n">
        <x:f>IF(F757&lt;Reporting!$B$4,1,0)</x:f>
        <x:v>0</x:v>
      </x:c>
      <x:c r="L757" s="1" t="n">
        <x:f>IF(AND(K757=1,G757&lt;&gt;"",G757&lt;=F757),1,0)</x:f>
        <x:v>0</x:v>
      </x:c>
      <x:c r="M757" s="1" t="n">
        <x:f>IF(AND(G757&lt;&gt;"",G757&lt;Reporting!$B$4),1,0)</x:f>
        <x:v>0</x:v>
      </x:c>
      <x:c r="N757" s="16" t="str">
        <x:f>IF(M757=1,G757-E757,"")</x:f>
      </x:c>
      <x:c r="O757" s="1" t="str">
        <x:f>IF(E757&gt;=Reporting!$B$4,"Outside cutoff",IF(M757=1,"Closed",IF(J757=1,"Overdue","Open - within SLA")))</x:f>
        <x:v>Open - within SLA</x:v>
      </x:c>
    </x:row>
    <x:row r="758">
      <x:c r="A758" s="14" t="str">
        <x:v>CASE-00753</x:v>
      </x:c>
      <x:c r="B758" s="14" t="str">
        <x:v>Warehouse</x:v>
      </x:c>
      <x:c r="C758" s="14" t="str">
        <x:v>Record mismatch</x:v>
      </x:c>
      <x:c r="D758" s="14" t="str">
        <x:v>Medium</x:v>
      </x:c>
      <x:c r="E758" s="15" t="n">
        <x:v>46270.666666666664</x:v>
      </x:c>
      <x:c r="F758" s="15" t="n">
        <x:v>46277.666666666664</x:v>
      </x:c>
      <x:c r="G758" s="15"/>
      <x:c r="H758" s="14" t="n">
        <x:v>2</x:v>
      </x:c>
      <x:c r="I758" s="1" t="n">
        <x:f>IF(AND(E758&lt;Reporting!$B$4,OR(G758="",G758&gt;=Reporting!$B$4)),1,0)</x:f>
        <x:v>1</x:v>
      </x:c>
      <x:c r="J758" s="1" t="n">
        <x:f>IF(AND(I758=1,F758&lt;Reporting!$B$4),1,0)</x:f>
        <x:v>1</x:v>
      </x:c>
      <x:c r="K758" s="1" t="n">
        <x:f>IF(F758&lt;Reporting!$B$4,1,0)</x:f>
        <x:v>1</x:v>
      </x:c>
      <x:c r="L758" s="1" t="n">
        <x:f>IF(AND(K758=1,G758&lt;&gt;"",G758&lt;=F758),1,0)</x:f>
        <x:v>0</x:v>
      </x:c>
      <x:c r="M758" s="1" t="n">
        <x:f>IF(AND(G758&lt;&gt;"",G758&lt;Reporting!$B$4),1,0)</x:f>
        <x:v>0</x:v>
      </x:c>
      <x:c r="N758" s="16" t="str">
        <x:f>IF(M758=1,G758-E758,"")</x:f>
      </x:c>
      <x:c r="O758" s="1" t="str">
        <x:f>IF(E758&gt;=Reporting!$B$4,"Outside cutoff",IF(M758=1,"Closed",IF(J758=1,"Overdue","Open - within SLA")))</x:f>
        <x:v>Overdue</x:v>
      </x:c>
    </x:row>
    <x:row r="759">
      <x:c r="A759" s="14" t="str">
        <x:v>CASE-00754</x:v>
      </x:c>
      <x:c r="B759" s="14" t="str">
        <x:v>Customer Services</x:v>
      </x:c>
      <x:c r="C759" s="14" t="str">
        <x:v>Record mismatch</x:v>
      </x:c>
      <x:c r="D759" s="14" t="str">
        <x:v>Medium</x:v>
      </x:c>
      <x:c r="E759" s="15" t="n">
        <x:v>46206.458333333336</x:v>
      </x:c>
      <x:c r="F759" s="15" t="n">
        <x:v>46213.458333333336</x:v>
      </x:c>
      <x:c r="G759" s="15" t="n">
        <x:v>46221.541666666664</x:v>
      </x:c>
      <x:c r="H759" s="14" t="n">
        <x:v>1</x:v>
      </x:c>
      <x:c r="I759" s="1" t="n">
        <x:f>IF(AND(E759&lt;Reporting!$B$4,OR(G759="",G759&gt;=Reporting!$B$4)),1,0)</x:f>
        <x:v>0</x:v>
      </x:c>
      <x:c r="J759" s="1" t="n">
        <x:f>IF(AND(I759=1,F759&lt;Reporting!$B$4),1,0)</x:f>
        <x:v>0</x:v>
      </x:c>
      <x:c r="K759" s="1" t="n">
        <x:f>IF(F759&lt;Reporting!$B$4,1,0)</x:f>
        <x:v>1</x:v>
      </x:c>
      <x:c r="L759" s="1" t="n">
        <x:f>IF(AND(K759=1,G759&lt;&gt;"",G759&lt;=F759),1,0)</x:f>
        <x:v>0</x:v>
      </x:c>
      <x:c r="M759" s="1" t="n">
        <x:f>IF(AND(G759&lt;&gt;"",G759&lt;Reporting!$B$4),1,0)</x:f>
        <x:v>1</x:v>
      </x:c>
      <x:c r="N759" s="16" t="n">
        <x:f>IF(M759=1,G759-E759,"")</x:f>
        <x:v>15.083333333328483</x:v>
      </x:c>
      <x:c r="O759" s="1" t="str">
        <x:f>IF(E759&gt;=Reporting!$B$4,"Outside cutoff",IF(M759=1,"Closed",IF(J759=1,"Overdue","Open - within SLA")))</x:f>
        <x:v>Closed</x:v>
      </x:c>
    </x:row>
    <x:row r="760">
      <x:c r="A760" s="14" t="str">
        <x:v>CASE-00755</x:v>
      </x:c>
      <x:c r="B760" s="14" t="str">
        <x:v>Customer Services</x:v>
      </x:c>
      <x:c r="C760" s="14" t="str">
        <x:v>Missing evidence</x:v>
      </x:c>
      <x:c r="D760" s="14" t="str">
        <x:v>Medium</x:v>
      </x:c>
      <x:c r="E760" s="15" t="n">
        <x:v>46207.5</x:v>
      </x:c>
      <x:c r="F760" s="15" t="n">
        <x:v>46214.5</x:v>
      </x:c>
      <x:c r="G760" s="15" t="n">
        <x:v>46223.541666666664</x:v>
      </x:c>
      <x:c r="H760" s="14" t="n">
        <x:v>1</x:v>
      </x:c>
      <x:c r="I760" s="1" t="n">
        <x:f>IF(AND(E760&lt;Reporting!$B$4,OR(G760="",G760&gt;=Reporting!$B$4)),1,0)</x:f>
        <x:v>0</x:v>
      </x:c>
      <x:c r="J760" s="1" t="n">
        <x:f>IF(AND(I760=1,F760&lt;Reporting!$B$4),1,0)</x:f>
        <x:v>0</x:v>
      </x:c>
      <x:c r="K760" s="1" t="n">
        <x:f>IF(F760&lt;Reporting!$B$4,1,0)</x:f>
        <x:v>1</x:v>
      </x:c>
      <x:c r="L760" s="1" t="n">
        <x:f>IF(AND(K760=1,G760&lt;&gt;"",G760&lt;=F760),1,0)</x:f>
        <x:v>0</x:v>
      </x:c>
      <x:c r="M760" s="1" t="n">
        <x:f>IF(AND(G760&lt;&gt;"",G760&lt;Reporting!$B$4),1,0)</x:f>
        <x:v>1</x:v>
      </x:c>
      <x:c r="N760" s="16" t="n">
        <x:f>IF(M760=1,G760-E760,"")</x:f>
        <x:v>16.04166666666424</x:v>
      </x:c>
      <x:c r="O760" s="1" t="str">
        <x:f>IF(E760&gt;=Reporting!$B$4,"Outside cutoff",IF(M760=1,"Closed",IF(J760=1,"Overdue","Open - within SLA")))</x:f>
        <x:v>Closed</x:v>
      </x:c>
    </x:row>
    <x:row r="761">
      <x:c r="A761" s="14" t="str">
        <x:v>CASE-00756</x:v>
      </x:c>
      <x:c r="B761" s="14" t="str">
        <x:v>Customer Services</x:v>
      </x:c>
      <x:c r="C761" s="14" t="str">
        <x:v>Process deviation</x:v>
      </x:c>
      <x:c r="D761" s="14" t="str">
        <x:v>High</x:v>
      </x:c>
      <x:c r="E761" s="15" t="n">
        <x:v>46219.458333333336</x:v>
      </x:c>
      <x:c r="F761" s="15" t="n">
        <x:v>46222.458333333336</x:v>
      </x:c>
      <x:c r="G761" s="15"/>
      <x:c r="H761" s="14" t="n">
        <x:v>1</x:v>
      </x:c>
      <x:c r="I761" s="1" t="n">
        <x:f>IF(AND(E761&lt;Reporting!$B$4,OR(G761="",G761&gt;=Reporting!$B$4)),1,0)</x:f>
        <x:v>1</x:v>
      </x:c>
      <x:c r="J761" s="1" t="n">
        <x:f>IF(AND(I761=1,F761&lt;Reporting!$B$4),1,0)</x:f>
        <x:v>1</x:v>
      </x:c>
      <x:c r="K761" s="1" t="n">
        <x:f>IF(F761&lt;Reporting!$B$4,1,0)</x:f>
        <x:v>1</x:v>
      </x:c>
      <x:c r="L761" s="1" t="n">
        <x:f>IF(AND(K761=1,G761&lt;&gt;"",G761&lt;=F761),1,0)</x:f>
        <x:v>0</x:v>
      </x:c>
      <x:c r="M761" s="1" t="n">
        <x:f>IF(AND(G761&lt;&gt;"",G761&lt;Reporting!$B$4),1,0)</x:f>
        <x:v>0</x:v>
      </x:c>
      <x:c r="N761" s="16" t="str">
        <x:f>IF(M761=1,G761-E761,"")</x:f>
      </x:c>
      <x:c r="O761" s="1" t="str">
        <x:f>IF(E761&gt;=Reporting!$B$4,"Outside cutoff",IF(M761=1,"Closed",IF(J761=1,"Overdue","Open - within SLA")))</x:f>
        <x:v>Overdue</x:v>
      </x:c>
    </x:row>
    <x:row r="762">
      <x:c r="A762" s="14" t="str">
        <x:v>CASE-00757</x:v>
      </x:c>
      <x:c r="B762" s="14" t="str">
        <x:v>Customer Services</x:v>
      </x:c>
      <x:c r="C762" s="14" t="str">
        <x:v>Late review</x:v>
      </x:c>
      <x:c r="D762" s="14" t="str">
        <x:v>Medium</x:v>
      </x:c>
      <x:c r="E762" s="15" t="n">
        <x:v>46226.5</x:v>
      </x:c>
      <x:c r="F762" s="15" t="n">
        <x:v>46233.5</x:v>
      </x:c>
      <x:c r="G762" s="15" t="n">
        <x:v>46242.5</x:v>
      </x:c>
      <x:c r="H762" s="14" t="n">
        <x:v>1</x:v>
      </x:c>
      <x:c r="I762" s="1" t="n">
        <x:f>IF(AND(E762&lt;Reporting!$B$4,OR(G762="",G762&gt;=Reporting!$B$4)),1,0)</x:f>
        <x:v>0</x:v>
      </x:c>
      <x:c r="J762" s="1" t="n">
        <x:f>IF(AND(I762=1,F762&lt;Reporting!$B$4),1,0)</x:f>
        <x:v>0</x:v>
      </x:c>
      <x:c r="K762" s="1" t="n">
        <x:f>IF(F762&lt;Reporting!$B$4,1,0)</x:f>
        <x:v>1</x:v>
      </x:c>
      <x:c r="L762" s="1" t="n">
        <x:f>IF(AND(K762=1,G762&lt;&gt;"",G762&lt;=F762),1,0)</x:f>
        <x:v>0</x:v>
      </x:c>
      <x:c r="M762" s="1" t="n">
        <x:f>IF(AND(G762&lt;&gt;"",G762&lt;Reporting!$B$4),1,0)</x:f>
        <x:v>1</x:v>
      </x:c>
      <x:c r="N762" s="16" t="n">
        <x:f>IF(M762=1,G762-E762,"")</x:f>
        <x:v>16</x:v>
      </x:c>
      <x:c r="O762" s="1" t="str">
        <x:f>IF(E762&gt;=Reporting!$B$4,"Outside cutoff",IF(M762=1,"Closed",IF(J762=1,"Overdue","Open - within SLA")))</x:f>
        <x:v>Closed</x:v>
      </x:c>
    </x:row>
    <x:row r="763">
      <x:c r="A763" s="14" t="str">
        <x:v>CASE-00758</x:v>
      </x:c>
      <x:c r="B763" s="14" t="str">
        <x:v>Warehouse</x:v>
      </x:c>
      <x:c r="C763" s="14" t="str">
        <x:v>Process deviation</x:v>
      </x:c>
      <x:c r="D763" s="14" t="str">
        <x:v>Medium</x:v>
      </x:c>
      <x:c r="E763" s="15" t="n">
        <x:v>46269.333333333336</x:v>
      </x:c>
      <x:c r="F763" s="15" t="n">
        <x:v>46276.333333333336</x:v>
      </x:c>
      <x:c r="G763" s="15"/>
      <x:c r="H763" s="14" t="n">
        <x:v>2</x:v>
      </x:c>
      <x:c r="I763" s="1" t="n">
        <x:f>IF(AND(E763&lt;Reporting!$B$4,OR(G763="",G763&gt;=Reporting!$B$4)),1,0)</x:f>
        <x:v>1</x:v>
      </x:c>
      <x:c r="J763" s="1" t="n">
        <x:f>IF(AND(I763=1,F763&lt;Reporting!$B$4),1,0)</x:f>
        <x:v>1</x:v>
      </x:c>
      <x:c r="K763" s="1" t="n">
        <x:f>IF(F763&lt;Reporting!$B$4,1,0)</x:f>
        <x:v>1</x:v>
      </x:c>
      <x:c r="L763" s="1" t="n">
        <x:f>IF(AND(K763=1,G763&lt;&gt;"",G763&lt;=F763),1,0)</x:f>
        <x:v>0</x:v>
      </x:c>
      <x:c r="M763" s="1" t="n">
        <x:f>IF(AND(G763&lt;&gt;"",G763&lt;Reporting!$B$4),1,0)</x:f>
        <x:v>0</x:v>
      </x:c>
      <x:c r="N763" s="16" t="str">
        <x:f>IF(M763=1,G763-E763,"")</x:f>
      </x:c>
      <x:c r="O763" s="1" t="str">
        <x:f>IF(E763&gt;=Reporting!$B$4,"Outside cutoff",IF(M763=1,"Closed",IF(J763=1,"Overdue","Open - within SLA")))</x:f>
        <x:v>Overdue</x:v>
      </x:c>
    </x:row>
    <x:row r="764">
      <x:c r="A764" s="14" t="str">
        <x:v>CASE-00759</x:v>
      </x:c>
      <x:c r="B764" s="14" t="str">
        <x:v>Warehouse</x:v>
      </x:c>
      <x:c r="C764" s="14" t="str">
        <x:v>Missing evidence</x:v>
      </x:c>
      <x:c r="D764" s="14" t="str">
        <x:v>Medium</x:v>
      </x:c>
      <x:c r="E764" s="15" t="n">
        <x:v>46205.416666666664</x:v>
      </x:c>
      <x:c r="F764" s="15" t="n">
        <x:v>46212.416666666664</x:v>
      </x:c>
      <x:c r="G764" s="15" t="n">
        <x:v>46209.5</x:v>
      </x:c>
      <x:c r="H764" s="14" t="n">
        <x:v>2</x:v>
      </x:c>
      <x:c r="I764" s="1" t="n">
        <x:f>IF(AND(E764&lt;Reporting!$B$4,OR(G764="",G764&gt;=Reporting!$B$4)),1,0)</x:f>
        <x:v>0</x:v>
      </x:c>
      <x:c r="J764" s="1" t="n">
        <x:f>IF(AND(I764=1,F764&lt;Reporting!$B$4),1,0)</x:f>
        <x:v>0</x:v>
      </x:c>
      <x:c r="K764" s="1" t="n">
        <x:f>IF(F764&lt;Reporting!$B$4,1,0)</x:f>
        <x:v>1</x:v>
      </x:c>
      <x:c r="L764" s="1" t="n">
        <x:f>IF(AND(K764=1,G764&lt;&gt;"",G764&lt;=F764),1,0)</x:f>
        <x:v>1</x:v>
      </x:c>
      <x:c r="M764" s="1" t="n">
        <x:f>IF(AND(G764&lt;&gt;"",G764&lt;Reporting!$B$4),1,0)</x:f>
        <x:v>1</x:v>
      </x:c>
      <x:c r="N764" s="16" t="n">
        <x:f>IF(M764=1,G764-E764,"")</x:f>
        <x:v>4.083333333335759</x:v>
      </x:c>
      <x:c r="O764" s="1" t="str">
        <x:f>IF(E764&gt;=Reporting!$B$4,"Outside cutoff",IF(M764=1,"Closed",IF(J764=1,"Overdue","Open - within SLA")))</x:f>
        <x:v>Closed</x:v>
      </x:c>
    </x:row>
    <x:row r="765">
      <x:c r="A765" s="14" t="str">
        <x:v>CASE-00760</x:v>
      </x:c>
      <x:c r="B765" s="14" t="str">
        <x:v>Installation</x:v>
      </x:c>
      <x:c r="C765" s="14" t="str">
        <x:v>Late review</x:v>
      </x:c>
      <x:c r="D765" s="14" t="str">
        <x:v>High</x:v>
      </x:c>
      <x:c r="E765" s="15" t="n">
        <x:v>46238.625</x:v>
      </x:c>
      <x:c r="F765" s="15" t="n">
        <x:v>46241.625</x:v>
      </x:c>
      <x:c r="G765" s="15"/>
      <x:c r="H765" s="14" t="n">
        <x:v>3</x:v>
      </x:c>
      <x:c r="I765" s="1" t="n">
        <x:f>IF(AND(E765&lt;Reporting!$B$4,OR(G765="",G765&gt;=Reporting!$B$4)),1,0)</x:f>
        <x:v>1</x:v>
      </x:c>
      <x:c r="J765" s="1" t="n">
        <x:f>IF(AND(I765=1,F765&lt;Reporting!$B$4),1,0)</x:f>
        <x:v>1</x:v>
      </x:c>
      <x:c r="K765" s="1" t="n">
        <x:f>IF(F765&lt;Reporting!$B$4,1,0)</x:f>
        <x:v>1</x:v>
      </x:c>
      <x:c r="L765" s="1" t="n">
        <x:f>IF(AND(K765=1,G765&lt;&gt;"",G765&lt;=F765),1,0)</x:f>
        <x:v>0</x:v>
      </x:c>
      <x:c r="M765" s="1" t="n">
        <x:f>IF(AND(G765&lt;&gt;"",G765&lt;Reporting!$B$4),1,0)</x:f>
        <x:v>0</x:v>
      </x:c>
      <x:c r="N765" s="16" t="str">
        <x:f>IF(M765=1,G765-E765,"")</x:f>
      </x:c>
      <x:c r="O765" s="1" t="str">
        <x:f>IF(E765&gt;=Reporting!$B$4,"Outside cutoff",IF(M765=1,"Closed",IF(J765=1,"Overdue","Open - within SLA")))</x:f>
        <x:v>Overdue</x:v>
      </x:c>
    </x:row>
    <x:row r="766">
      <x:c r="A766" s="14" t="str">
        <x:v>CASE-00761</x:v>
      </x:c>
      <x:c r="B766" s="14" t="str">
        <x:v>Installation</x:v>
      </x:c>
      <x:c r="C766" s="14" t="str">
        <x:v>Process deviation</x:v>
      </x:c>
      <x:c r="D766" s="14" t="str">
        <x:v>Low</x:v>
      </x:c>
      <x:c r="E766" s="15" t="n">
        <x:v>46263.458333333336</x:v>
      </x:c>
      <x:c r="F766" s="15" t="n">
        <x:v>46277.458333333336</x:v>
      </x:c>
      <x:c r="G766" s="15" t="n">
        <x:v>46267.541666666664</x:v>
      </x:c>
      <x:c r="H766" s="14" t="n">
        <x:v>3</x:v>
      </x:c>
      <x:c r="I766" s="1" t="n">
        <x:f>IF(AND(E766&lt;Reporting!$B$4,OR(G766="",G766&gt;=Reporting!$B$4)),1,0)</x:f>
        <x:v>0</x:v>
      </x:c>
      <x:c r="J766" s="1" t="n">
        <x:f>IF(AND(I766=1,F766&lt;Reporting!$B$4),1,0)</x:f>
        <x:v>0</x:v>
      </x:c>
      <x:c r="K766" s="1" t="n">
        <x:f>IF(F766&lt;Reporting!$B$4,1,0)</x:f>
        <x:v>1</x:v>
      </x:c>
      <x:c r="L766" s="1" t="n">
        <x:f>IF(AND(K766=1,G766&lt;&gt;"",G766&lt;=F766),1,0)</x:f>
        <x:v>1</x:v>
      </x:c>
      <x:c r="M766" s="1" t="n">
        <x:f>IF(AND(G766&lt;&gt;"",G766&lt;Reporting!$B$4),1,0)</x:f>
        <x:v>1</x:v>
      </x:c>
      <x:c r="N766" s="16" t="n">
        <x:f>IF(M766=1,G766-E766,"")</x:f>
        <x:v>4.083333333328483</x:v>
      </x:c>
      <x:c r="O766" s="1" t="str">
        <x:f>IF(E766&gt;=Reporting!$B$4,"Outside cutoff",IF(M766=1,"Closed",IF(J766=1,"Overdue","Open - within SLA")))</x:f>
        <x:v>Closed</x:v>
      </x:c>
    </x:row>
    <x:row r="767">
      <x:c r="A767" s="14" t="str">
        <x:v>CASE-00762</x:v>
      </x:c>
      <x:c r="B767" s="14" t="str">
        <x:v>Customer Services</x:v>
      </x:c>
      <x:c r="C767" s="14" t="str">
        <x:v>Late review</x:v>
      </x:c>
      <x:c r="D767" s="14" t="str">
        <x:v>Medium</x:v>
      </x:c>
      <x:c r="E767" s="15" t="n">
        <x:v>46214.583333333336</x:v>
      </x:c>
      <x:c r="F767" s="15" t="n">
        <x:v>46221.583333333336</x:v>
      </x:c>
      <x:c r="G767" s="15" t="n">
        <x:v>46227.583333333336</x:v>
      </x:c>
      <x:c r="H767" s="14" t="n">
        <x:v>1</x:v>
      </x:c>
      <x:c r="I767" s="1" t="n">
        <x:f>IF(AND(E767&lt;Reporting!$B$4,OR(G767="",G767&gt;=Reporting!$B$4)),1,0)</x:f>
        <x:v>0</x:v>
      </x:c>
      <x:c r="J767" s="1" t="n">
        <x:f>IF(AND(I767=1,F767&lt;Reporting!$B$4),1,0)</x:f>
        <x:v>0</x:v>
      </x:c>
      <x:c r="K767" s="1" t="n">
        <x:f>IF(F767&lt;Reporting!$B$4,1,0)</x:f>
        <x:v>1</x:v>
      </x:c>
      <x:c r="L767" s="1" t="n">
        <x:f>IF(AND(K767=1,G767&lt;&gt;"",G767&lt;=F767),1,0)</x:f>
        <x:v>0</x:v>
      </x:c>
      <x:c r="M767" s="1" t="n">
        <x:f>IF(AND(G767&lt;&gt;"",G767&lt;Reporting!$B$4),1,0)</x:f>
        <x:v>1</x:v>
      </x:c>
      <x:c r="N767" s="16" t="n">
        <x:f>IF(M767=1,G767-E767,"")</x:f>
        <x:v>13</x:v>
      </x:c>
      <x:c r="O767" s="1" t="str">
        <x:f>IF(E767&gt;=Reporting!$B$4,"Outside cutoff",IF(M767=1,"Closed",IF(J767=1,"Overdue","Open - within SLA")))</x:f>
        <x:v>Closed</x:v>
      </x:c>
    </x:row>
    <x:row r="768">
      <x:c r="A768" s="14" t="str">
        <x:v>CASE-00763</x:v>
      </x:c>
      <x:c r="B768" s="14" t="str">
        <x:v>Customer Services</x:v>
      </x:c>
      <x:c r="C768" s="14" t="str">
        <x:v>Record mismatch</x:v>
      </x:c>
      <x:c r="D768" s="14" t="str">
        <x:v>Low</x:v>
      </x:c>
      <x:c r="E768" s="15" t="n">
        <x:v>46259.583333333336</x:v>
      </x:c>
      <x:c r="F768" s="15" t="n">
        <x:v>46273.583333333336</x:v>
      </x:c>
      <x:c r="G768" s="15" t="n">
        <x:v>46267.625</x:v>
      </x:c>
      <x:c r="H768" s="14" t="n">
        <x:v>1</x:v>
      </x:c>
      <x:c r="I768" s="1" t="n">
        <x:f>IF(AND(E768&lt;Reporting!$B$4,OR(G768="",G768&gt;=Reporting!$B$4)),1,0)</x:f>
        <x:v>0</x:v>
      </x:c>
      <x:c r="J768" s="1" t="n">
        <x:f>IF(AND(I768=1,F768&lt;Reporting!$B$4),1,0)</x:f>
        <x:v>0</x:v>
      </x:c>
      <x:c r="K768" s="1" t="n">
        <x:f>IF(F768&lt;Reporting!$B$4,1,0)</x:f>
        <x:v>1</x:v>
      </x:c>
      <x:c r="L768" s="1" t="n">
        <x:f>IF(AND(K768=1,G768&lt;&gt;"",G768&lt;=F768),1,0)</x:f>
        <x:v>1</x:v>
      </x:c>
      <x:c r="M768" s="1" t="n">
        <x:f>IF(AND(G768&lt;&gt;"",G768&lt;Reporting!$B$4),1,0)</x:f>
        <x:v>1</x:v>
      </x:c>
      <x:c r="N768" s="16" t="n">
        <x:f>IF(M768=1,G768-E768,"")</x:f>
        <x:v>8.041666666664241</x:v>
      </x:c>
      <x:c r="O768" s="1" t="str">
        <x:f>IF(E768&gt;=Reporting!$B$4,"Outside cutoff",IF(M768=1,"Closed",IF(J768=1,"Overdue","Open - within SLA")))</x:f>
        <x:v>Closed</x:v>
      </x:c>
    </x:row>
    <x:row r="769">
      <x:c r="A769" s="14" t="str">
        <x:v>CASE-00764</x:v>
      </x:c>
      <x:c r="B769" s="14" t="str">
        <x:v>Warehouse</x:v>
      </x:c>
      <x:c r="C769" s="14" t="str">
        <x:v>Record mismatch</x:v>
      </x:c>
      <x:c r="D769" s="14" t="str">
        <x:v>Medium</x:v>
      </x:c>
      <x:c r="E769" s="15" t="n">
        <x:v>46215.583333333336</x:v>
      </x:c>
      <x:c r="F769" s="15" t="n">
        <x:v>46222.583333333336</x:v>
      </x:c>
      <x:c r="G769" s="15" t="n">
        <x:v>46224.666666666664</x:v>
      </x:c>
      <x:c r="H769" s="14" t="n">
        <x:v>2</x:v>
      </x:c>
      <x:c r="I769" s="1" t="n">
        <x:f>IF(AND(E769&lt;Reporting!$B$4,OR(G769="",G769&gt;=Reporting!$B$4)),1,0)</x:f>
        <x:v>0</x:v>
      </x:c>
      <x:c r="J769" s="1" t="n">
        <x:f>IF(AND(I769=1,F769&lt;Reporting!$B$4),1,0)</x:f>
        <x:v>0</x:v>
      </x:c>
      <x:c r="K769" s="1" t="n">
        <x:f>IF(F769&lt;Reporting!$B$4,1,0)</x:f>
        <x:v>1</x:v>
      </x:c>
      <x:c r="L769" s="1" t="n">
        <x:f>IF(AND(K769=1,G769&lt;&gt;"",G769&lt;=F769),1,0)</x:f>
        <x:v>0</x:v>
      </x:c>
      <x:c r="M769" s="1" t="n">
        <x:f>IF(AND(G769&lt;&gt;"",G769&lt;Reporting!$B$4),1,0)</x:f>
        <x:v>1</x:v>
      </x:c>
      <x:c r="N769" s="16" t="n">
        <x:f>IF(M769=1,G769-E769,"")</x:f>
        <x:v>9.083333333328483</x:v>
      </x:c>
      <x:c r="O769" s="1" t="str">
        <x:f>IF(E769&gt;=Reporting!$B$4,"Outside cutoff",IF(M769=1,"Closed",IF(J769=1,"Overdue","Open - within SLA")))</x:f>
        <x:v>Closed</x:v>
      </x:c>
    </x:row>
    <x:row r="770">
      <x:c r="A770" s="14" t="str">
        <x:v>CASE-00765</x:v>
      </x:c>
      <x:c r="B770" s="14" t="str">
        <x:v>Installation</x:v>
      </x:c>
      <x:c r="C770" s="14" t="str">
        <x:v>Process deviation</x:v>
      </x:c>
      <x:c r="D770" s="14" t="str">
        <x:v>Medium</x:v>
      </x:c>
      <x:c r="E770" s="15" t="n">
        <x:v>46218.666666666664</x:v>
      </x:c>
      <x:c r="F770" s="15" t="n">
        <x:v>46225.666666666664</x:v>
      </x:c>
      <x:c r="G770" s="15" t="n">
        <x:v>46232.666666666664</x:v>
      </x:c>
      <x:c r="H770" s="14" t="n">
        <x:v>3</x:v>
      </x:c>
      <x:c r="I770" s="1" t="n">
        <x:f>IF(AND(E770&lt;Reporting!$B$4,OR(G770="",G770&gt;=Reporting!$B$4)),1,0)</x:f>
        <x:v>0</x:v>
      </x:c>
      <x:c r="J770" s="1" t="n">
        <x:f>IF(AND(I770=1,F770&lt;Reporting!$B$4),1,0)</x:f>
        <x:v>0</x:v>
      </x:c>
      <x:c r="K770" s="1" t="n">
        <x:f>IF(F770&lt;Reporting!$B$4,1,0)</x:f>
        <x:v>1</x:v>
      </x:c>
      <x:c r="L770" s="1" t="n">
        <x:f>IF(AND(K770=1,G770&lt;&gt;"",G770&lt;=F770),1,0)</x:f>
        <x:v>0</x:v>
      </x:c>
      <x:c r="M770" s="1" t="n">
        <x:f>IF(AND(G770&lt;&gt;"",G770&lt;Reporting!$B$4),1,0)</x:f>
        <x:v>1</x:v>
      </x:c>
      <x:c r="N770" s="16" t="n">
        <x:f>IF(M770=1,G770-E770,"")</x:f>
        <x:v>14</x:v>
      </x:c>
      <x:c r="O770" s="1" t="str">
        <x:f>IF(E770&gt;=Reporting!$B$4,"Outside cutoff",IF(M770=1,"Closed",IF(J770=1,"Overdue","Open - within SLA")))</x:f>
        <x:v>Closed</x:v>
      </x:c>
    </x:row>
    <x:row r="771">
      <x:c r="A771" s="14" t="str">
        <x:v>CASE-00766</x:v>
      </x:c>
      <x:c r="B771" s="14" t="str">
        <x:v>Customer Services</x:v>
      </x:c>
      <x:c r="C771" s="14" t="str">
        <x:v>Record mismatch</x:v>
      </x:c>
      <x:c r="D771" s="14" t="str">
        <x:v>Medium</x:v>
      </x:c>
      <x:c r="E771" s="15" t="n">
        <x:v>46227.333333333336</x:v>
      </x:c>
      <x:c r="F771" s="15" t="n">
        <x:v>46234.333333333336</x:v>
      </x:c>
      <x:c r="G771" s="15" t="n">
        <x:v>46229.416666666664</x:v>
      </x:c>
      <x:c r="H771" s="14" t="n">
        <x:v>1</x:v>
      </x:c>
      <x:c r="I771" s="1" t="n">
        <x:f>IF(AND(E771&lt;Reporting!$B$4,OR(G771="",G771&gt;=Reporting!$B$4)),1,0)</x:f>
        <x:v>0</x:v>
      </x:c>
      <x:c r="J771" s="1" t="n">
        <x:f>IF(AND(I771=1,F771&lt;Reporting!$B$4),1,0)</x:f>
        <x:v>0</x:v>
      </x:c>
      <x:c r="K771" s="1" t="n">
        <x:f>IF(F771&lt;Reporting!$B$4,1,0)</x:f>
        <x:v>1</x:v>
      </x:c>
      <x:c r="L771" s="1" t="n">
        <x:f>IF(AND(K771=1,G771&lt;&gt;"",G771&lt;=F771),1,0)</x:f>
        <x:v>1</x:v>
      </x:c>
      <x:c r="M771" s="1" t="n">
        <x:f>IF(AND(G771&lt;&gt;"",G771&lt;Reporting!$B$4),1,0)</x:f>
        <x:v>1</x:v>
      </x:c>
      <x:c r="N771" s="16" t="n">
        <x:f>IF(M771=1,G771-E771,"")</x:f>
        <x:v>2.0833333333284827</x:v>
      </x:c>
      <x:c r="O771" s="1" t="str">
        <x:f>IF(E771&gt;=Reporting!$B$4,"Outside cutoff",IF(M771=1,"Closed",IF(J771=1,"Overdue","Open - within SLA")))</x:f>
        <x:v>Closed</x:v>
      </x:c>
    </x:row>
    <x:row r="772">
      <x:c r="A772" s="14" t="str">
        <x:v>CASE-00767</x:v>
      </x:c>
      <x:c r="B772" s="14" t="str">
        <x:v>Customer Services</x:v>
      </x:c>
      <x:c r="C772" s="14" t="str">
        <x:v>Late review</x:v>
      </x:c>
      <x:c r="D772" s="14" t="str">
        <x:v>Medium</x:v>
      </x:c>
      <x:c r="E772" s="15" t="n">
        <x:v>46275.583333333336</x:v>
      </x:c>
      <x:c r="F772" s="15" t="n">
        <x:v>46282.583333333336</x:v>
      </x:c>
      <x:c r="G772" s="15"/>
      <x:c r="H772" s="14" t="n">
        <x:v>1</x:v>
      </x:c>
      <x:c r="I772" s="1" t="n">
        <x:f>IF(AND(E772&lt;Reporting!$B$4,OR(G772="",G772&gt;=Reporting!$B$4)),1,0)</x:f>
        <x:v>1</x:v>
      </x:c>
      <x:c r="J772" s="1" t="n">
        <x:f>IF(AND(I772=1,F772&lt;Reporting!$B$4),1,0)</x:f>
        <x:v>1</x:v>
      </x:c>
      <x:c r="K772" s="1" t="n">
        <x:f>IF(F772&lt;Reporting!$B$4,1,0)</x:f>
        <x:v>1</x:v>
      </x:c>
      <x:c r="L772" s="1" t="n">
        <x:f>IF(AND(K772=1,G772&lt;&gt;"",G772&lt;=F772),1,0)</x:f>
        <x:v>0</x:v>
      </x:c>
      <x:c r="M772" s="1" t="n">
        <x:f>IF(AND(G772&lt;&gt;"",G772&lt;Reporting!$B$4),1,0)</x:f>
        <x:v>0</x:v>
      </x:c>
      <x:c r="N772" s="16" t="str">
        <x:f>IF(M772=1,G772-E772,"")</x:f>
      </x:c>
      <x:c r="O772" s="1" t="str">
        <x:f>IF(E772&gt;=Reporting!$B$4,"Outside cutoff",IF(M772=1,"Closed",IF(J772=1,"Overdue","Open - within SLA")))</x:f>
        <x:v>Overdue</x:v>
      </x:c>
    </x:row>
    <x:row r="773">
      <x:c r="A773" s="14" t="str">
        <x:v>CASE-00768</x:v>
      </x:c>
      <x:c r="B773" s="14" t="str">
        <x:v>Warehouse</x:v>
      </x:c>
      <x:c r="C773" s="14" t="str">
        <x:v>Missing evidence</x:v>
      </x:c>
      <x:c r="D773" s="14" t="str">
        <x:v>Medium</x:v>
      </x:c>
      <x:c r="E773" s="15" t="n">
        <x:v>46213.333333333336</x:v>
      </x:c>
      <x:c r="F773" s="15" t="n">
        <x:v>46220.333333333336</x:v>
      </x:c>
      <x:c r="G773" s="15" t="n">
        <x:v>46222.333333333336</x:v>
      </x:c>
      <x:c r="H773" s="14" t="n">
        <x:v>2</x:v>
      </x:c>
      <x:c r="I773" s="1" t="n">
        <x:f>IF(AND(E773&lt;Reporting!$B$4,OR(G773="",G773&gt;=Reporting!$B$4)),1,0)</x:f>
        <x:v>0</x:v>
      </x:c>
      <x:c r="J773" s="1" t="n">
        <x:f>IF(AND(I773=1,F773&lt;Reporting!$B$4),1,0)</x:f>
        <x:v>0</x:v>
      </x:c>
      <x:c r="K773" s="1" t="n">
        <x:f>IF(F773&lt;Reporting!$B$4,1,0)</x:f>
        <x:v>1</x:v>
      </x:c>
      <x:c r="L773" s="1" t="n">
        <x:f>IF(AND(K773=1,G773&lt;&gt;"",G773&lt;=F773),1,0)</x:f>
        <x:v>0</x:v>
      </x:c>
      <x:c r="M773" s="1" t="n">
        <x:f>IF(AND(G773&lt;&gt;"",G773&lt;Reporting!$B$4),1,0)</x:f>
        <x:v>1</x:v>
      </x:c>
      <x:c r="N773" s="16" t="n">
        <x:f>IF(M773=1,G773-E773,"")</x:f>
        <x:v>9</x:v>
      </x:c>
      <x:c r="O773" s="1" t="str">
        <x:f>IF(E773&gt;=Reporting!$B$4,"Outside cutoff",IF(M773=1,"Closed",IF(J773=1,"Overdue","Open - within SLA")))</x:f>
        <x:v>Closed</x:v>
      </x:c>
    </x:row>
    <x:row r="774">
      <x:c r="A774" s="14" t="str">
        <x:v>CASE-00769</x:v>
      </x:c>
      <x:c r="B774" s="14" t="str">
        <x:v>Customer Services</x:v>
      </x:c>
      <x:c r="C774" s="14" t="str">
        <x:v>Late review</x:v>
      </x:c>
      <x:c r="D774" s="14" t="str">
        <x:v>Medium</x:v>
      </x:c>
      <x:c r="E774" s="15" t="n">
        <x:v>46279.5</x:v>
      </x:c>
      <x:c r="F774" s="15" t="n">
        <x:v>46286.5</x:v>
      </x:c>
      <x:c r="G774" s="15"/>
      <x:c r="H774" s="14" t="n">
        <x:v>1</x:v>
      </x:c>
      <x:c r="I774" s="1" t="n">
        <x:f>IF(AND(E774&lt;Reporting!$B$4,OR(G774="",G774&gt;=Reporting!$B$4)),1,0)</x:f>
        <x:v>1</x:v>
      </x:c>
      <x:c r="J774" s="1" t="n">
        <x:f>IF(AND(I774=1,F774&lt;Reporting!$B$4),1,0)</x:f>
        <x:v>0</x:v>
      </x:c>
      <x:c r="K774" s="1" t="n">
        <x:f>IF(F774&lt;Reporting!$B$4,1,0)</x:f>
        <x:v>0</x:v>
      </x:c>
      <x:c r="L774" s="1" t="n">
        <x:f>IF(AND(K774=1,G774&lt;&gt;"",G774&lt;=F774),1,0)</x:f>
        <x:v>0</x:v>
      </x:c>
      <x:c r="M774" s="1" t="n">
        <x:f>IF(AND(G774&lt;&gt;"",G774&lt;Reporting!$B$4),1,0)</x:f>
        <x:v>0</x:v>
      </x:c>
      <x:c r="N774" s="16" t="str">
        <x:f>IF(M774=1,G774-E774,"")</x:f>
      </x:c>
      <x:c r="O774" s="1" t="str">
        <x:f>IF(E774&gt;=Reporting!$B$4,"Outside cutoff",IF(M774=1,"Closed",IF(J774=1,"Overdue","Open - within SLA")))</x:f>
        <x:v>Open - within SLA</x:v>
      </x:c>
    </x:row>
    <x:row r="775">
      <x:c r="A775" s="14" t="str">
        <x:v>CASE-00770</x:v>
      </x:c>
      <x:c r="B775" s="14" t="str">
        <x:v>Customer Services</x:v>
      </x:c>
      <x:c r="C775" s="14" t="str">
        <x:v>Missing evidence</x:v>
      </x:c>
      <x:c r="D775" s="14" t="str">
        <x:v>Medium</x:v>
      </x:c>
      <x:c r="E775" s="15" t="n">
        <x:v>46262.541666666664</x:v>
      </x:c>
      <x:c r="F775" s="15" t="n">
        <x:v>46269.541666666664</x:v>
      </x:c>
      <x:c r="G775" s="15" t="n">
        <x:v>46277.541666666664</x:v>
      </x:c>
      <x:c r="H775" s="14" t="n">
        <x:v>1</x:v>
      </x:c>
      <x:c r="I775" s="1" t="n">
        <x:f>IF(AND(E775&lt;Reporting!$B$4,OR(G775="",G775&gt;=Reporting!$B$4)),1,0)</x:f>
        <x:v>0</x:v>
      </x:c>
      <x:c r="J775" s="1" t="n">
        <x:f>IF(AND(I775=1,F775&lt;Reporting!$B$4),1,0)</x:f>
        <x:v>0</x:v>
      </x:c>
      <x:c r="K775" s="1" t="n">
        <x:f>IF(F775&lt;Reporting!$B$4,1,0)</x:f>
        <x:v>1</x:v>
      </x:c>
      <x:c r="L775" s="1" t="n">
        <x:f>IF(AND(K775=1,G775&lt;&gt;"",G775&lt;=F775),1,0)</x:f>
        <x:v>0</x:v>
      </x:c>
      <x:c r="M775" s="1" t="n">
        <x:f>IF(AND(G775&lt;&gt;"",G775&lt;Reporting!$B$4),1,0)</x:f>
        <x:v>1</x:v>
      </x:c>
      <x:c r="N775" s="16" t="n">
        <x:f>IF(M775=1,G775-E775,"")</x:f>
        <x:v>15</x:v>
      </x:c>
      <x:c r="O775" s="1" t="str">
        <x:f>IF(E775&gt;=Reporting!$B$4,"Outside cutoff",IF(M775=1,"Closed",IF(J775=1,"Overdue","Open - within SLA")))</x:f>
        <x:v>Closed</x:v>
      </x:c>
    </x:row>
    <x:row r="776">
      <x:c r="A776" s="14" t="str">
        <x:v>CASE-00771</x:v>
      </x:c>
      <x:c r="B776" s="14" t="str">
        <x:v>Installation</x:v>
      </x:c>
      <x:c r="C776" s="14" t="str">
        <x:v>Process deviation</x:v>
      </x:c>
      <x:c r="D776" s="14" t="str">
        <x:v>Medium</x:v>
      </x:c>
      <x:c r="E776" s="15" t="n">
        <x:v>46225.625</x:v>
      </x:c>
      <x:c r="F776" s="15" t="n">
        <x:v>46232.625</x:v>
      </x:c>
      <x:c r="G776" s="15" t="n">
        <x:v>46228.625</x:v>
      </x:c>
      <x:c r="H776" s="14" t="n">
        <x:v>3</x:v>
      </x:c>
      <x:c r="I776" s="1" t="n">
        <x:f>IF(AND(E776&lt;Reporting!$B$4,OR(G776="",G776&gt;=Reporting!$B$4)),1,0)</x:f>
        <x:v>0</x:v>
      </x:c>
      <x:c r="J776" s="1" t="n">
        <x:f>IF(AND(I776=1,F776&lt;Reporting!$B$4),1,0)</x:f>
        <x:v>0</x:v>
      </x:c>
      <x:c r="K776" s="1" t="n">
        <x:f>IF(F776&lt;Reporting!$B$4,1,0)</x:f>
        <x:v>1</x:v>
      </x:c>
      <x:c r="L776" s="1" t="n">
        <x:f>IF(AND(K776=1,G776&lt;&gt;"",G776&lt;=F776),1,0)</x:f>
        <x:v>1</x:v>
      </x:c>
      <x:c r="M776" s="1" t="n">
        <x:f>IF(AND(G776&lt;&gt;"",G776&lt;Reporting!$B$4),1,0)</x:f>
        <x:v>1</x:v>
      </x:c>
      <x:c r="N776" s="16" t="n">
        <x:f>IF(M776=1,G776-E776,"")</x:f>
        <x:v>3</x:v>
      </x:c>
      <x:c r="O776" s="1" t="str">
        <x:f>IF(E776&gt;=Reporting!$B$4,"Outside cutoff",IF(M776=1,"Closed",IF(J776=1,"Overdue","Open - within SLA")))</x:f>
        <x:v>Closed</x:v>
      </x:c>
    </x:row>
    <x:row r="777">
      <x:c r="A777" s="14" t="str">
        <x:v>CASE-00772</x:v>
      </x:c>
      <x:c r="B777" s="14" t="str">
        <x:v>Installation</x:v>
      </x:c>
      <x:c r="C777" s="14" t="str">
        <x:v>Late review</x:v>
      </x:c>
      <x:c r="D777" s="14" t="str">
        <x:v>Medium</x:v>
      </x:c>
      <x:c r="E777" s="15" t="n">
        <x:v>46224.458333333336</x:v>
      </x:c>
      <x:c r="F777" s="15" t="n">
        <x:v>46231.458333333336</x:v>
      </x:c>
      <x:c r="G777" s="15" t="n">
        <x:v>46230.5</x:v>
      </x:c>
      <x:c r="H777" s="14" t="n">
        <x:v>3</x:v>
      </x:c>
      <x:c r="I777" s="1" t="n">
        <x:f>IF(AND(E777&lt;Reporting!$B$4,OR(G777="",G777&gt;=Reporting!$B$4)),1,0)</x:f>
        <x:v>0</x:v>
      </x:c>
      <x:c r="J777" s="1" t="n">
        <x:f>IF(AND(I777=1,F777&lt;Reporting!$B$4),1,0)</x:f>
        <x:v>0</x:v>
      </x:c>
      <x:c r="K777" s="1" t="n">
        <x:f>IF(F777&lt;Reporting!$B$4,1,0)</x:f>
        <x:v>1</x:v>
      </x:c>
      <x:c r="L777" s="1" t="n">
        <x:f>IF(AND(K777=1,G777&lt;&gt;"",G777&lt;=F777),1,0)</x:f>
        <x:v>1</x:v>
      </x:c>
      <x:c r="M777" s="1" t="n">
        <x:f>IF(AND(G777&lt;&gt;"",G777&lt;Reporting!$B$4),1,0)</x:f>
        <x:v>1</x:v>
      </x:c>
      <x:c r="N777" s="16" t="n">
        <x:f>IF(M777=1,G777-E777,"")</x:f>
        <x:v>6.041666666664241</x:v>
      </x:c>
      <x:c r="O777" s="1" t="str">
        <x:f>IF(E777&gt;=Reporting!$B$4,"Outside cutoff",IF(M777=1,"Closed",IF(J777=1,"Overdue","Open - within SLA")))</x:f>
        <x:v>Closed</x:v>
      </x:c>
    </x:row>
    <x:row r="778">
      <x:c r="A778" s="14" t="str">
        <x:v>CASE-00773</x:v>
      </x:c>
      <x:c r="B778" s="14" t="str">
        <x:v>Warehouse</x:v>
      </x:c>
      <x:c r="C778" s="14" t="str">
        <x:v>Record mismatch</x:v>
      </x:c>
      <x:c r="D778" s="14" t="str">
        <x:v>Low</x:v>
      </x:c>
      <x:c r="E778" s="15" t="n">
        <x:v>46248.541666666664</x:v>
      </x:c>
      <x:c r="F778" s="15" t="n">
        <x:v>46262.541666666664</x:v>
      </x:c>
      <x:c r="G778" s="15" t="n">
        <x:v>46264.625</x:v>
      </x:c>
      <x:c r="H778" s="14" t="n">
        <x:v>2</x:v>
      </x:c>
      <x:c r="I778" s="1" t="n">
        <x:f>IF(AND(E778&lt;Reporting!$B$4,OR(G778="",G778&gt;=Reporting!$B$4)),1,0)</x:f>
        <x:v>0</x:v>
      </x:c>
      <x:c r="J778" s="1" t="n">
        <x:f>IF(AND(I778=1,F778&lt;Reporting!$B$4),1,0)</x:f>
        <x:v>0</x:v>
      </x:c>
      <x:c r="K778" s="1" t="n">
        <x:f>IF(F778&lt;Reporting!$B$4,1,0)</x:f>
        <x:v>1</x:v>
      </x:c>
      <x:c r="L778" s="1" t="n">
        <x:f>IF(AND(K778=1,G778&lt;&gt;"",G778&lt;=F778),1,0)</x:f>
        <x:v>0</x:v>
      </x:c>
      <x:c r="M778" s="1" t="n">
        <x:f>IF(AND(G778&lt;&gt;"",G778&lt;Reporting!$B$4),1,0)</x:f>
        <x:v>1</x:v>
      </x:c>
      <x:c r="N778" s="16" t="n">
        <x:f>IF(M778=1,G778-E778,"")</x:f>
        <x:v>16.08333333333576</x:v>
      </x:c>
      <x:c r="O778" s="1" t="str">
        <x:f>IF(E778&gt;=Reporting!$B$4,"Outside cutoff",IF(M778=1,"Closed",IF(J778=1,"Overdue","Open - within SLA")))</x:f>
        <x:v>Closed</x:v>
      </x:c>
    </x:row>
    <x:row r="779">
      <x:c r="A779" s="14" t="str">
        <x:v>CASE-00774</x:v>
      </x:c>
      <x:c r="B779" s="14" t="str">
        <x:v>Customer Services</x:v>
      </x:c>
      <x:c r="C779" s="14" t="str">
        <x:v>Record mismatch</x:v>
      </x:c>
      <x:c r="D779" s="14" t="str">
        <x:v>Medium</x:v>
      </x:c>
      <x:c r="E779" s="15" t="n">
        <x:v>46230.333333333336</x:v>
      </x:c>
      <x:c r="F779" s="15" t="n">
        <x:v>46237.333333333336</x:v>
      </x:c>
      <x:c r="G779" s="15" t="n">
        <x:v>46236.333333333336</x:v>
      </x:c>
      <x:c r="H779" s="14" t="n">
        <x:v>1</x:v>
      </x:c>
      <x:c r="I779" s="1" t="n">
        <x:f>IF(AND(E779&lt;Reporting!$B$4,OR(G779="",G779&gt;=Reporting!$B$4)),1,0)</x:f>
        <x:v>0</x:v>
      </x:c>
      <x:c r="J779" s="1" t="n">
        <x:f>IF(AND(I779=1,F779&lt;Reporting!$B$4),1,0)</x:f>
        <x:v>0</x:v>
      </x:c>
      <x:c r="K779" s="1" t="n">
        <x:f>IF(F779&lt;Reporting!$B$4,1,0)</x:f>
        <x:v>1</x:v>
      </x:c>
      <x:c r="L779" s="1" t="n">
        <x:f>IF(AND(K779=1,G779&lt;&gt;"",G779&lt;=F779),1,0)</x:f>
        <x:v>1</x:v>
      </x:c>
      <x:c r="M779" s="1" t="n">
        <x:f>IF(AND(G779&lt;&gt;"",G779&lt;Reporting!$B$4),1,0)</x:f>
        <x:v>1</x:v>
      </x:c>
      <x:c r="N779" s="16" t="n">
        <x:f>IF(M779=1,G779-E779,"")</x:f>
        <x:v>6</x:v>
      </x:c>
      <x:c r="O779" s="1" t="str">
        <x:f>IF(E779&gt;=Reporting!$B$4,"Outside cutoff",IF(M779=1,"Closed",IF(J779=1,"Overdue","Open - within SLA")))</x:f>
        <x:v>Closed</x:v>
      </x:c>
    </x:row>
    <x:row r="780">
      <x:c r="A780" s="14" t="str">
        <x:v>CASE-00775</x:v>
      </x:c>
      <x:c r="B780" s="14" t="str">
        <x:v>Customer Services</x:v>
      </x:c>
      <x:c r="C780" s="14" t="str">
        <x:v>Process deviation</x:v>
      </x:c>
      <x:c r="D780" s="14" t="str">
        <x:v>Low</x:v>
      </x:c>
      <x:c r="E780" s="15" t="n">
        <x:v>46228.666666666664</x:v>
      </x:c>
      <x:c r="F780" s="15" t="n">
        <x:v>46242.666666666664</x:v>
      </x:c>
      <x:c r="G780" s="15" t="n">
        <x:v>46246.666666666664</x:v>
      </x:c>
      <x:c r="H780" s="14" t="n">
        <x:v>1</x:v>
      </x:c>
      <x:c r="I780" s="1" t="n">
        <x:f>IF(AND(E780&lt;Reporting!$B$4,OR(G780="",G780&gt;=Reporting!$B$4)),1,0)</x:f>
        <x:v>0</x:v>
      </x:c>
      <x:c r="J780" s="1" t="n">
        <x:f>IF(AND(I780=1,F780&lt;Reporting!$B$4),1,0)</x:f>
        <x:v>0</x:v>
      </x:c>
      <x:c r="K780" s="1" t="n">
        <x:f>IF(F780&lt;Reporting!$B$4,1,0)</x:f>
        <x:v>1</x:v>
      </x:c>
      <x:c r="L780" s="1" t="n">
        <x:f>IF(AND(K780=1,G780&lt;&gt;"",G780&lt;=F780),1,0)</x:f>
        <x:v>0</x:v>
      </x:c>
      <x:c r="M780" s="1" t="n">
        <x:f>IF(AND(G780&lt;&gt;"",G780&lt;Reporting!$B$4),1,0)</x:f>
        <x:v>1</x:v>
      </x:c>
      <x:c r="N780" s="16" t="n">
        <x:f>IF(M780=1,G780-E780,"")</x:f>
        <x:v>18</x:v>
      </x:c>
      <x:c r="O780" s="1" t="str">
        <x:f>IF(E780&gt;=Reporting!$B$4,"Outside cutoff",IF(M780=1,"Closed",IF(J780=1,"Overdue","Open - within SLA")))</x:f>
        <x:v>Closed</x:v>
      </x:c>
    </x:row>
    <x:row r="781">
      <x:c r="A781" s="14" t="str">
        <x:v>CASE-00776</x:v>
      </x:c>
      <x:c r="B781" s="14" t="str">
        <x:v>Customer Services</x:v>
      </x:c>
      <x:c r="C781" s="14" t="str">
        <x:v>Record mismatch</x:v>
      </x:c>
      <x:c r="D781" s="14" t="str">
        <x:v>Low</x:v>
      </x:c>
      <x:c r="E781" s="15" t="n">
        <x:v>46251.375</x:v>
      </x:c>
      <x:c r="F781" s="15" t="n">
        <x:v>46265.375</x:v>
      </x:c>
      <x:c r="G781" s="15" t="n">
        <x:v>46262.416666666664</x:v>
      </x:c>
      <x:c r="H781" s="14" t="n">
        <x:v>1</x:v>
      </x:c>
      <x:c r="I781" s="1" t="n">
        <x:f>IF(AND(E781&lt;Reporting!$B$4,OR(G781="",G781&gt;=Reporting!$B$4)),1,0)</x:f>
        <x:v>0</x:v>
      </x:c>
      <x:c r="J781" s="1" t="n">
        <x:f>IF(AND(I781=1,F781&lt;Reporting!$B$4),1,0)</x:f>
        <x:v>0</x:v>
      </x:c>
      <x:c r="K781" s="1" t="n">
        <x:f>IF(F781&lt;Reporting!$B$4,1,0)</x:f>
        <x:v>1</x:v>
      </x:c>
      <x:c r="L781" s="1" t="n">
        <x:f>IF(AND(K781=1,G781&lt;&gt;"",G781&lt;=F781),1,0)</x:f>
        <x:v>1</x:v>
      </x:c>
      <x:c r="M781" s="1" t="n">
        <x:f>IF(AND(G781&lt;&gt;"",G781&lt;Reporting!$B$4),1,0)</x:f>
        <x:v>1</x:v>
      </x:c>
      <x:c r="N781" s="16" t="n">
        <x:f>IF(M781=1,G781-E781,"")</x:f>
        <x:v>11.041666666664241</x:v>
      </x:c>
      <x:c r="O781" s="1" t="str">
        <x:f>IF(E781&gt;=Reporting!$B$4,"Outside cutoff",IF(M781=1,"Closed",IF(J781=1,"Overdue","Open - within SLA")))</x:f>
        <x:v>Closed</x:v>
      </x:c>
    </x:row>
    <x:row r="782">
      <x:c r="A782" s="14" t="str">
        <x:v>CASE-00777</x:v>
      </x:c>
      <x:c r="B782" s="14" t="str">
        <x:v>Customer Services</x:v>
      </x:c>
      <x:c r="C782" s="14" t="str">
        <x:v>Record mismatch</x:v>
      </x:c>
      <x:c r="D782" s="14" t="str">
        <x:v>Medium</x:v>
      </x:c>
      <x:c r="E782" s="15" t="n">
        <x:v>46217.5</x:v>
      </x:c>
      <x:c r="F782" s="15" t="n">
        <x:v>46224.5</x:v>
      </x:c>
      <x:c r="G782" s="15" t="n">
        <x:v>46234.583333333336</x:v>
      </x:c>
      <x:c r="H782" s="14" t="n">
        <x:v>1</x:v>
      </x:c>
      <x:c r="I782" s="1" t="n">
        <x:f>IF(AND(E782&lt;Reporting!$B$4,OR(G782="",G782&gt;=Reporting!$B$4)),1,0)</x:f>
        <x:v>0</x:v>
      </x:c>
      <x:c r="J782" s="1" t="n">
        <x:f>IF(AND(I782=1,F782&lt;Reporting!$B$4),1,0)</x:f>
        <x:v>0</x:v>
      </x:c>
      <x:c r="K782" s="1" t="n">
        <x:f>IF(F782&lt;Reporting!$B$4,1,0)</x:f>
        <x:v>1</x:v>
      </x:c>
      <x:c r="L782" s="1" t="n">
        <x:f>IF(AND(K782=1,G782&lt;&gt;"",G782&lt;=F782),1,0)</x:f>
        <x:v>0</x:v>
      </x:c>
      <x:c r="M782" s="1" t="n">
        <x:f>IF(AND(G782&lt;&gt;"",G782&lt;Reporting!$B$4),1,0)</x:f>
        <x:v>1</x:v>
      </x:c>
      <x:c r="N782" s="16" t="n">
        <x:f>IF(M782=1,G782-E782,"")</x:f>
        <x:v>17.08333333333576</x:v>
      </x:c>
      <x:c r="O782" s="1" t="str">
        <x:f>IF(E782&gt;=Reporting!$B$4,"Outside cutoff",IF(M782=1,"Closed",IF(J782=1,"Overdue","Open - within SLA")))</x:f>
        <x:v>Closed</x:v>
      </x:c>
    </x:row>
    <x:row r="783">
      <x:c r="A783" s="14" t="str">
        <x:v>CASE-00778</x:v>
      </x:c>
      <x:c r="B783" s="14" t="str">
        <x:v>Installation</x:v>
      </x:c>
      <x:c r="C783" s="14" t="str">
        <x:v>Record mismatch</x:v>
      </x:c>
      <x:c r="D783" s="14" t="str">
        <x:v>Medium</x:v>
      </x:c>
      <x:c r="E783" s="15" t="n">
        <x:v>46263.416666666664</x:v>
      </x:c>
      <x:c r="F783" s="15" t="n">
        <x:v>46270.416666666664</x:v>
      </x:c>
      <x:c r="G783" s="15" t="n">
        <x:v>46273.458333333336</x:v>
      </x:c>
      <x:c r="H783" s="14" t="n">
        <x:v>3</x:v>
      </x:c>
      <x:c r="I783" s="1" t="n">
        <x:f>IF(AND(E783&lt;Reporting!$B$4,OR(G783="",G783&gt;=Reporting!$B$4)),1,0)</x:f>
        <x:v>0</x:v>
      </x:c>
      <x:c r="J783" s="1" t="n">
        <x:f>IF(AND(I783=1,F783&lt;Reporting!$B$4),1,0)</x:f>
        <x:v>0</x:v>
      </x:c>
      <x:c r="K783" s="1" t="n">
        <x:f>IF(F783&lt;Reporting!$B$4,1,0)</x:f>
        <x:v>1</x:v>
      </x:c>
      <x:c r="L783" s="1" t="n">
        <x:f>IF(AND(K783=1,G783&lt;&gt;"",G783&lt;=F783),1,0)</x:f>
        <x:v>0</x:v>
      </x:c>
      <x:c r="M783" s="1" t="n">
        <x:f>IF(AND(G783&lt;&gt;"",G783&lt;Reporting!$B$4),1,0)</x:f>
        <x:v>1</x:v>
      </x:c>
      <x:c r="N783" s="16" t="n">
        <x:f>IF(M783=1,G783-E783,"")</x:f>
        <x:v>10.041666666671517</x:v>
      </x:c>
      <x:c r="O783" s="1" t="str">
        <x:f>IF(E783&gt;=Reporting!$B$4,"Outside cutoff",IF(M783=1,"Closed",IF(J783=1,"Overdue","Open - within SLA")))</x:f>
        <x:v>Closed</x:v>
      </x:c>
    </x:row>
    <x:row r="784">
      <x:c r="A784" s="14" t="str">
        <x:v>CASE-00779</x:v>
      </x:c>
      <x:c r="B784" s="14" t="str">
        <x:v>Warehouse</x:v>
      </x:c>
      <x:c r="C784" s="14" t="str">
        <x:v>Record mismatch</x:v>
      </x:c>
      <x:c r="D784" s="14" t="str">
        <x:v>Low</x:v>
      </x:c>
      <x:c r="E784" s="15" t="n">
        <x:v>46218.458333333336</x:v>
      </x:c>
      <x:c r="F784" s="15" t="n">
        <x:v>46232.458333333336</x:v>
      </x:c>
      <x:c r="G784" s="15" t="n">
        <x:v>46226.541666666664</x:v>
      </x:c>
      <x:c r="H784" s="14" t="n">
        <x:v>2</x:v>
      </x:c>
      <x:c r="I784" s="1" t="n">
        <x:f>IF(AND(E784&lt;Reporting!$B$4,OR(G784="",G784&gt;=Reporting!$B$4)),1,0)</x:f>
        <x:v>0</x:v>
      </x:c>
      <x:c r="J784" s="1" t="n">
        <x:f>IF(AND(I784=1,F784&lt;Reporting!$B$4),1,0)</x:f>
        <x:v>0</x:v>
      </x:c>
      <x:c r="K784" s="1" t="n">
        <x:f>IF(F784&lt;Reporting!$B$4,1,0)</x:f>
        <x:v>1</x:v>
      </x:c>
      <x:c r="L784" s="1" t="n">
        <x:f>IF(AND(K784=1,G784&lt;&gt;"",G784&lt;=F784),1,0)</x:f>
        <x:v>1</x:v>
      </x:c>
      <x:c r="M784" s="1" t="n">
        <x:f>IF(AND(G784&lt;&gt;"",G784&lt;Reporting!$B$4),1,0)</x:f>
        <x:v>1</x:v>
      </x:c>
      <x:c r="N784" s="16" t="n">
        <x:f>IF(M784=1,G784-E784,"")</x:f>
        <x:v>8.083333333328483</x:v>
      </x:c>
      <x:c r="O784" s="1" t="str">
        <x:f>IF(E784&gt;=Reporting!$B$4,"Outside cutoff",IF(M784=1,"Closed",IF(J784=1,"Overdue","Open - within SLA")))</x:f>
        <x:v>Closed</x:v>
      </x:c>
    </x:row>
    <x:row r="785">
      <x:c r="A785" s="14" t="str">
        <x:v>CASE-00780</x:v>
      </x:c>
      <x:c r="B785" s="14" t="str">
        <x:v>Installation</x:v>
      </x:c>
      <x:c r="C785" s="14" t="str">
        <x:v>Missing evidence</x:v>
      </x:c>
      <x:c r="D785" s="14" t="str">
        <x:v>Low</x:v>
      </x:c>
      <x:c r="E785" s="15" t="n">
        <x:v>46224.625</x:v>
      </x:c>
      <x:c r="F785" s="15" t="n">
        <x:v>46238.625</x:v>
      </x:c>
      <x:c r="G785" s="15" t="n">
        <x:v>46226.666666666664</x:v>
      </x:c>
      <x:c r="H785" s="14" t="n">
        <x:v>3</x:v>
      </x:c>
      <x:c r="I785" s="1" t="n">
        <x:f>IF(AND(E785&lt;Reporting!$B$4,OR(G785="",G785&gt;=Reporting!$B$4)),1,0)</x:f>
        <x:v>0</x:v>
      </x:c>
      <x:c r="J785" s="1" t="n">
        <x:f>IF(AND(I785=1,F785&lt;Reporting!$B$4),1,0)</x:f>
        <x:v>0</x:v>
      </x:c>
      <x:c r="K785" s="1" t="n">
        <x:f>IF(F785&lt;Reporting!$B$4,1,0)</x:f>
        <x:v>1</x:v>
      </x:c>
      <x:c r="L785" s="1" t="n">
        <x:f>IF(AND(K785=1,G785&lt;&gt;"",G785&lt;=F785),1,0)</x:f>
        <x:v>1</x:v>
      </x:c>
      <x:c r="M785" s="1" t="n">
        <x:f>IF(AND(G785&lt;&gt;"",G785&lt;Reporting!$B$4),1,0)</x:f>
        <x:v>1</x:v>
      </x:c>
      <x:c r="N785" s="16" t="n">
        <x:f>IF(M785=1,G785-E785,"")</x:f>
        <x:v>2.0416666666642413</x:v>
      </x:c>
      <x:c r="O785" s="1" t="str">
        <x:f>IF(E785&gt;=Reporting!$B$4,"Outside cutoff",IF(M785=1,"Closed",IF(J785=1,"Overdue","Open - within SLA")))</x:f>
        <x:v>Closed</x:v>
      </x:c>
    </x:row>
    <x:row r="786">
      <x:c r="A786" s="14" t="str">
        <x:v>CASE-00781</x:v>
      </x:c>
      <x:c r="B786" s="14" t="str">
        <x:v>Customer Services</x:v>
      </x:c>
      <x:c r="C786" s="14" t="str">
        <x:v>Record mismatch</x:v>
      </x:c>
      <x:c r="D786" s="14" t="str">
        <x:v>High</x:v>
      </x:c>
      <x:c r="E786" s="15" t="n">
        <x:v>46228.333333333336</x:v>
      </x:c>
      <x:c r="F786" s="15" t="n">
        <x:v>46231.333333333336</x:v>
      </x:c>
      <x:c r="G786" s="15" t="n">
        <x:v>46234.333333333336</x:v>
      </x:c>
      <x:c r="H786" s="14" t="n">
        <x:v>1</x:v>
      </x:c>
      <x:c r="I786" s="1" t="n">
        <x:f>IF(AND(E786&lt;Reporting!$B$4,OR(G786="",G786&gt;=Reporting!$B$4)),1,0)</x:f>
        <x:v>0</x:v>
      </x:c>
      <x:c r="J786" s="1" t="n">
        <x:f>IF(AND(I786=1,F786&lt;Reporting!$B$4),1,0)</x:f>
        <x:v>0</x:v>
      </x:c>
      <x:c r="K786" s="1" t="n">
        <x:f>IF(F786&lt;Reporting!$B$4,1,0)</x:f>
        <x:v>1</x:v>
      </x:c>
      <x:c r="L786" s="1" t="n">
        <x:f>IF(AND(K786=1,G786&lt;&gt;"",G786&lt;=F786),1,0)</x:f>
        <x:v>0</x:v>
      </x:c>
      <x:c r="M786" s="1" t="n">
        <x:f>IF(AND(G786&lt;&gt;"",G786&lt;Reporting!$B$4),1,0)</x:f>
        <x:v>1</x:v>
      </x:c>
      <x:c r="N786" s="16" t="n">
        <x:f>IF(M786=1,G786-E786,"")</x:f>
        <x:v>6</x:v>
      </x:c>
      <x:c r="O786" s="1" t="str">
        <x:f>IF(E786&gt;=Reporting!$B$4,"Outside cutoff",IF(M786=1,"Closed",IF(J786=1,"Overdue","Open - within SLA")))</x:f>
        <x:v>Closed</x:v>
      </x:c>
    </x:row>
    <x:row r="787">
      <x:c r="A787" s="14" t="str">
        <x:v>CASE-00782</x:v>
      </x:c>
      <x:c r="B787" s="14" t="str">
        <x:v>Warehouse</x:v>
      </x:c>
      <x:c r="C787" s="14" t="str">
        <x:v>Missing evidence</x:v>
      </x:c>
      <x:c r="D787" s="14" t="str">
        <x:v>Medium</x:v>
      </x:c>
      <x:c r="E787" s="15" t="n">
        <x:v>46232.333333333336</x:v>
      </x:c>
      <x:c r="F787" s="15" t="n">
        <x:v>46239.333333333336</x:v>
      </x:c>
      <x:c r="G787" s="15" t="n">
        <x:v>46237.375</x:v>
      </x:c>
      <x:c r="H787" s="14" t="n">
        <x:v>2</x:v>
      </x:c>
      <x:c r="I787" s="1" t="n">
        <x:f>IF(AND(E787&lt;Reporting!$B$4,OR(G787="",G787&gt;=Reporting!$B$4)),1,0)</x:f>
        <x:v>0</x:v>
      </x:c>
      <x:c r="J787" s="1" t="n">
        <x:f>IF(AND(I787=1,F787&lt;Reporting!$B$4),1,0)</x:f>
        <x:v>0</x:v>
      </x:c>
      <x:c r="K787" s="1" t="n">
        <x:f>IF(F787&lt;Reporting!$B$4,1,0)</x:f>
        <x:v>1</x:v>
      </x:c>
      <x:c r="L787" s="1" t="n">
        <x:f>IF(AND(K787=1,G787&lt;&gt;"",G787&lt;=F787),1,0)</x:f>
        <x:v>1</x:v>
      </x:c>
      <x:c r="M787" s="1" t="n">
        <x:f>IF(AND(G787&lt;&gt;"",G787&lt;Reporting!$B$4),1,0)</x:f>
        <x:v>1</x:v>
      </x:c>
      <x:c r="N787" s="16" t="n">
        <x:f>IF(M787=1,G787-E787,"")</x:f>
        <x:v>5.041666666664241</x:v>
      </x:c>
      <x:c r="O787" s="1" t="str">
        <x:f>IF(E787&gt;=Reporting!$B$4,"Outside cutoff",IF(M787=1,"Closed",IF(J787=1,"Overdue","Open - within SLA")))</x:f>
        <x:v>Closed</x:v>
      </x:c>
    </x:row>
    <x:row r="788">
      <x:c r="A788" s="14" t="str">
        <x:v>CASE-00783</x:v>
      </x:c>
      <x:c r="B788" s="14" t="str">
        <x:v>Warehouse</x:v>
      </x:c>
      <x:c r="C788" s="14" t="str">
        <x:v>Missing evidence</x:v>
      </x:c>
      <x:c r="D788" s="14" t="str">
        <x:v>High</x:v>
      </x:c>
      <x:c r="E788" s="15" t="n">
        <x:v>46257.541666666664</x:v>
      </x:c>
      <x:c r="F788" s="15" t="n">
        <x:v>46260.541666666664</x:v>
      </x:c>
      <x:c r="G788" s="15" t="n">
        <x:v>46268.625</x:v>
      </x:c>
      <x:c r="H788" s="14" t="n">
        <x:v>2</x:v>
      </x:c>
      <x:c r="I788" s="1" t="n">
        <x:f>IF(AND(E788&lt;Reporting!$B$4,OR(G788="",G788&gt;=Reporting!$B$4)),1,0)</x:f>
        <x:v>0</x:v>
      </x:c>
      <x:c r="J788" s="1" t="n">
        <x:f>IF(AND(I788=1,F788&lt;Reporting!$B$4),1,0)</x:f>
        <x:v>0</x:v>
      </x:c>
      <x:c r="K788" s="1" t="n">
        <x:f>IF(F788&lt;Reporting!$B$4,1,0)</x:f>
        <x:v>1</x:v>
      </x:c>
      <x:c r="L788" s="1" t="n">
        <x:f>IF(AND(K788=1,G788&lt;&gt;"",G788&lt;=F788),1,0)</x:f>
        <x:v>0</x:v>
      </x:c>
      <x:c r="M788" s="1" t="n">
        <x:f>IF(AND(G788&lt;&gt;"",G788&lt;Reporting!$B$4),1,0)</x:f>
        <x:v>1</x:v>
      </x:c>
      <x:c r="N788" s="16" t="n">
        <x:f>IF(M788=1,G788-E788,"")</x:f>
        <x:v>11.083333333335759</x:v>
      </x:c>
      <x:c r="O788" s="1" t="str">
        <x:f>IF(E788&gt;=Reporting!$B$4,"Outside cutoff",IF(M788=1,"Closed",IF(J788=1,"Overdue","Open - within SLA")))</x:f>
        <x:v>Closed</x:v>
      </x:c>
    </x:row>
    <x:row r="789">
      <x:c r="A789" s="14" t="str">
        <x:v>CASE-00784</x:v>
      </x:c>
      <x:c r="B789" s="14" t="str">
        <x:v>Customer Services</x:v>
      </x:c>
      <x:c r="C789" s="14" t="str">
        <x:v>Record mismatch</x:v>
      </x:c>
      <x:c r="D789" s="14" t="str">
        <x:v>Low</x:v>
      </x:c>
      <x:c r="E789" s="15" t="n">
        <x:v>46213.5</x:v>
      </x:c>
      <x:c r="F789" s="15" t="n">
        <x:v>46227.5</x:v>
      </x:c>
      <x:c r="G789" s="15" t="n">
        <x:v>46216.541666666664</x:v>
      </x:c>
      <x:c r="H789" s="14" t="n">
        <x:v>1</x:v>
      </x:c>
      <x:c r="I789" s="1" t="n">
        <x:f>IF(AND(E789&lt;Reporting!$B$4,OR(G789="",G789&gt;=Reporting!$B$4)),1,0)</x:f>
        <x:v>0</x:v>
      </x:c>
      <x:c r="J789" s="1" t="n">
        <x:f>IF(AND(I789=1,F789&lt;Reporting!$B$4),1,0)</x:f>
        <x:v>0</x:v>
      </x:c>
      <x:c r="K789" s="1" t="n">
        <x:f>IF(F789&lt;Reporting!$B$4,1,0)</x:f>
        <x:v>1</x:v>
      </x:c>
      <x:c r="L789" s="1" t="n">
        <x:f>IF(AND(K789=1,G789&lt;&gt;"",G789&lt;=F789),1,0)</x:f>
        <x:v>1</x:v>
      </x:c>
      <x:c r="M789" s="1" t="n">
        <x:f>IF(AND(G789&lt;&gt;"",G789&lt;Reporting!$B$4),1,0)</x:f>
        <x:v>1</x:v>
      </x:c>
      <x:c r="N789" s="16" t="n">
        <x:f>IF(M789=1,G789-E789,"")</x:f>
        <x:v>3.0416666666642413</x:v>
      </x:c>
      <x:c r="O789" s="1" t="str">
        <x:f>IF(E789&gt;=Reporting!$B$4,"Outside cutoff",IF(M789=1,"Closed",IF(J789=1,"Overdue","Open - within SLA")))</x:f>
        <x:v>Closed</x:v>
      </x:c>
    </x:row>
    <x:row r="790">
      <x:c r="A790" s="14" t="str">
        <x:v>CASE-00785</x:v>
      </x:c>
      <x:c r="B790" s="14" t="str">
        <x:v>Warehouse</x:v>
      </x:c>
      <x:c r="C790" s="14" t="str">
        <x:v>Missing evidence</x:v>
      </x:c>
      <x:c r="D790" s="14" t="str">
        <x:v>Medium</x:v>
      </x:c>
      <x:c r="E790" s="15" t="n">
        <x:v>46236.458333333336</x:v>
      </x:c>
      <x:c r="F790" s="15" t="n">
        <x:v>46243.458333333336</x:v>
      </x:c>
      <x:c r="G790" s="15" t="n">
        <x:v>46237.541666666664</x:v>
      </x:c>
      <x:c r="H790" s="14" t="n">
        <x:v>2</x:v>
      </x:c>
      <x:c r="I790" s="1" t="n">
        <x:f>IF(AND(E790&lt;Reporting!$B$4,OR(G790="",G790&gt;=Reporting!$B$4)),1,0)</x:f>
        <x:v>0</x:v>
      </x:c>
      <x:c r="J790" s="1" t="n">
        <x:f>IF(AND(I790=1,F790&lt;Reporting!$B$4),1,0)</x:f>
        <x:v>0</x:v>
      </x:c>
      <x:c r="K790" s="1" t="n">
        <x:f>IF(F790&lt;Reporting!$B$4,1,0)</x:f>
        <x:v>1</x:v>
      </x:c>
      <x:c r="L790" s="1" t="n">
        <x:f>IF(AND(K790=1,G790&lt;&gt;"",G790&lt;=F790),1,0)</x:f>
        <x:v>1</x:v>
      </x:c>
      <x:c r="M790" s="1" t="n">
        <x:f>IF(AND(G790&lt;&gt;"",G790&lt;Reporting!$B$4),1,0)</x:f>
        <x:v>1</x:v>
      </x:c>
      <x:c r="N790" s="16" t="n">
        <x:f>IF(M790=1,G790-E790,"")</x:f>
        <x:v>1.0833333333284827</x:v>
      </x:c>
      <x:c r="O790" s="1" t="str">
        <x:f>IF(E790&gt;=Reporting!$B$4,"Outside cutoff",IF(M790=1,"Closed",IF(J790=1,"Overdue","Open - within SLA")))</x:f>
        <x:v>Closed</x:v>
      </x:c>
    </x:row>
    <x:row r="791">
      <x:c r="A791" s="14" t="str">
        <x:v>CASE-00786</x:v>
      </x:c>
      <x:c r="B791" s="14" t="str">
        <x:v>Warehouse</x:v>
      </x:c>
      <x:c r="C791" s="14" t="str">
        <x:v>Late review</x:v>
      </x:c>
      <x:c r="D791" s="14" t="str">
        <x:v>Medium</x:v>
      </x:c>
      <x:c r="E791" s="15" t="n">
        <x:v>46244.375</x:v>
      </x:c>
      <x:c r="F791" s="15" t="n">
        <x:v>46251.375</x:v>
      </x:c>
      <x:c r="G791" s="15" t="n">
        <x:v>46261.458333333336</x:v>
      </x:c>
      <x:c r="H791" s="14" t="n">
        <x:v>2</x:v>
      </x:c>
      <x:c r="I791" s="1" t="n">
        <x:f>IF(AND(E791&lt;Reporting!$B$4,OR(G791="",G791&gt;=Reporting!$B$4)),1,0)</x:f>
        <x:v>0</x:v>
      </x:c>
      <x:c r="J791" s="1" t="n">
        <x:f>IF(AND(I791=1,F791&lt;Reporting!$B$4),1,0)</x:f>
        <x:v>0</x:v>
      </x:c>
      <x:c r="K791" s="1" t="n">
        <x:f>IF(F791&lt;Reporting!$B$4,1,0)</x:f>
        <x:v>1</x:v>
      </x:c>
      <x:c r="L791" s="1" t="n">
        <x:f>IF(AND(K791=1,G791&lt;&gt;"",G791&lt;=F791),1,0)</x:f>
        <x:v>0</x:v>
      </x:c>
      <x:c r="M791" s="1" t="n">
        <x:f>IF(AND(G791&lt;&gt;"",G791&lt;Reporting!$B$4),1,0)</x:f>
        <x:v>1</x:v>
      </x:c>
      <x:c r="N791" s="16" t="n">
        <x:f>IF(M791=1,G791-E791,"")</x:f>
        <x:v>17.08333333333576</x:v>
      </x:c>
      <x:c r="O791" s="1" t="str">
        <x:f>IF(E791&gt;=Reporting!$B$4,"Outside cutoff",IF(M791=1,"Closed",IF(J791=1,"Overdue","Open - within SLA")))</x:f>
        <x:v>Closed</x:v>
      </x:c>
    </x:row>
    <x:row r="792">
      <x:c r="A792" s="14" t="str">
        <x:v>CASE-00787</x:v>
      </x:c>
      <x:c r="B792" s="14" t="str">
        <x:v>Customer Services</x:v>
      </x:c>
      <x:c r="C792" s="14" t="str">
        <x:v>Process deviation</x:v>
      </x:c>
      <x:c r="D792" s="14" t="str">
        <x:v>Low</x:v>
      </x:c>
      <x:c r="E792" s="15" t="n">
        <x:v>46204.541666666664</x:v>
      </x:c>
      <x:c r="F792" s="15" t="n">
        <x:v>46218.541666666664</x:v>
      </x:c>
      <x:c r="G792" s="15" t="n">
        <x:v>46208.625</x:v>
      </x:c>
      <x:c r="H792" s="14" t="n">
        <x:v>1</x:v>
      </x:c>
      <x:c r="I792" s="1" t="n">
        <x:f>IF(AND(E792&lt;Reporting!$B$4,OR(G792="",G792&gt;=Reporting!$B$4)),1,0)</x:f>
        <x:v>0</x:v>
      </x:c>
      <x:c r="J792" s="1" t="n">
        <x:f>IF(AND(I792=1,F792&lt;Reporting!$B$4),1,0)</x:f>
        <x:v>0</x:v>
      </x:c>
      <x:c r="K792" s="1" t="n">
        <x:f>IF(F792&lt;Reporting!$B$4,1,0)</x:f>
        <x:v>1</x:v>
      </x:c>
      <x:c r="L792" s="1" t="n">
        <x:f>IF(AND(K792=1,G792&lt;&gt;"",G792&lt;=F792),1,0)</x:f>
        <x:v>1</x:v>
      </x:c>
      <x:c r="M792" s="1" t="n">
        <x:f>IF(AND(G792&lt;&gt;"",G792&lt;Reporting!$B$4),1,0)</x:f>
        <x:v>1</x:v>
      </x:c>
      <x:c r="N792" s="16" t="n">
        <x:f>IF(M792=1,G792-E792,"")</x:f>
        <x:v>4.083333333335759</x:v>
      </x:c>
      <x:c r="O792" s="1" t="str">
        <x:f>IF(E792&gt;=Reporting!$B$4,"Outside cutoff",IF(M792=1,"Closed",IF(J792=1,"Overdue","Open - within SLA")))</x:f>
        <x:v>Closed</x:v>
      </x:c>
    </x:row>
    <x:row r="793">
      <x:c r="A793" s="14" t="str">
        <x:v>CASE-00788</x:v>
      </x:c>
      <x:c r="B793" s="14" t="str">
        <x:v>Customer Services</x:v>
      </x:c>
      <x:c r="C793" s="14" t="str">
        <x:v>Missing evidence</x:v>
      </x:c>
      <x:c r="D793" s="14" t="str">
        <x:v>Low</x:v>
      </x:c>
      <x:c r="E793" s="15" t="n">
        <x:v>46213.333333333336</x:v>
      </x:c>
      <x:c r="F793" s="15" t="n">
        <x:v>46227.333333333336</x:v>
      </x:c>
      <x:c r="G793" s="15" t="n">
        <x:v>46217.375</x:v>
      </x:c>
      <x:c r="H793" s="14" t="n">
        <x:v>1</x:v>
      </x:c>
      <x:c r="I793" s="1" t="n">
        <x:f>IF(AND(E793&lt;Reporting!$B$4,OR(G793="",G793&gt;=Reporting!$B$4)),1,0)</x:f>
        <x:v>0</x:v>
      </x:c>
      <x:c r="J793" s="1" t="n">
        <x:f>IF(AND(I793=1,F793&lt;Reporting!$B$4),1,0)</x:f>
        <x:v>0</x:v>
      </x:c>
      <x:c r="K793" s="1" t="n">
        <x:f>IF(F793&lt;Reporting!$B$4,1,0)</x:f>
        <x:v>1</x:v>
      </x:c>
      <x:c r="L793" s="1" t="n">
        <x:f>IF(AND(K793=1,G793&lt;&gt;"",G793&lt;=F793),1,0)</x:f>
        <x:v>1</x:v>
      </x:c>
      <x:c r="M793" s="1" t="n">
        <x:f>IF(AND(G793&lt;&gt;"",G793&lt;Reporting!$B$4),1,0)</x:f>
        <x:v>1</x:v>
      </x:c>
      <x:c r="N793" s="16" t="n">
        <x:f>IF(M793=1,G793-E793,"")</x:f>
        <x:v>4.041666666664241</x:v>
      </x:c>
      <x:c r="O793" s="1" t="str">
        <x:f>IF(E793&gt;=Reporting!$B$4,"Outside cutoff",IF(M793=1,"Closed",IF(J793=1,"Overdue","Open - within SLA")))</x:f>
        <x:v>Closed</x:v>
      </x:c>
    </x:row>
    <x:row r="794">
      <x:c r="A794" s="14" t="str">
        <x:v>CASE-00789</x:v>
      </x:c>
      <x:c r="B794" s="14" t="str">
        <x:v>Warehouse</x:v>
      </x:c>
      <x:c r="C794" s="14" t="str">
        <x:v>Process deviation</x:v>
      </x:c>
      <x:c r="D794" s="14" t="str">
        <x:v>High</x:v>
      </x:c>
      <x:c r="E794" s="15" t="n">
        <x:v>46259.333333333336</x:v>
      </x:c>
      <x:c r="F794" s="15" t="n">
        <x:v>46262.333333333336</x:v>
      </x:c>
      <x:c r="G794" s="15" t="n">
        <x:v>46276.416666666664</x:v>
      </x:c>
      <x:c r="H794" s="14" t="n">
        <x:v>2</x:v>
      </x:c>
      <x:c r="I794" s="1" t="n">
        <x:f>IF(AND(E794&lt;Reporting!$B$4,OR(G794="",G794&gt;=Reporting!$B$4)),1,0)</x:f>
        <x:v>0</x:v>
      </x:c>
      <x:c r="J794" s="1" t="n">
        <x:f>IF(AND(I794=1,F794&lt;Reporting!$B$4),1,0)</x:f>
        <x:v>0</x:v>
      </x:c>
      <x:c r="K794" s="1" t="n">
        <x:f>IF(F794&lt;Reporting!$B$4,1,0)</x:f>
        <x:v>1</x:v>
      </x:c>
      <x:c r="L794" s="1" t="n">
        <x:f>IF(AND(K794=1,G794&lt;&gt;"",G794&lt;=F794),1,0)</x:f>
        <x:v>0</x:v>
      </x:c>
      <x:c r="M794" s="1" t="n">
        <x:f>IF(AND(G794&lt;&gt;"",G794&lt;Reporting!$B$4),1,0)</x:f>
        <x:v>1</x:v>
      </x:c>
      <x:c r="N794" s="16" t="n">
        <x:f>IF(M794=1,G794-E794,"")</x:f>
        <x:v>17.083333333328483</x:v>
      </x:c>
      <x:c r="O794" s="1" t="str">
        <x:f>IF(E794&gt;=Reporting!$B$4,"Outside cutoff",IF(M794=1,"Closed",IF(J794=1,"Overdue","Open - within SLA")))</x:f>
        <x:v>Closed</x:v>
      </x:c>
    </x:row>
    <x:row r="795">
      <x:c r="A795" s="14" t="str">
        <x:v>CASE-00790</x:v>
      </x:c>
      <x:c r="B795" s="14" t="str">
        <x:v>Installation</x:v>
      </x:c>
      <x:c r="C795" s="14" t="str">
        <x:v>Record mismatch</x:v>
      </x:c>
      <x:c r="D795" s="14" t="str">
        <x:v>High</x:v>
      </x:c>
      <x:c r="E795" s="15" t="n">
        <x:v>46215.625</x:v>
      </x:c>
      <x:c r="F795" s="15" t="n">
        <x:v>46218.625</x:v>
      </x:c>
      <x:c r="G795" s="15" t="n">
        <x:v>46221.625</x:v>
      </x:c>
      <x:c r="H795" s="14" t="n">
        <x:v>3</x:v>
      </x:c>
      <x:c r="I795" s="1" t="n">
        <x:f>IF(AND(E795&lt;Reporting!$B$4,OR(G795="",G795&gt;=Reporting!$B$4)),1,0)</x:f>
        <x:v>0</x:v>
      </x:c>
      <x:c r="J795" s="1" t="n">
        <x:f>IF(AND(I795=1,F795&lt;Reporting!$B$4),1,0)</x:f>
        <x:v>0</x:v>
      </x:c>
      <x:c r="K795" s="1" t="n">
        <x:f>IF(F795&lt;Reporting!$B$4,1,0)</x:f>
        <x:v>1</x:v>
      </x:c>
      <x:c r="L795" s="1" t="n">
        <x:f>IF(AND(K795=1,G795&lt;&gt;"",G795&lt;=F795),1,0)</x:f>
        <x:v>0</x:v>
      </x:c>
      <x:c r="M795" s="1" t="n">
        <x:f>IF(AND(G795&lt;&gt;"",G795&lt;Reporting!$B$4),1,0)</x:f>
        <x:v>1</x:v>
      </x:c>
      <x:c r="N795" s="16" t="n">
        <x:f>IF(M795=1,G795-E795,"")</x:f>
        <x:v>6</x:v>
      </x:c>
      <x:c r="O795" s="1" t="str">
        <x:f>IF(E795&gt;=Reporting!$B$4,"Outside cutoff",IF(M795=1,"Closed",IF(J795=1,"Overdue","Open - within SLA")))</x:f>
        <x:v>Closed</x:v>
      </x:c>
    </x:row>
    <x:row r="796">
      <x:c r="A796" s="14" t="str">
        <x:v>CASE-00791</x:v>
      </x:c>
      <x:c r="B796" s="14" t="str">
        <x:v>Warehouse</x:v>
      </x:c>
      <x:c r="C796" s="14" t="str">
        <x:v>Missing evidence</x:v>
      </x:c>
      <x:c r="D796" s="14" t="str">
        <x:v>Low</x:v>
      </x:c>
      <x:c r="E796" s="15" t="n">
        <x:v>46224.458333333336</x:v>
      </x:c>
      <x:c r="F796" s="15" t="n">
        <x:v>46238.458333333336</x:v>
      </x:c>
      <x:c r="G796" s="15" t="n">
        <x:v>46228.458333333336</x:v>
      </x:c>
      <x:c r="H796" s="14" t="n">
        <x:v>2</x:v>
      </x:c>
      <x:c r="I796" s="1" t="n">
        <x:f>IF(AND(E796&lt;Reporting!$B$4,OR(G796="",G796&gt;=Reporting!$B$4)),1,0)</x:f>
        <x:v>0</x:v>
      </x:c>
      <x:c r="J796" s="1" t="n">
        <x:f>IF(AND(I796=1,F796&lt;Reporting!$B$4),1,0)</x:f>
        <x:v>0</x:v>
      </x:c>
      <x:c r="K796" s="1" t="n">
        <x:f>IF(F796&lt;Reporting!$B$4,1,0)</x:f>
        <x:v>1</x:v>
      </x:c>
      <x:c r="L796" s="1" t="n">
        <x:f>IF(AND(K796=1,G796&lt;&gt;"",G796&lt;=F796),1,0)</x:f>
        <x:v>1</x:v>
      </x:c>
      <x:c r="M796" s="1" t="n">
        <x:f>IF(AND(G796&lt;&gt;"",G796&lt;Reporting!$B$4),1,0)</x:f>
        <x:v>1</x:v>
      </x:c>
      <x:c r="N796" s="16" t="n">
        <x:f>IF(M796=1,G796-E796,"")</x:f>
        <x:v>4</x:v>
      </x:c>
      <x:c r="O796" s="1" t="str">
        <x:f>IF(E796&gt;=Reporting!$B$4,"Outside cutoff",IF(M796=1,"Closed",IF(J796=1,"Overdue","Open - within SLA")))</x:f>
        <x:v>Closed</x:v>
      </x:c>
    </x:row>
    <x:row r="797">
      <x:c r="A797" s="14" t="str">
        <x:v>CASE-00792</x:v>
      </x:c>
      <x:c r="B797" s="14" t="str">
        <x:v>Warehouse</x:v>
      </x:c>
      <x:c r="C797" s="14" t="str">
        <x:v>Process deviation</x:v>
      </x:c>
      <x:c r="D797" s="14" t="str">
        <x:v>Medium</x:v>
      </x:c>
      <x:c r="E797" s="15" t="n">
        <x:v>46280.375</x:v>
      </x:c>
      <x:c r="F797" s="15" t="n">
        <x:v>46287.375</x:v>
      </x:c>
      <x:c r="G797" s="15"/>
      <x:c r="H797" s="14" t="n">
        <x:v>2</x:v>
      </x:c>
      <x:c r="I797" s="1" t="n">
        <x:f>IF(AND(E797&lt;Reporting!$B$4,OR(G797="",G797&gt;=Reporting!$B$4)),1,0)</x:f>
        <x:v>1</x:v>
      </x:c>
      <x:c r="J797" s="1" t="n">
        <x:f>IF(AND(I797=1,F797&lt;Reporting!$B$4),1,0)</x:f>
        <x:v>0</x:v>
      </x:c>
      <x:c r="K797" s="1" t="n">
        <x:f>IF(F797&lt;Reporting!$B$4,1,0)</x:f>
        <x:v>0</x:v>
      </x:c>
      <x:c r="L797" s="1" t="n">
        <x:f>IF(AND(K797=1,G797&lt;&gt;"",G797&lt;=F797),1,0)</x:f>
        <x:v>0</x:v>
      </x:c>
      <x:c r="M797" s="1" t="n">
        <x:f>IF(AND(G797&lt;&gt;"",G797&lt;Reporting!$B$4),1,0)</x:f>
        <x:v>0</x:v>
      </x:c>
      <x:c r="N797" s="16" t="str">
        <x:f>IF(M797=1,G797-E797,"")</x:f>
      </x:c>
      <x:c r="O797" s="1" t="str">
        <x:f>IF(E797&gt;=Reporting!$B$4,"Outside cutoff",IF(M797=1,"Closed",IF(J797=1,"Overdue","Open - within SLA")))</x:f>
        <x:v>Open - within SLA</x:v>
      </x:c>
    </x:row>
    <x:row r="798">
      <x:c r="A798" s="14" t="str">
        <x:v>CASE-00793</x:v>
      </x:c>
      <x:c r="B798" s="14" t="str">
        <x:v>Installation</x:v>
      </x:c>
      <x:c r="C798" s="14" t="str">
        <x:v>Process deviation</x:v>
      </x:c>
      <x:c r="D798" s="14" t="str">
        <x:v>Low</x:v>
      </x:c>
      <x:c r="E798" s="15" t="n">
        <x:v>46248.5</x:v>
      </x:c>
      <x:c r="F798" s="15" t="n">
        <x:v>46262.5</x:v>
      </x:c>
      <x:c r="G798" s="15" t="n">
        <x:v>46255.5</x:v>
      </x:c>
      <x:c r="H798" s="14" t="n">
        <x:v>3</x:v>
      </x:c>
      <x:c r="I798" s="1" t="n">
        <x:f>IF(AND(E798&lt;Reporting!$B$4,OR(G798="",G798&gt;=Reporting!$B$4)),1,0)</x:f>
        <x:v>0</x:v>
      </x:c>
      <x:c r="J798" s="1" t="n">
        <x:f>IF(AND(I798=1,F798&lt;Reporting!$B$4),1,0)</x:f>
        <x:v>0</x:v>
      </x:c>
      <x:c r="K798" s="1" t="n">
        <x:f>IF(F798&lt;Reporting!$B$4,1,0)</x:f>
        <x:v>1</x:v>
      </x:c>
      <x:c r="L798" s="1" t="n">
        <x:f>IF(AND(K798=1,G798&lt;&gt;"",G798&lt;=F798),1,0)</x:f>
        <x:v>1</x:v>
      </x:c>
      <x:c r="M798" s="1" t="n">
        <x:f>IF(AND(G798&lt;&gt;"",G798&lt;Reporting!$B$4),1,0)</x:f>
        <x:v>1</x:v>
      </x:c>
      <x:c r="N798" s="16" t="n">
        <x:f>IF(M798=1,G798-E798,"")</x:f>
        <x:v>7</x:v>
      </x:c>
      <x:c r="O798" s="1" t="str">
        <x:f>IF(E798&gt;=Reporting!$B$4,"Outside cutoff",IF(M798=1,"Closed",IF(J798=1,"Overdue","Open - within SLA")))</x:f>
        <x:v>Closed</x:v>
      </x:c>
    </x:row>
    <x:row r="799">
      <x:c r="A799" s="14" t="str">
        <x:v>CASE-00794</x:v>
      </x:c>
      <x:c r="B799" s="14" t="str">
        <x:v>Customer Services</x:v>
      </x:c>
      <x:c r="C799" s="14" t="str">
        <x:v>Missing evidence</x:v>
      </x:c>
      <x:c r="D799" s="14" t="str">
        <x:v>High</x:v>
      </x:c>
      <x:c r="E799" s="15" t="n">
        <x:v>46268.458333333336</x:v>
      </x:c>
      <x:c r="F799" s="15" t="n">
        <x:v>46271.458333333336</x:v>
      </x:c>
      <x:c r="G799" s="15"/>
      <x:c r="H799" s="14" t="n">
        <x:v>1</x:v>
      </x:c>
      <x:c r="I799" s="1" t="n">
        <x:f>IF(AND(E799&lt;Reporting!$B$4,OR(G799="",G799&gt;=Reporting!$B$4)),1,0)</x:f>
        <x:v>1</x:v>
      </x:c>
      <x:c r="J799" s="1" t="n">
        <x:f>IF(AND(I799=1,F799&lt;Reporting!$B$4),1,0)</x:f>
        <x:v>1</x:v>
      </x:c>
      <x:c r="K799" s="1" t="n">
        <x:f>IF(F799&lt;Reporting!$B$4,1,0)</x:f>
        <x:v>1</x:v>
      </x:c>
      <x:c r="L799" s="1" t="n">
        <x:f>IF(AND(K799=1,G799&lt;&gt;"",G799&lt;=F799),1,0)</x:f>
        <x:v>0</x:v>
      </x:c>
      <x:c r="M799" s="1" t="n">
        <x:f>IF(AND(G799&lt;&gt;"",G799&lt;Reporting!$B$4),1,0)</x:f>
        <x:v>0</x:v>
      </x:c>
      <x:c r="N799" s="16" t="str">
        <x:f>IF(M799=1,G799-E799,"")</x:f>
      </x:c>
      <x:c r="O799" s="1" t="str">
        <x:f>IF(E799&gt;=Reporting!$B$4,"Outside cutoff",IF(M799=1,"Closed",IF(J799=1,"Overdue","Open - within SLA")))</x:f>
        <x:v>Overdue</x:v>
      </x:c>
    </x:row>
    <x:row r="800">
      <x:c r="A800" s="14" t="str">
        <x:v>CASE-00795</x:v>
      </x:c>
      <x:c r="B800" s="14" t="str">
        <x:v>Installation</x:v>
      </x:c>
      <x:c r="C800" s="14" t="str">
        <x:v>Process deviation</x:v>
      </x:c>
      <x:c r="D800" s="14" t="str">
        <x:v>Medium</x:v>
      </x:c>
      <x:c r="E800" s="15" t="n">
        <x:v>46277.458333333336</x:v>
      </x:c>
      <x:c r="F800" s="15" t="n">
        <x:v>46284.458333333336</x:v>
      </x:c>
      <x:c r="G800" s="15"/>
      <x:c r="H800" s="14" t="n">
        <x:v>3</x:v>
      </x:c>
      <x:c r="I800" s="1" t="n">
        <x:f>IF(AND(E800&lt;Reporting!$B$4,OR(G800="",G800&gt;=Reporting!$B$4)),1,0)</x:f>
        <x:v>1</x:v>
      </x:c>
      <x:c r="J800" s="1" t="n">
        <x:f>IF(AND(I800=1,F800&lt;Reporting!$B$4),1,0)</x:f>
        <x:v>1</x:v>
      </x:c>
      <x:c r="K800" s="1" t="n">
        <x:f>IF(F800&lt;Reporting!$B$4,1,0)</x:f>
        <x:v>1</x:v>
      </x:c>
      <x:c r="L800" s="1" t="n">
        <x:f>IF(AND(K800=1,G800&lt;&gt;"",G800&lt;=F800),1,0)</x:f>
        <x:v>0</x:v>
      </x:c>
      <x:c r="M800" s="1" t="n">
        <x:f>IF(AND(G800&lt;&gt;"",G800&lt;Reporting!$B$4),1,0)</x:f>
        <x:v>0</x:v>
      </x:c>
      <x:c r="N800" s="16" t="str">
        <x:f>IF(M800=1,G800-E800,"")</x:f>
      </x:c>
      <x:c r="O800" s="1" t="str">
        <x:f>IF(E800&gt;=Reporting!$B$4,"Outside cutoff",IF(M800=1,"Closed",IF(J800=1,"Overdue","Open - within SLA")))</x:f>
        <x:v>Overdue</x:v>
      </x:c>
    </x:row>
    <x:row r="801">
      <x:c r="A801" s="14" t="str">
        <x:v>CASE-00796</x:v>
      </x:c>
      <x:c r="B801" s="14" t="str">
        <x:v>Customer Services</x:v>
      </x:c>
      <x:c r="C801" s="14" t="str">
        <x:v>Process deviation</x:v>
      </x:c>
      <x:c r="D801" s="14" t="str">
        <x:v>Low</x:v>
      </x:c>
      <x:c r="E801" s="15" t="n">
        <x:v>46285.5</x:v>
      </x:c>
      <x:c r="F801" s="15" t="n">
        <x:v>46299.5</x:v>
      </x:c>
      <x:c r="G801" s="15"/>
      <x:c r="H801" s="14" t="n">
        <x:v>1</x:v>
      </x:c>
      <x:c r="I801" s="1" t="n">
        <x:f>IF(AND(E801&lt;Reporting!$B$4,OR(G801="",G801&gt;=Reporting!$B$4)),1,0)</x:f>
        <x:v>1</x:v>
      </x:c>
      <x:c r="J801" s="1" t="n">
        <x:f>IF(AND(I801=1,F801&lt;Reporting!$B$4),1,0)</x:f>
        <x:v>0</x:v>
      </x:c>
      <x:c r="K801" s="1" t="n">
        <x:f>IF(F801&lt;Reporting!$B$4,1,0)</x:f>
        <x:v>0</x:v>
      </x:c>
      <x:c r="L801" s="1" t="n">
        <x:f>IF(AND(K801=1,G801&lt;&gt;"",G801&lt;=F801),1,0)</x:f>
        <x:v>0</x:v>
      </x:c>
      <x:c r="M801" s="1" t="n">
        <x:f>IF(AND(G801&lt;&gt;"",G801&lt;Reporting!$B$4),1,0)</x:f>
        <x:v>0</x:v>
      </x:c>
      <x:c r="N801" s="16" t="str">
        <x:f>IF(M801=1,G801-E801,"")</x:f>
      </x:c>
      <x:c r="O801" s="1" t="str">
        <x:f>IF(E801&gt;=Reporting!$B$4,"Outside cutoff",IF(M801=1,"Closed",IF(J801=1,"Overdue","Open - within SLA")))</x:f>
        <x:v>Open - within SLA</x:v>
      </x:c>
    </x:row>
    <x:row r="802">
      <x:c r="A802" s="14" t="str">
        <x:v>CASE-00797</x:v>
      </x:c>
      <x:c r="B802" s="14" t="str">
        <x:v>Installation</x:v>
      </x:c>
      <x:c r="C802" s="14" t="str">
        <x:v>Process deviation</x:v>
      </x:c>
      <x:c r="D802" s="14" t="str">
        <x:v>High</x:v>
      </x:c>
      <x:c r="E802" s="15" t="n">
        <x:v>46237.416666666664</x:v>
      </x:c>
      <x:c r="F802" s="15" t="n">
        <x:v>46240.416666666664</x:v>
      </x:c>
      <x:c r="G802" s="15" t="n">
        <x:v>46249.5</x:v>
      </x:c>
      <x:c r="H802" s="14" t="n">
        <x:v>3</x:v>
      </x:c>
      <x:c r="I802" s="1" t="n">
        <x:f>IF(AND(E802&lt;Reporting!$B$4,OR(G802="",G802&gt;=Reporting!$B$4)),1,0)</x:f>
        <x:v>0</x:v>
      </x:c>
      <x:c r="J802" s="1" t="n">
        <x:f>IF(AND(I802=1,F802&lt;Reporting!$B$4),1,0)</x:f>
        <x:v>0</x:v>
      </x:c>
      <x:c r="K802" s="1" t="n">
        <x:f>IF(F802&lt;Reporting!$B$4,1,0)</x:f>
        <x:v>1</x:v>
      </x:c>
      <x:c r="L802" s="1" t="n">
        <x:f>IF(AND(K802=1,G802&lt;&gt;"",G802&lt;=F802),1,0)</x:f>
        <x:v>0</x:v>
      </x:c>
      <x:c r="M802" s="1" t="n">
        <x:f>IF(AND(G802&lt;&gt;"",G802&lt;Reporting!$B$4),1,0)</x:f>
        <x:v>1</x:v>
      </x:c>
      <x:c r="N802" s="16" t="n">
        <x:f>IF(M802=1,G802-E802,"")</x:f>
        <x:v>12.083333333335759</x:v>
      </x:c>
      <x:c r="O802" s="1" t="str">
        <x:f>IF(E802&gt;=Reporting!$B$4,"Outside cutoff",IF(M802=1,"Closed",IF(J802=1,"Overdue","Open - within SLA")))</x:f>
        <x:v>Closed</x:v>
      </x:c>
    </x:row>
    <x:row r="803">
      <x:c r="A803" s="14" t="str">
        <x:v>CASE-00798</x:v>
      </x:c>
      <x:c r="B803" s="14" t="str">
        <x:v>Customer Services</x:v>
      </x:c>
      <x:c r="C803" s="14" t="str">
        <x:v>Record mismatch</x:v>
      </x:c>
      <x:c r="D803" s="14" t="str">
        <x:v>Medium</x:v>
      </x:c>
      <x:c r="E803" s="15" t="n">
        <x:v>46266.416666666664</x:v>
      </x:c>
      <x:c r="F803" s="15" t="n">
        <x:v>46273.416666666664</x:v>
      </x:c>
      <x:c r="G803" s="15" t="n">
        <x:v>46279.5</x:v>
      </x:c>
      <x:c r="H803" s="14" t="n">
        <x:v>1</x:v>
      </x:c>
      <x:c r="I803" s="1" t="n">
        <x:f>IF(AND(E803&lt;Reporting!$B$4,OR(G803="",G803&gt;=Reporting!$B$4)),1,0)</x:f>
        <x:v>0</x:v>
      </x:c>
      <x:c r="J803" s="1" t="n">
        <x:f>IF(AND(I803=1,F803&lt;Reporting!$B$4),1,0)</x:f>
        <x:v>0</x:v>
      </x:c>
      <x:c r="K803" s="1" t="n">
        <x:f>IF(F803&lt;Reporting!$B$4,1,0)</x:f>
        <x:v>1</x:v>
      </x:c>
      <x:c r="L803" s="1" t="n">
        <x:f>IF(AND(K803=1,G803&lt;&gt;"",G803&lt;=F803),1,0)</x:f>
        <x:v>0</x:v>
      </x:c>
      <x:c r="M803" s="1" t="n">
        <x:f>IF(AND(G803&lt;&gt;"",G803&lt;Reporting!$B$4),1,0)</x:f>
        <x:v>1</x:v>
      </x:c>
      <x:c r="N803" s="16" t="n">
        <x:f>IF(M803=1,G803-E803,"")</x:f>
        <x:v>13.083333333335759</x:v>
      </x:c>
      <x:c r="O803" s="1" t="str">
        <x:f>IF(E803&gt;=Reporting!$B$4,"Outside cutoff",IF(M803=1,"Closed",IF(J803=1,"Overdue","Open - within SLA")))</x:f>
        <x:v>Closed</x:v>
      </x:c>
    </x:row>
    <x:row r="804">
      <x:c r="A804" s="14" t="str">
        <x:v>CASE-00799</x:v>
      </x:c>
      <x:c r="B804" s="14" t="str">
        <x:v>Warehouse</x:v>
      </x:c>
      <x:c r="C804" s="14" t="str">
        <x:v>Process deviation</x:v>
      </x:c>
      <x:c r="D804" s="14" t="str">
        <x:v>Low</x:v>
      </x:c>
      <x:c r="E804" s="15" t="n">
        <x:v>46285.583333333336</x:v>
      </x:c>
      <x:c r="F804" s="15" t="n">
        <x:v>46299.583333333336</x:v>
      </x:c>
      <x:c r="G804" s="15"/>
      <x:c r="H804" s="14" t="n">
        <x:v>2</x:v>
      </x:c>
      <x:c r="I804" s="1" t="n">
        <x:f>IF(AND(E804&lt;Reporting!$B$4,OR(G804="",G804&gt;=Reporting!$B$4)),1,0)</x:f>
        <x:v>1</x:v>
      </x:c>
      <x:c r="J804" s="1" t="n">
        <x:f>IF(AND(I804=1,F804&lt;Reporting!$B$4),1,0)</x:f>
        <x:v>0</x:v>
      </x:c>
      <x:c r="K804" s="1" t="n">
        <x:f>IF(F804&lt;Reporting!$B$4,1,0)</x:f>
        <x:v>0</x:v>
      </x:c>
      <x:c r="L804" s="1" t="n">
        <x:f>IF(AND(K804=1,G804&lt;&gt;"",G804&lt;=F804),1,0)</x:f>
        <x:v>0</x:v>
      </x:c>
      <x:c r="M804" s="1" t="n">
        <x:f>IF(AND(G804&lt;&gt;"",G804&lt;Reporting!$B$4),1,0)</x:f>
        <x:v>0</x:v>
      </x:c>
      <x:c r="N804" s="16" t="str">
        <x:f>IF(M804=1,G804-E804,"")</x:f>
      </x:c>
      <x:c r="O804" s="1" t="str">
        <x:f>IF(E804&gt;=Reporting!$B$4,"Outside cutoff",IF(M804=1,"Closed",IF(J804=1,"Overdue","Open - within SLA")))</x:f>
        <x:v>Open - within SLA</x:v>
      </x:c>
    </x:row>
    <x:row r="805">
      <x:c r="A805" s="14" t="str">
        <x:v>CASE-00800</x:v>
      </x:c>
      <x:c r="B805" s="14" t="str">
        <x:v>Customer Services</x:v>
      </x:c>
      <x:c r="C805" s="14" t="str">
        <x:v>Missing evidence</x:v>
      </x:c>
      <x:c r="D805" s="14" t="str">
        <x:v>Low</x:v>
      </x:c>
      <x:c r="E805" s="15" t="n">
        <x:v>46283.333333333336</x:v>
      </x:c>
      <x:c r="F805" s="15" t="n">
        <x:v>46297.333333333336</x:v>
      </x:c>
      <x:c r="G805" s="15"/>
      <x:c r="H805" s="14" t="n">
        <x:v>1</x:v>
      </x:c>
      <x:c r="I805" s="1" t="n">
        <x:f>IF(AND(E805&lt;Reporting!$B$4,OR(G805="",G805&gt;=Reporting!$B$4)),1,0)</x:f>
        <x:v>1</x:v>
      </x:c>
      <x:c r="J805" s="1" t="n">
        <x:f>IF(AND(I805=1,F805&lt;Reporting!$B$4),1,0)</x:f>
        <x:v>0</x:v>
      </x:c>
      <x:c r="K805" s="1" t="n">
        <x:f>IF(F805&lt;Reporting!$B$4,1,0)</x:f>
        <x:v>0</x:v>
      </x:c>
      <x:c r="L805" s="1" t="n">
        <x:f>IF(AND(K805=1,G805&lt;&gt;"",G805&lt;=F805),1,0)</x:f>
        <x:v>0</x:v>
      </x:c>
      <x:c r="M805" s="1" t="n">
        <x:f>IF(AND(G805&lt;&gt;"",G805&lt;Reporting!$B$4),1,0)</x:f>
        <x:v>0</x:v>
      </x:c>
      <x:c r="N805" s="16" t="str">
        <x:f>IF(M805=1,G805-E805,"")</x:f>
      </x:c>
      <x:c r="O805" s="1" t="str">
        <x:f>IF(E805&gt;=Reporting!$B$4,"Outside cutoff",IF(M805=1,"Closed",IF(J805=1,"Overdue","Open - within SLA")))</x:f>
        <x:v>Open - within SLA</x:v>
      </x:c>
    </x:row>
    <x:row r="806">
      <x:c r="A806" s="14" t="str">
        <x:v>CASE-00801</x:v>
      </x:c>
      <x:c r="B806" s="14" t="str">
        <x:v>Installation</x:v>
      </x:c>
      <x:c r="C806" s="14" t="str">
        <x:v>Process deviation</x:v>
      </x:c>
      <x:c r="D806" s="14" t="str">
        <x:v>Medium</x:v>
      </x:c>
      <x:c r="E806" s="15" t="n">
        <x:v>46250.5</x:v>
      </x:c>
      <x:c r="F806" s="15" t="n">
        <x:v>46257.5</x:v>
      </x:c>
      <x:c r="G806" s="15" t="n">
        <x:v>46259.5</x:v>
      </x:c>
      <x:c r="H806" s="14" t="n">
        <x:v>3</x:v>
      </x:c>
      <x:c r="I806" s="1" t="n">
        <x:f>IF(AND(E806&lt;Reporting!$B$4,OR(G806="",G806&gt;=Reporting!$B$4)),1,0)</x:f>
        <x:v>0</x:v>
      </x:c>
      <x:c r="J806" s="1" t="n">
        <x:f>IF(AND(I806=1,F806&lt;Reporting!$B$4),1,0)</x:f>
        <x:v>0</x:v>
      </x:c>
      <x:c r="K806" s="1" t="n">
        <x:f>IF(F806&lt;Reporting!$B$4,1,0)</x:f>
        <x:v>1</x:v>
      </x:c>
      <x:c r="L806" s="1" t="n">
        <x:f>IF(AND(K806=1,G806&lt;&gt;"",G806&lt;=F806),1,0)</x:f>
        <x:v>0</x:v>
      </x:c>
      <x:c r="M806" s="1" t="n">
        <x:f>IF(AND(G806&lt;&gt;"",G806&lt;Reporting!$B$4),1,0)</x:f>
        <x:v>1</x:v>
      </x:c>
      <x:c r="N806" s="16" t="n">
        <x:f>IF(M806=1,G806-E806,"")</x:f>
        <x:v>9</x:v>
      </x:c>
      <x:c r="O806" s="1" t="str">
        <x:f>IF(E806&gt;=Reporting!$B$4,"Outside cutoff",IF(M806=1,"Closed",IF(J806=1,"Overdue","Open - within SLA")))</x:f>
        <x:v>Closed</x:v>
      </x:c>
    </x:row>
    <x:row r="807">
      <x:c r="A807" s="14" t="str">
        <x:v>CASE-00802</x:v>
      </x:c>
      <x:c r="B807" s="14" t="str">
        <x:v>Customer Services</x:v>
      </x:c>
      <x:c r="C807" s="14" t="str">
        <x:v>Missing evidence</x:v>
      </x:c>
      <x:c r="D807" s="14" t="str">
        <x:v>Low</x:v>
      </x:c>
      <x:c r="E807" s="15" t="n">
        <x:v>46219.666666666664</x:v>
      </x:c>
      <x:c r="F807" s="15" t="n">
        <x:v>46233.666666666664</x:v>
      </x:c>
      <x:c r="G807" s="15" t="n">
        <x:v>46235.708333333336</x:v>
      </x:c>
      <x:c r="H807" s="14" t="n">
        <x:v>1</x:v>
      </x:c>
      <x:c r="I807" s="1" t="n">
        <x:f>IF(AND(E807&lt;Reporting!$B$4,OR(G807="",G807&gt;=Reporting!$B$4)),1,0)</x:f>
        <x:v>0</x:v>
      </x:c>
      <x:c r="J807" s="1" t="n">
        <x:f>IF(AND(I807=1,F807&lt;Reporting!$B$4),1,0)</x:f>
        <x:v>0</x:v>
      </x:c>
      <x:c r="K807" s="1" t="n">
        <x:f>IF(F807&lt;Reporting!$B$4,1,0)</x:f>
        <x:v>1</x:v>
      </x:c>
      <x:c r="L807" s="1" t="n">
        <x:f>IF(AND(K807=1,G807&lt;&gt;"",G807&lt;=F807),1,0)</x:f>
        <x:v>0</x:v>
      </x:c>
      <x:c r="M807" s="1" t="n">
        <x:f>IF(AND(G807&lt;&gt;"",G807&lt;Reporting!$B$4),1,0)</x:f>
        <x:v>1</x:v>
      </x:c>
      <x:c r="N807" s="16" t="n">
        <x:f>IF(M807=1,G807-E807,"")</x:f>
        <x:v>16.041666666671517</x:v>
      </x:c>
      <x:c r="O807" s="1" t="str">
        <x:f>IF(E807&gt;=Reporting!$B$4,"Outside cutoff",IF(M807=1,"Closed",IF(J807=1,"Overdue","Open - within SLA")))</x:f>
        <x:v>Closed</x:v>
      </x:c>
    </x:row>
    <x:row r="808">
      <x:c r="A808" s="14" t="str">
        <x:v>CASE-00803</x:v>
      </x:c>
      <x:c r="B808" s="14" t="str">
        <x:v>Warehouse</x:v>
      </x:c>
      <x:c r="C808" s="14" t="str">
        <x:v>Missing evidence</x:v>
      </x:c>
      <x:c r="D808" s="14" t="str">
        <x:v>Low</x:v>
      </x:c>
      <x:c r="E808" s="15" t="n">
        <x:v>46246.458333333336</x:v>
      </x:c>
      <x:c r="F808" s="15" t="n">
        <x:v>46260.458333333336</x:v>
      </x:c>
      <x:c r="G808" s="15" t="n">
        <x:v>46266.541666666664</x:v>
      </x:c>
      <x:c r="H808" s="14" t="n">
        <x:v>2</x:v>
      </x:c>
      <x:c r="I808" s="1" t="n">
        <x:f>IF(AND(E808&lt;Reporting!$B$4,OR(G808="",G808&gt;=Reporting!$B$4)),1,0)</x:f>
        <x:v>0</x:v>
      </x:c>
      <x:c r="J808" s="1" t="n">
        <x:f>IF(AND(I808=1,F808&lt;Reporting!$B$4),1,0)</x:f>
        <x:v>0</x:v>
      </x:c>
      <x:c r="K808" s="1" t="n">
        <x:f>IF(F808&lt;Reporting!$B$4,1,0)</x:f>
        <x:v>1</x:v>
      </x:c>
      <x:c r="L808" s="1" t="n">
        <x:f>IF(AND(K808=1,G808&lt;&gt;"",G808&lt;=F808),1,0)</x:f>
        <x:v>0</x:v>
      </x:c>
      <x:c r="M808" s="1" t="n">
        <x:f>IF(AND(G808&lt;&gt;"",G808&lt;Reporting!$B$4),1,0)</x:f>
        <x:v>1</x:v>
      </x:c>
      <x:c r="N808" s="16" t="n">
        <x:f>IF(M808=1,G808-E808,"")</x:f>
        <x:v>20.083333333328483</x:v>
      </x:c>
      <x:c r="O808" s="1" t="str">
        <x:f>IF(E808&gt;=Reporting!$B$4,"Outside cutoff",IF(M808=1,"Closed",IF(J808=1,"Overdue","Open - within SLA")))</x:f>
        <x:v>Closed</x:v>
      </x:c>
    </x:row>
    <x:row r="809">
      <x:c r="A809" s="14" t="str">
        <x:v>CASE-00804</x:v>
      </x:c>
      <x:c r="B809" s="14" t="str">
        <x:v>Warehouse</x:v>
      </x:c>
      <x:c r="C809" s="14" t="str">
        <x:v>Record mismatch</x:v>
      </x:c>
      <x:c r="D809" s="14" t="str">
        <x:v>Medium</x:v>
      </x:c>
      <x:c r="E809" s="15" t="n">
        <x:v>46232.333333333336</x:v>
      </x:c>
      <x:c r="F809" s="15" t="n">
        <x:v>46239.333333333336</x:v>
      </x:c>
      <x:c r="G809" s="15" t="n">
        <x:v>46236.416666666664</x:v>
      </x:c>
      <x:c r="H809" s="14" t="n">
        <x:v>2</x:v>
      </x:c>
      <x:c r="I809" s="1" t="n">
        <x:f>IF(AND(E809&lt;Reporting!$B$4,OR(G809="",G809&gt;=Reporting!$B$4)),1,0)</x:f>
        <x:v>0</x:v>
      </x:c>
      <x:c r="J809" s="1" t="n">
        <x:f>IF(AND(I809=1,F809&lt;Reporting!$B$4),1,0)</x:f>
        <x:v>0</x:v>
      </x:c>
      <x:c r="K809" s="1" t="n">
        <x:f>IF(F809&lt;Reporting!$B$4,1,0)</x:f>
        <x:v>1</x:v>
      </x:c>
      <x:c r="L809" s="1" t="n">
        <x:f>IF(AND(K809=1,G809&lt;&gt;"",G809&lt;=F809),1,0)</x:f>
        <x:v>1</x:v>
      </x:c>
      <x:c r="M809" s="1" t="n">
        <x:f>IF(AND(G809&lt;&gt;"",G809&lt;Reporting!$B$4),1,0)</x:f>
        <x:v>1</x:v>
      </x:c>
      <x:c r="N809" s="16" t="n">
        <x:f>IF(M809=1,G809-E809,"")</x:f>
        <x:v>4.083333333328483</x:v>
      </x:c>
      <x:c r="O809" s="1" t="str">
        <x:f>IF(E809&gt;=Reporting!$B$4,"Outside cutoff",IF(M809=1,"Closed",IF(J809=1,"Overdue","Open - within SLA")))</x:f>
        <x:v>Closed</x:v>
      </x:c>
    </x:row>
    <x:row r="810">
      <x:c r="A810" s="14" t="str">
        <x:v>CASE-00805</x:v>
      </x:c>
      <x:c r="B810" s="14" t="str">
        <x:v>Warehouse</x:v>
      </x:c>
      <x:c r="C810" s="14" t="str">
        <x:v>Late review</x:v>
      </x:c>
      <x:c r="D810" s="14" t="str">
        <x:v>Low</x:v>
      </x:c>
      <x:c r="E810" s="15" t="n">
        <x:v>46274.375</x:v>
      </x:c>
      <x:c r="F810" s="15" t="n">
        <x:v>46288.375</x:v>
      </x:c>
      <x:c r="G810" s="15"/>
      <x:c r="H810" s="14" t="n">
        <x:v>2</x:v>
      </x:c>
      <x:c r="I810" s="1" t="n">
        <x:f>IF(AND(E810&lt;Reporting!$B$4,OR(G810="",G810&gt;=Reporting!$B$4)),1,0)</x:f>
        <x:v>1</x:v>
      </x:c>
      <x:c r="J810" s="1" t="n">
        <x:f>IF(AND(I810=1,F810&lt;Reporting!$B$4),1,0)</x:f>
        <x:v>0</x:v>
      </x:c>
      <x:c r="K810" s="1" t="n">
        <x:f>IF(F810&lt;Reporting!$B$4,1,0)</x:f>
        <x:v>0</x:v>
      </x:c>
      <x:c r="L810" s="1" t="n">
        <x:f>IF(AND(K810=1,G810&lt;&gt;"",G810&lt;=F810),1,0)</x:f>
        <x:v>0</x:v>
      </x:c>
      <x:c r="M810" s="1" t="n">
        <x:f>IF(AND(G810&lt;&gt;"",G810&lt;Reporting!$B$4),1,0)</x:f>
        <x:v>0</x:v>
      </x:c>
      <x:c r="N810" s="16" t="str">
        <x:f>IF(M810=1,G810-E810,"")</x:f>
      </x:c>
      <x:c r="O810" s="1" t="str">
        <x:f>IF(E810&gt;=Reporting!$B$4,"Outside cutoff",IF(M810=1,"Closed",IF(J810=1,"Overdue","Open - within SLA")))</x:f>
        <x:v>Open - within SLA</x:v>
      </x:c>
    </x:row>
    <x:row r="811">
      <x:c r="A811" s="14" t="str">
        <x:v>CASE-00806</x:v>
      </x:c>
      <x:c r="B811" s="14" t="str">
        <x:v>Warehouse</x:v>
      </x:c>
      <x:c r="C811" s="14" t="str">
        <x:v>Process deviation</x:v>
      </x:c>
      <x:c r="D811" s="14" t="str">
        <x:v>Medium</x:v>
      </x:c>
      <x:c r="E811" s="15" t="n">
        <x:v>46252.666666666664</x:v>
      </x:c>
      <x:c r="F811" s="15" t="n">
        <x:v>46259.666666666664</x:v>
      </x:c>
      <x:c r="G811" s="15" t="n">
        <x:v>46275.666666666664</x:v>
      </x:c>
      <x:c r="H811" s="14" t="n">
        <x:v>2</x:v>
      </x:c>
      <x:c r="I811" s="1" t="n">
        <x:f>IF(AND(E811&lt;Reporting!$B$4,OR(G811="",G811&gt;=Reporting!$B$4)),1,0)</x:f>
        <x:v>0</x:v>
      </x:c>
      <x:c r="J811" s="1" t="n">
        <x:f>IF(AND(I811=1,F811&lt;Reporting!$B$4),1,0)</x:f>
        <x:v>0</x:v>
      </x:c>
      <x:c r="K811" s="1" t="n">
        <x:f>IF(F811&lt;Reporting!$B$4,1,0)</x:f>
        <x:v>1</x:v>
      </x:c>
      <x:c r="L811" s="1" t="n">
        <x:f>IF(AND(K811=1,G811&lt;&gt;"",G811&lt;=F811),1,0)</x:f>
        <x:v>0</x:v>
      </x:c>
      <x:c r="M811" s="1" t="n">
        <x:f>IF(AND(G811&lt;&gt;"",G811&lt;Reporting!$B$4),1,0)</x:f>
        <x:v>1</x:v>
      </x:c>
      <x:c r="N811" s="16" t="n">
        <x:f>IF(M811=1,G811-E811,"")</x:f>
        <x:v>23</x:v>
      </x:c>
      <x:c r="O811" s="1" t="str">
        <x:f>IF(E811&gt;=Reporting!$B$4,"Outside cutoff",IF(M811=1,"Closed",IF(J811=1,"Overdue","Open - within SLA")))</x:f>
        <x:v>Closed</x:v>
      </x:c>
    </x:row>
    <x:row r="812">
      <x:c r="A812" s="14" t="str">
        <x:v>CASE-00807</x:v>
      </x:c>
      <x:c r="B812" s="14" t="str">
        <x:v>Warehouse</x:v>
      </x:c>
      <x:c r="C812" s="14" t="str">
        <x:v>Record mismatch</x:v>
      </x:c>
      <x:c r="D812" s="14" t="str">
        <x:v>Medium</x:v>
      </x:c>
      <x:c r="E812" s="15" t="n">
        <x:v>46213.666666666664</x:v>
      </x:c>
      <x:c r="F812" s="15" t="n">
        <x:v>46220.666666666664</x:v>
      </x:c>
      <x:c r="G812" s="15" t="n">
        <x:v>46220.708333333336</x:v>
      </x:c>
      <x:c r="H812" s="14" t="n">
        <x:v>2</x:v>
      </x:c>
      <x:c r="I812" s="1" t="n">
        <x:f>IF(AND(E812&lt;Reporting!$B$4,OR(G812="",G812&gt;=Reporting!$B$4)),1,0)</x:f>
        <x:v>0</x:v>
      </x:c>
      <x:c r="J812" s="1" t="n">
        <x:f>IF(AND(I812=1,F812&lt;Reporting!$B$4),1,0)</x:f>
        <x:v>0</x:v>
      </x:c>
      <x:c r="K812" s="1" t="n">
        <x:f>IF(F812&lt;Reporting!$B$4,1,0)</x:f>
        <x:v>1</x:v>
      </x:c>
      <x:c r="L812" s="1" t="n">
        <x:f>IF(AND(K812=1,G812&lt;&gt;"",G812&lt;=F812),1,0)</x:f>
        <x:v>0</x:v>
      </x:c>
      <x:c r="M812" s="1" t="n">
        <x:f>IF(AND(G812&lt;&gt;"",G812&lt;Reporting!$B$4),1,0)</x:f>
        <x:v>1</x:v>
      </x:c>
      <x:c r="N812" s="16" t="n">
        <x:f>IF(M812=1,G812-E812,"")</x:f>
        <x:v>7.041666666671517</x:v>
      </x:c>
      <x:c r="O812" s="1" t="str">
        <x:f>IF(E812&gt;=Reporting!$B$4,"Outside cutoff",IF(M812=1,"Closed",IF(J812=1,"Overdue","Open - within SLA")))</x:f>
        <x:v>Closed</x:v>
      </x:c>
    </x:row>
    <x:row r="813">
      <x:c r="A813" s="14" t="str">
        <x:v>CASE-00808</x:v>
      </x:c>
      <x:c r="B813" s="14" t="str">
        <x:v>Customer Services</x:v>
      </x:c>
      <x:c r="C813" s="14" t="str">
        <x:v>Missing evidence</x:v>
      </x:c>
      <x:c r="D813" s="14" t="str">
        <x:v>Medium</x:v>
      </x:c>
      <x:c r="E813" s="15" t="n">
        <x:v>46206.375</x:v>
      </x:c>
      <x:c r="F813" s="15" t="n">
        <x:v>46213.375</x:v>
      </x:c>
      <x:c r="G813" s="15" t="n">
        <x:v>46220.375</x:v>
      </x:c>
      <x:c r="H813" s="14" t="n">
        <x:v>1</x:v>
      </x:c>
      <x:c r="I813" s="1" t="n">
        <x:f>IF(AND(E813&lt;Reporting!$B$4,OR(G813="",G813&gt;=Reporting!$B$4)),1,0)</x:f>
        <x:v>0</x:v>
      </x:c>
      <x:c r="J813" s="1" t="n">
        <x:f>IF(AND(I813=1,F813&lt;Reporting!$B$4),1,0)</x:f>
        <x:v>0</x:v>
      </x:c>
      <x:c r="K813" s="1" t="n">
        <x:f>IF(F813&lt;Reporting!$B$4,1,0)</x:f>
        <x:v>1</x:v>
      </x:c>
      <x:c r="L813" s="1" t="n">
        <x:f>IF(AND(K813=1,G813&lt;&gt;"",G813&lt;=F813),1,0)</x:f>
        <x:v>0</x:v>
      </x:c>
      <x:c r="M813" s="1" t="n">
        <x:f>IF(AND(G813&lt;&gt;"",G813&lt;Reporting!$B$4),1,0)</x:f>
        <x:v>1</x:v>
      </x:c>
      <x:c r="N813" s="16" t="n">
        <x:f>IF(M813=1,G813-E813,"")</x:f>
        <x:v>14</x:v>
      </x:c>
      <x:c r="O813" s="1" t="str">
        <x:f>IF(E813&gt;=Reporting!$B$4,"Outside cutoff",IF(M813=1,"Closed",IF(J813=1,"Overdue","Open - within SLA")))</x:f>
        <x:v>Closed</x:v>
      </x:c>
    </x:row>
    <x:row r="814">
      <x:c r="A814" s="14" t="str">
        <x:v>CASE-00809</x:v>
      </x:c>
      <x:c r="B814" s="14" t="str">
        <x:v>Installation</x:v>
      </x:c>
      <x:c r="C814" s="14" t="str">
        <x:v>Late review</x:v>
      </x:c>
      <x:c r="D814" s="14" t="str">
        <x:v>Medium</x:v>
      </x:c>
      <x:c r="E814" s="15" t="n">
        <x:v>46243.541666666664</x:v>
      </x:c>
      <x:c r="F814" s="15" t="n">
        <x:v>46250.541666666664</x:v>
      </x:c>
      <x:c r="G814" s="15" t="n">
        <x:v>46253.583333333336</x:v>
      </x:c>
      <x:c r="H814" s="14" t="n">
        <x:v>3</x:v>
      </x:c>
      <x:c r="I814" s="1" t="n">
        <x:f>IF(AND(E814&lt;Reporting!$B$4,OR(G814="",G814&gt;=Reporting!$B$4)),1,0)</x:f>
        <x:v>0</x:v>
      </x:c>
      <x:c r="J814" s="1" t="n">
        <x:f>IF(AND(I814=1,F814&lt;Reporting!$B$4),1,0)</x:f>
        <x:v>0</x:v>
      </x:c>
      <x:c r="K814" s="1" t="n">
        <x:f>IF(F814&lt;Reporting!$B$4,1,0)</x:f>
        <x:v>1</x:v>
      </x:c>
      <x:c r="L814" s="1" t="n">
        <x:f>IF(AND(K814=1,G814&lt;&gt;"",G814&lt;=F814),1,0)</x:f>
        <x:v>0</x:v>
      </x:c>
      <x:c r="M814" s="1" t="n">
        <x:f>IF(AND(G814&lt;&gt;"",G814&lt;Reporting!$B$4),1,0)</x:f>
        <x:v>1</x:v>
      </x:c>
      <x:c r="N814" s="16" t="n">
        <x:f>IF(M814=1,G814-E814,"")</x:f>
        <x:v>10.041666666671517</x:v>
      </x:c>
      <x:c r="O814" s="1" t="str">
        <x:f>IF(E814&gt;=Reporting!$B$4,"Outside cutoff",IF(M814=1,"Closed",IF(J814=1,"Overdue","Open - within SLA")))</x:f>
        <x:v>Closed</x:v>
      </x:c>
    </x:row>
    <x:row r="815">
      <x:c r="A815" s="14" t="str">
        <x:v>CASE-00810</x:v>
      </x:c>
      <x:c r="B815" s="14" t="str">
        <x:v>Installation</x:v>
      </x:c>
      <x:c r="C815" s="14" t="str">
        <x:v>Record mismatch</x:v>
      </x:c>
      <x:c r="D815" s="14" t="str">
        <x:v>Medium</x:v>
      </x:c>
      <x:c r="E815" s="15" t="n">
        <x:v>46281.458333333336</x:v>
      </x:c>
      <x:c r="F815" s="15" t="n">
        <x:v>46288.458333333336</x:v>
      </x:c>
      <x:c r="G815" s="15"/>
      <x:c r="H815" s="14" t="n">
        <x:v>3</x:v>
      </x:c>
      <x:c r="I815" s="1" t="n">
        <x:f>IF(AND(E815&lt;Reporting!$B$4,OR(G815="",G815&gt;=Reporting!$B$4)),1,0)</x:f>
        <x:v>1</x:v>
      </x:c>
      <x:c r="J815" s="1" t="n">
        <x:f>IF(AND(I815=1,F815&lt;Reporting!$B$4),1,0)</x:f>
        <x:v>0</x:v>
      </x:c>
      <x:c r="K815" s="1" t="n">
        <x:f>IF(F815&lt;Reporting!$B$4,1,0)</x:f>
        <x:v>0</x:v>
      </x:c>
      <x:c r="L815" s="1" t="n">
        <x:f>IF(AND(K815=1,G815&lt;&gt;"",G815&lt;=F815),1,0)</x:f>
        <x:v>0</x:v>
      </x:c>
      <x:c r="M815" s="1" t="n">
        <x:f>IF(AND(G815&lt;&gt;"",G815&lt;Reporting!$B$4),1,0)</x:f>
        <x:v>0</x:v>
      </x:c>
      <x:c r="N815" s="16" t="str">
        <x:f>IF(M815=1,G815-E815,"")</x:f>
      </x:c>
      <x:c r="O815" s="1" t="str">
        <x:f>IF(E815&gt;=Reporting!$B$4,"Outside cutoff",IF(M815=1,"Closed",IF(J815=1,"Overdue","Open - within SLA")))</x:f>
        <x:v>Open - within SLA</x:v>
      </x:c>
    </x:row>
    <x:row r="816">
      <x:c r="A816" s="14" t="str">
        <x:v>CASE-00811</x:v>
      </x:c>
      <x:c r="B816" s="14" t="str">
        <x:v>Customer Services</x:v>
      </x:c>
      <x:c r="C816" s="14" t="str">
        <x:v>Missing evidence</x:v>
      </x:c>
      <x:c r="D816" s="14" t="str">
        <x:v>Medium</x:v>
      </x:c>
      <x:c r="E816" s="15" t="n">
        <x:v>46276.541666666664</x:v>
      </x:c>
      <x:c r="F816" s="15" t="n">
        <x:v>46283.541666666664</x:v>
      </x:c>
      <x:c r="G816" s="15" t="n">
        <x:v>46284.541666666664</x:v>
      </x:c>
      <x:c r="H816" s="14" t="n">
        <x:v>1</x:v>
      </x:c>
      <x:c r="I816" s="1" t="n">
        <x:f>IF(AND(E816&lt;Reporting!$B$4,OR(G816="",G816&gt;=Reporting!$B$4)),1,0)</x:f>
        <x:v>0</x:v>
      </x:c>
      <x:c r="J816" s="1" t="n">
        <x:f>IF(AND(I816=1,F816&lt;Reporting!$B$4),1,0)</x:f>
        <x:v>0</x:v>
      </x:c>
      <x:c r="K816" s="1" t="n">
        <x:f>IF(F816&lt;Reporting!$B$4,1,0)</x:f>
        <x:v>1</x:v>
      </x:c>
      <x:c r="L816" s="1" t="n">
        <x:f>IF(AND(K816=1,G816&lt;&gt;"",G816&lt;=F816),1,0)</x:f>
        <x:v>0</x:v>
      </x:c>
      <x:c r="M816" s="1" t="n">
        <x:f>IF(AND(G816&lt;&gt;"",G816&lt;Reporting!$B$4),1,0)</x:f>
        <x:v>1</x:v>
      </x:c>
      <x:c r="N816" s="16" t="n">
        <x:f>IF(M816=1,G816-E816,"")</x:f>
        <x:v>8</x:v>
      </x:c>
      <x:c r="O816" s="1" t="str">
        <x:f>IF(E816&gt;=Reporting!$B$4,"Outside cutoff",IF(M816=1,"Closed",IF(J816=1,"Overdue","Open - within SLA")))</x:f>
        <x:v>Closed</x:v>
      </x:c>
    </x:row>
    <x:row r="817">
      <x:c r="A817" s="14" t="str">
        <x:v>CASE-00812</x:v>
      </x:c>
      <x:c r="B817" s="14" t="str">
        <x:v>Installation</x:v>
      </x:c>
      <x:c r="C817" s="14" t="str">
        <x:v>Record mismatch</x:v>
      </x:c>
      <x:c r="D817" s="14" t="str">
        <x:v>Medium</x:v>
      </x:c>
      <x:c r="E817" s="15" t="n">
        <x:v>46284.625</x:v>
      </x:c>
      <x:c r="F817" s="15" t="n">
        <x:v>46291.625</x:v>
      </x:c>
      <x:c r="G817" s="15"/>
      <x:c r="H817" s="14" t="n">
        <x:v>3</x:v>
      </x:c>
      <x:c r="I817" s="1" t="n">
        <x:f>IF(AND(E817&lt;Reporting!$B$4,OR(G817="",G817&gt;=Reporting!$B$4)),1,0)</x:f>
        <x:v>1</x:v>
      </x:c>
      <x:c r="J817" s="1" t="n">
        <x:f>IF(AND(I817=1,F817&lt;Reporting!$B$4),1,0)</x:f>
        <x:v>0</x:v>
      </x:c>
      <x:c r="K817" s="1" t="n">
        <x:f>IF(F817&lt;Reporting!$B$4,1,0)</x:f>
        <x:v>0</x:v>
      </x:c>
      <x:c r="L817" s="1" t="n">
        <x:f>IF(AND(K817=1,G817&lt;&gt;"",G817&lt;=F817),1,0)</x:f>
        <x:v>0</x:v>
      </x:c>
      <x:c r="M817" s="1" t="n">
        <x:f>IF(AND(G817&lt;&gt;"",G817&lt;Reporting!$B$4),1,0)</x:f>
        <x:v>0</x:v>
      </x:c>
      <x:c r="N817" s="16" t="str">
        <x:f>IF(M817=1,G817-E817,"")</x:f>
      </x:c>
      <x:c r="O817" s="1" t="str">
        <x:f>IF(E817&gt;=Reporting!$B$4,"Outside cutoff",IF(M817=1,"Closed",IF(J817=1,"Overdue","Open - within SLA")))</x:f>
        <x:v>Open - within SLA</x:v>
      </x:c>
    </x:row>
    <x:row r="818">
      <x:c r="A818" s="14" t="str">
        <x:v>CASE-00813</x:v>
      </x:c>
      <x:c r="B818" s="14" t="str">
        <x:v>Customer Services</x:v>
      </x:c>
      <x:c r="C818" s="14" t="str">
        <x:v>Late review</x:v>
      </x:c>
      <x:c r="D818" s="14" t="str">
        <x:v>Low</x:v>
      </x:c>
      <x:c r="E818" s="15" t="n">
        <x:v>46235.625</x:v>
      </x:c>
      <x:c r="F818" s="15" t="n">
        <x:v>46249.625</x:v>
      </x:c>
      <x:c r="G818" s="15"/>
      <x:c r="H818" s="14" t="n">
        <x:v>1</x:v>
      </x:c>
      <x:c r="I818" s="1" t="n">
        <x:f>IF(AND(E818&lt;Reporting!$B$4,OR(G818="",G818&gt;=Reporting!$B$4)),1,0)</x:f>
        <x:v>1</x:v>
      </x:c>
      <x:c r="J818" s="1" t="n">
        <x:f>IF(AND(I818=1,F818&lt;Reporting!$B$4),1,0)</x:f>
        <x:v>1</x:v>
      </x:c>
      <x:c r="K818" s="1" t="n">
        <x:f>IF(F818&lt;Reporting!$B$4,1,0)</x:f>
        <x:v>1</x:v>
      </x:c>
      <x:c r="L818" s="1" t="n">
        <x:f>IF(AND(K818=1,G818&lt;&gt;"",G818&lt;=F818),1,0)</x:f>
        <x:v>0</x:v>
      </x:c>
      <x:c r="M818" s="1" t="n">
        <x:f>IF(AND(G818&lt;&gt;"",G818&lt;Reporting!$B$4),1,0)</x:f>
        <x:v>0</x:v>
      </x:c>
      <x:c r="N818" s="16" t="str">
        <x:f>IF(M818=1,G818-E818,"")</x:f>
      </x:c>
      <x:c r="O818" s="1" t="str">
        <x:f>IF(E818&gt;=Reporting!$B$4,"Outside cutoff",IF(M818=1,"Closed",IF(J818=1,"Overdue","Open - within SLA")))</x:f>
        <x:v>Overdue</x:v>
      </x:c>
    </x:row>
    <x:row r="819">
      <x:c r="A819" s="14" t="str">
        <x:v>CASE-00814</x:v>
      </x:c>
      <x:c r="B819" s="14" t="str">
        <x:v>Warehouse</x:v>
      </x:c>
      <x:c r="C819" s="14" t="str">
        <x:v>Missing evidence</x:v>
      </x:c>
      <x:c r="D819" s="14" t="str">
        <x:v>Medium</x:v>
      </x:c>
      <x:c r="E819" s="15" t="n">
        <x:v>46265.666666666664</x:v>
      </x:c>
      <x:c r="F819" s="15" t="n">
        <x:v>46272.666666666664</x:v>
      </x:c>
      <x:c r="G819" s="15" t="n">
        <x:v>46279.75</x:v>
      </x:c>
      <x:c r="H819" s="14" t="n">
        <x:v>2</x:v>
      </x:c>
      <x:c r="I819" s="1" t="n">
        <x:f>IF(AND(E819&lt;Reporting!$B$4,OR(G819="",G819&gt;=Reporting!$B$4)),1,0)</x:f>
        <x:v>0</x:v>
      </x:c>
      <x:c r="J819" s="1" t="n">
        <x:f>IF(AND(I819=1,F819&lt;Reporting!$B$4),1,0)</x:f>
        <x:v>0</x:v>
      </x:c>
      <x:c r="K819" s="1" t="n">
        <x:f>IF(F819&lt;Reporting!$B$4,1,0)</x:f>
        <x:v>1</x:v>
      </x:c>
      <x:c r="L819" s="1" t="n">
        <x:f>IF(AND(K819=1,G819&lt;&gt;"",G819&lt;=F819),1,0)</x:f>
        <x:v>0</x:v>
      </x:c>
      <x:c r="M819" s="1" t="n">
        <x:f>IF(AND(G819&lt;&gt;"",G819&lt;Reporting!$B$4),1,0)</x:f>
        <x:v>1</x:v>
      </x:c>
      <x:c r="N819" s="16" t="n">
        <x:f>IF(M819=1,G819-E819,"")</x:f>
        <x:v>14.083333333335759</x:v>
      </x:c>
      <x:c r="O819" s="1" t="str">
        <x:f>IF(E819&gt;=Reporting!$B$4,"Outside cutoff",IF(M819=1,"Closed",IF(J819=1,"Overdue","Open - within SLA")))</x:f>
        <x:v>Closed</x:v>
      </x:c>
    </x:row>
    <x:row r="820">
      <x:c r="A820" s="14" t="str">
        <x:v>CASE-00815</x:v>
      </x:c>
      <x:c r="B820" s="14" t="str">
        <x:v>Customer Services</x:v>
      </x:c>
      <x:c r="C820" s="14" t="str">
        <x:v>Process deviation</x:v>
      </x:c>
      <x:c r="D820" s="14" t="str">
        <x:v>Low</x:v>
      </x:c>
      <x:c r="E820" s="15" t="n">
        <x:v>46267.333333333336</x:v>
      </x:c>
      <x:c r="F820" s="15" t="n">
        <x:v>46281.333333333336</x:v>
      </x:c>
      <x:c r="G820" s="15" t="n">
        <x:v>46268.375</x:v>
      </x:c>
      <x:c r="H820" s="14" t="n">
        <x:v>1</x:v>
      </x:c>
      <x:c r="I820" s="1" t="n">
        <x:f>IF(AND(E820&lt;Reporting!$B$4,OR(G820="",G820&gt;=Reporting!$B$4)),1,0)</x:f>
        <x:v>0</x:v>
      </x:c>
      <x:c r="J820" s="1" t="n">
        <x:f>IF(AND(I820=1,F820&lt;Reporting!$B$4),1,0)</x:f>
        <x:v>0</x:v>
      </x:c>
      <x:c r="K820" s="1" t="n">
        <x:f>IF(F820&lt;Reporting!$B$4,1,0)</x:f>
        <x:v>1</x:v>
      </x:c>
      <x:c r="L820" s="1" t="n">
        <x:f>IF(AND(K820=1,G820&lt;&gt;"",G820&lt;=F820),1,0)</x:f>
        <x:v>1</x:v>
      </x:c>
      <x:c r="M820" s="1" t="n">
        <x:f>IF(AND(G820&lt;&gt;"",G820&lt;Reporting!$B$4),1,0)</x:f>
        <x:v>1</x:v>
      </x:c>
      <x:c r="N820" s="16" t="n">
        <x:f>IF(M820=1,G820-E820,"")</x:f>
        <x:v>1.0416666666642413</x:v>
      </x:c>
      <x:c r="O820" s="1" t="str">
        <x:f>IF(E820&gt;=Reporting!$B$4,"Outside cutoff",IF(M820=1,"Closed",IF(J820=1,"Overdue","Open - within SLA")))</x:f>
        <x:v>Closed</x:v>
      </x:c>
    </x:row>
    <x:row r="821">
      <x:c r="A821" s="14" t="str">
        <x:v>CASE-00816</x:v>
      </x:c>
      <x:c r="B821" s="14" t="str">
        <x:v>Installation</x:v>
      </x:c>
      <x:c r="C821" s="14" t="str">
        <x:v>Record mismatch</x:v>
      </x:c>
      <x:c r="D821" s="14" t="str">
        <x:v>High</x:v>
      </x:c>
      <x:c r="E821" s="15" t="n">
        <x:v>46246.375</x:v>
      </x:c>
      <x:c r="F821" s="15" t="n">
        <x:v>46249.375</x:v>
      </x:c>
      <x:c r="G821" s="15" t="n">
        <x:v>46249.458333333336</x:v>
      </x:c>
      <x:c r="H821" s="14" t="n">
        <x:v>3</x:v>
      </x:c>
      <x:c r="I821" s="1" t="n">
        <x:f>IF(AND(E821&lt;Reporting!$B$4,OR(G821="",G821&gt;=Reporting!$B$4)),1,0)</x:f>
        <x:v>0</x:v>
      </x:c>
      <x:c r="J821" s="1" t="n">
        <x:f>IF(AND(I821=1,F821&lt;Reporting!$B$4),1,0)</x:f>
        <x:v>0</x:v>
      </x:c>
      <x:c r="K821" s="1" t="n">
        <x:f>IF(F821&lt;Reporting!$B$4,1,0)</x:f>
        <x:v>1</x:v>
      </x:c>
      <x:c r="L821" s="1" t="n">
        <x:f>IF(AND(K821=1,G821&lt;&gt;"",G821&lt;=F821),1,0)</x:f>
        <x:v>0</x:v>
      </x:c>
      <x:c r="M821" s="1" t="n">
        <x:f>IF(AND(G821&lt;&gt;"",G821&lt;Reporting!$B$4),1,0)</x:f>
        <x:v>1</x:v>
      </x:c>
      <x:c r="N821" s="16" t="n">
        <x:f>IF(M821=1,G821-E821,"")</x:f>
        <x:v>3.0833333333357587</x:v>
      </x:c>
      <x:c r="O821" s="1" t="str">
        <x:f>IF(E821&gt;=Reporting!$B$4,"Outside cutoff",IF(M821=1,"Closed",IF(J821=1,"Overdue","Open - within SLA")))</x:f>
        <x:v>Closed</x:v>
      </x:c>
    </x:row>
    <x:row r="822">
      <x:c r="A822" s="14" t="str">
        <x:v>CASE-00817</x:v>
      </x:c>
      <x:c r="B822" s="14" t="str">
        <x:v>Installation</x:v>
      </x:c>
      <x:c r="C822" s="14" t="str">
        <x:v>Record mismatch</x:v>
      </x:c>
      <x:c r="D822" s="14" t="str">
        <x:v>Medium</x:v>
      </x:c>
      <x:c r="E822" s="15" t="n">
        <x:v>46230.583333333336</x:v>
      </x:c>
      <x:c r="F822" s="15" t="n">
        <x:v>46237.583333333336</x:v>
      </x:c>
      <x:c r="G822" s="15" t="n">
        <x:v>46231.625</x:v>
      </x:c>
      <x:c r="H822" s="14" t="n">
        <x:v>3</x:v>
      </x:c>
      <x:c r="I822" s="1" t="n">
        <x:f>IF(AND(E822&lt;Reporting!$B$4,OR(G822="",G822&gt;=Reporting!$B$4)),1,0)</x:f>
        <x:v>0</x:v>
      </x:c>
      <x:c r="J822" s="1" t="n">
        <x:f>IF(AND(I822=1,F822&lt;Reporting!$B$4),1,0)</x:f>
        <x:v>0</x:v>
      </x:c>
      <x:c r="K822" s="1" t="n">
        <x:f>IF(F822&lt;Reporting!$B$4,1,0)</x:f>
        <x:v>1</x:v>
      </x:c>
      <x:c r="L822" s="1" t="n">
        <x:f>IF(AND(K822=1,G822&lt;&gt;"",G822&lt;=F822),1,0)</x:f>
        <x:v>1</x:v>
      </x:c>
      <x:c r="M822" s="1" t="n">
        <x:f>IF(AND(G822&lt;&gt;"",G822&lt;Reporting!$B$4),1,0)</x:f>
        <x:v>1</x:v>
      </x:c>
      <x:c r="N822" s="16" t="n">
        <x:f>IF(M822=1,G822-E822,"")</x:f>
        <x:v>1.0416666666642413</x:v>
      </x:c>
      <x:c r="O822" s="1" t="str">
        <x:f>IF(E822&gt;=Reporting!$B$4,"Outside cutoff",IF(M822=1,"Closed",IF(J822=1,"Overdue","Open - within SLA")))</x:f>
        <x:v>Closed</x:v>
      </x:c>
    </x:row>
    <x:row r="823">
      <x:c r="A823" s="14" t="str">
        <x:v>CASE-00818</x:v>
      </x:c>
      <x:c r="B823" s="14" t="str">
        <x:v>Installation</x:v>
      </x:c>
      <x:c r="C823" s="14" t="str">
        <x:v>Late review</x:v>
      </x:c>
      <x:c r="D823" s="14" t="str">
        <x:v>High</x:v>
      </x:c>
      <x:c r="E823" s="15" t="n">
        <x:v>46231.666666666664</x:v>
      </x:c>
      <x:c r="F823" s="15" t="n">
        <x:v>46234.666666666664</x:v>
      </x:c>
      <x:c r="G823" s="15" t="n">
        <x:v>46235.75</x:v>
      </x:c>
      <x:c r="H823" s="14" t="n">
        <x:v>3</x:v>
      </x:c>
      <x:c r="I823" s="1" t="n">
        <x:f>IF(AND(E823&lt;Reporting!$B$4,OR(G823="",G823&gt;=Reporting!$B$4)),1,0)</x:f>
        <x:v>0</x:v>
      </x:c>
      <x:c r="J823" s="1" t="n">
        <x:f>IF(AND(I823=1,F823&lt;Reporting!$B$4),1,0)</x:f>
        <x:v>0</x:v>
      </x:c>
      <x:c r="K823" s="1" t="n">
        <x:f>IF(F823&lt;Reporting!$B$4,1,0)</x:f>
        <x:v>1</x:v>
      </x:c>
      <x:c r="L823" s="1" t="n">
        <x:f>IF(AND(K823=1,G823&lt;&gt;"",G823&lt;=F823),1,0)</x:f>
        <x:v>0</x:v>
      </x:c>
      <x:c r="M823" s="1" t="n">
        <x:f>IF(AND(G823&lt;&gt;"",G823&lt;Reporting!$B$4),1,0)</x:f>
        <x:v>1</x:v>
      </x:c>
      <x:c r="N823" s="16" t="n">
        <x:f>IF(M823=1,G823-E823,"")</x:f>
        <x:v>4.083333333335759</x:v>
      </x:c>
      <x:c r="O823" s="1" t="str">
        <x:f>IF(E823&gt;=Reporting!$B$4,"Outside cutoff",IF(M823=1,"Closed",IF(J823=1,"Overdue","Open - within SLA")))</x:f>
        <x:v>Closed</x:v>
      </x:c>
    </x:row>
    <x:row r="824">
      <x:c r="A824" s="14" t="str">
        <x:v>CASE-00819</x:v>
      </x:c>
      <x:c r="B824" s="14" t="str">
        <x:v>Warehouse</x:v>
      </x:c>
      <x:c r="C824" s="14" t="str">
        <x:v>Late review</x:v>
      </x:c>
      <x:c r="D824" s="14" t="str">
        <x:v>Medium</x:v>
      </x:c>
      <x:c r="E824" s="15" t="n">
        <x:v>46283.333333333336</x:v>
      </x:c>
      <x:c r="F824" s="15" t="n">
        <x:v>46290.333333333336</x:v>
      </x:c>
      <x:c r="G824" s="15"/>
      <x:c r="H824" s="14" t="n">
        <x:v>2</x:v>
      </x:c>
      <x:c r="I824" s="1" t="n">
        <x:f>IF(AND(E824&lt;Reporting!$B$4,OR(G824="",G824&gt;=Reporting!$B$4)),1,0)</x:f>
        <x:v>1</x:v>
      </x:c>
      <x:c r="J824" s="1" t="n">
        <x:f>IF(AND(I824=1,F824&lt;Reporting!$B$4),1,0)</x:f>
        <x:v>0</x:v>
      </x:c>
      <x:c r="K824" s="1" t="n">
        <x:f>IF(F824&lt;Reporting!$B$4,1,0)</x:f>
        <x:v>0</x:v>
      </x:c>
      <x:c r="L824" s="1" t="n">
        <x:f>IF(AND(K824=1,G824&lt;&gt;"",G824&lt;=F824),1,0)</x:f>
        <x:v>0</x:v>
      </x:c>
      <x:c r="M824" s="1" t="n">
        <x:f>IF(AND(G824&lt;&gt;"",G824&lt;Reporting!$B$4),1,0)</x:f>
        <x:v>0</x:v>
      </x:c>
      <x:c r="N824" s="16" t="str">
        <x:f>IF(M824=1,G824-E824,"")</x:f>
      </x:c>
      <x:c r="O824" s="1" t="str">
        <x:f>IF(E824&gt;=Reporting!$B$4,"Outside cutoff",IF(M824=1,"Closed",IF(J824=1,"Overdue","Open - within SLA")))</x:f>
        <x:v>Open - within SLA</x:v>
      </x:c>
    </x:row>
    <x:row r="825">
      <x:c r="A825" s="14" t="str">
        <x:v>CASE-00820</x:v>
      </x:c>
      <x:c r="B825" s="14" t="str">
        <x:v>Installation</x:v>
      </x:c>
      <x:c r="C825" s="14" t="str">
        <x:v>Late review</x:v>
      </x:c>
      <x:c r="D825" s="14" t="str">
        <x:v>Medium</x:v>
      </x:c>
      <x:c r="E825" s="15" t="n">
        <x:v>46283.333333333336</x:v>
      </x:c>
      <x:c r="F825" s="15" t="n">
        <x:v>46290.333333333336</x:v>
      </x:c>
      <x:c r="G825" s="15"/>
      <x:c r="H825" s="14" t="n">
        <x:v>3</x:v>
      </x:c>
      <x:c r="I825" s="1" t="n">
        <x:f>IF(AND(E825&lt;Reporting!$B$4,OR(G825="",G825&gt;=Reporting!$B$4)),1,0)</x:f>
        <x:v>1</x:v>
      </x:c>
      <x:c r="J825" s="1" t="n">
        <x:f>IF(AND(I825=1,F825&lt;Reporting!$B$4),1,0)</x:f>
        <x:v>0</x:v>
      </x:c>
      <x:c r="K825" s="1" t="n">
        <x:f>IF(F825&lt;Reporting!$B$4,1,0)</x:f>
        <x:v>0</x:v>
      </x:c>
      <x:c r="L825" s="1" t="n">
        <x:f>IF(AND(K825=1,G825&lt;&gt;"",G825&lt;=F825),1,0)</x:f>
        <x:v>0</x:v>
      </x:c>
      <x:c r="M825" s="1" t="n">
        <x:f>IF(AND(G825&lt;&gt;"",G825&lt;Reporting!$B$4),1,0)</x:f>
        <x:v>0</x:v>
      </x:c>
      <x:c r="N825" s="16" t="str">
        <x:f>IF(M825=1,G825-E825,"")</x:f>
      </x:c>
      <x:c r="O825" s="1" t="str">
        <x:f>IF(E825&gt;=Reporting!$B$4,"Outside cutoff",IF(M825=1,"Closed",IF(J825=1,"Overdue","Open - within SLA")))</x:f>
        <x:v>Open - within SLA</x:v>
      </x:c>
    </x:row>
    <x:row r="826">
      <x:c r="A826" s="14" t="str">
        <x:v>CASE-00821</x:v>
      </x:c>
      <x:c r="B826" s="14" t="str">
        <x:v>Installation</x:v>
      </x:c>
      <x:c r="C826" s="14" t="str">
        <x:v>Record mismatch</x:v>
      </x:c>
      <x:c r="D826" s="14" t="str">
        <x:v>Low</x:v>
      </x:c>
      <x:c r="E826" s="15" t="n">
        <x:v>46225.5</x:v>
      </x:c>
      <x:c r="F826" s="15" t="n">
        <x:v>46239.5</x:v>
      </x:c>
      <x:c r="G826" s="15"/>
      <x:c r="H826" s="14" t="n">
        <x:v>3</x:v>
      </x:c>
      <x:c r="I826" s="1" t="n">
        <x:f>IF(AND(E826&lt;Reporting!$B$4,OR(G826="",G826&gt;=Reporting!$B$4)),1,0)</x:f>
        <x:v>1</x:v>
      </x:c>
      <x:c r="J826" s="1" t="n">
        <x:f>IF(AND(I826=1,F826&lt;Reporting!$B$4),1,0)</x:f>
        <x:v>1</x:v>
      </x:c>
      <x:c r="K826" s="1" t="n">
        <x:f>IF(F826&lt;Reporting!$B$4,1,0)</x:f>
        <x:v>1</x:v>
      </x:c>
      <x:c r="L826" s="1" t="n">
        <x:f>IF(AND(K826=1,G826&lt;&gt;"",G826&lt;=F826),1,0)</x:f>
        <x:v>0</x:v>
      </x:c>
      <x:c r="M826" s="1" t="n">
        <x:f>IF(AND(G826&lt;&gt;"",G826&lt;Reporting!$B$4),1,0)</x:f>
        <x:v>0</x:v>
      </x:c>
      <x:c r="N826" s="16" t="str">
        <x:f>IF(M826=1,G826-E826,"")</x:f>
      </x:c>
      <x:c r="O826" s="1" t="str">
        <x:f>IF(E826&gt;=Reporting!$B$4,"Outside cutoff",IF(M826=1,"Closed",IF(J826=1,"Overdue","Open - within SLA")))</x:f>
        <x:v>Overdue</x:v>
      </x:c>
    </x:row>
    <x:row r="827">
      <x:c r="A827" s="14" t="str">
        <x:v>CASE-00822</x:v>
      </x:c>
      <x:c r="B827" s="14" t="str">
        <x:v>Installation</x:v>
      </x:c>
      <x:c r="C827" s="14" t="str">
        <x:v>Late review</x:v>
      </x:c>
      <x:c r="D827" s="14" t="str">
        <x:v>Medium</x:v>
      </x:c>
      <x:c r="E827" s="15" t="n">
        <x:v>46249.375</x:v>
      </x:c>
      <x:c r="F827" s="15" t="n">
        <x:v>46256.375</x:v>
      </x:c>
      <x:c r="G827" s="15"/>
      <x:c r="H827" s="14" t="n">
        <x:v>3</x:v>
      </x:c>
      <x:c r="I827" s="1" t="n">
        <x:f>IF(AND(E827&lt;Reporting!$B$4,OR(G827="",G827&gt;=Reporting!$B$4)),1,0)</x:f>
        <x:v>1</x:v>
      </x:c>
      <x:c r="J827" s="1" t="n">
        <x:f>IF(AND(I827=1,F827&lt;Reporting!$B$4),1,0)</x:f>
        <x:v>1</x:v>
      </x:c>
      <x:c r="K827" s="1" t="n">
        <x:f>IF(F827&lt;Reporting!$B$4,1,0)</x:f>
        <x:v>1</x:v>
      </x:c>
      <x:c r="L827" s="1" t="n">
        <x:f>IF(AND(K827=1,G827&lt;&gt;"",G827&lt;=F827),1,0)</x:f>
        <x:v>0</x:v>
      </x:c>
      <x:c r="M827" s="1" t="n">
        <x:f>IF(AND(G827&lt;&gt;"",G827&lt;Reporting!$B$4),1,0)</x:f>
        <x:v>0</x:v>
      </x:c>
      <x:c r="N827" s="16" t="str">
        <x:f>IF(M827=1,G827-E827,"")</x:f>
      </x:c>
      <x:c r="O827" s="1" t="str">
        <x:f>IF(E827&gt;=Reporting!$B$4,"Outside cutoff",IF(M827=1,"Closed",IF(J827=1,"Overdue","Open - within SLA")))</x:f>
        <x:v>Overdue</x:v>
      </x:c>
    </x:row>
    <x:row r="828">
      <x:c r="A828" s="14" t="str">
        <x:v>CASE-00823</x:v>
      </x:c>
      <x:c r="B828" s="14" t="str">
        <x:v>Customer Services</x:v>
      </x:c>
      <x:c r="C828" s="14" t="str">
        <x:v>Process deviation</x:v>
      </x:c>
      <x:c r="D828" s="14" t="str">
        <x:v>Low</x:v>
      </x:c>
      <x:c r="E828" s="15" t="n">
        <x:v>46204.541666666664</x:v>
      </x:c>
      <x:c r="F828" s="15" t="n">
        <x:v>46218.541666666664</x:v>
      </x:c>
      <x:c r="G828" s="15" t="n">
        <x:v>46217.625</x:v>
      </x:c>
      <x:c r="H828" s="14" t="n">
        <x:v>1</x:v>
      </x:c>
      <x:c r="I828" s="1" t="n">
        <x:f>IF(AND(E828&lt;Reporting!$B$4,OR(G828="",G828&gt;=Reporting!$B$4)),1,0)</x:f>
        <x:v>0</x:v>
      </x:c>
      <x:c r="J828" s="1" t="n">
        <x:f>IF(AND(I828=1,F828&lt;Reporting!$B$4),1,0)</x:f>
        <x:v>0</x:v>
      </x:c>
      <x:c r="K828" s="1" t="n">
        <x:f>IF(F828&lt;Reporting!$B$4,1,0)</x:f>
        <x:v>1</x:v>
      </x:c>
      <x:c r="L828" s="1" t="n">
        <x:f>IF(AND(K828=1,G828&lt;&gt;"",G828&lt;=F828),1,0)</x:f>
        <x:v>1</x:v>
      </x:c>
      <x:c r="M828" s="1" t="n">
        <x:f>IF(AND(G828&lt;&gt;"",G828&lt;Reporting!$B$4),1,0)</x:f>
        <x:v>1</x:v>
      </x:c>
      <x:c r="N828" s="16" t="n">
        <x:f>IF(M828=1,G828-E828,"")</x:f>
        <x:v>13.083333333335759</x:v>
      </x:c>
      <x:c r="O828" s="1" t="str">
        <x:f>IF(E828&gt;=Reporting!$B$4,"Outside cutoff",IF(M828=1,"Closed",IF(J828=1,"Overdue","Open - within SLA")))</x:f>
        <x:v>Closed</x:v>
      </x:c>
    </x:row>
    <x:row r="829">
      <x:c r="A829" s="14" t="str">
        <x:v>CASE-00824</x:v>
      </x:c>
      <x:c r="B829" s="14" t="str">
        <x:v>Installation</x:v>
      </x:c>
      <x:c r="C829" s="14" t="str">
        <x:v>Process deviation</x:v>
      </x:c>
      <x:c r="D829" s="14" t="str">
        <x:v>Medium</x:v>
      </x:c>
      <x:c r="E829" s="15" t="n">
        <x:v>46219.5</x:v>
      </x:c>
      <x:c r="F829" s="15" t="n">
        <x:v>46226.5</x:v>
      </x:c>
      <x:c r="G829" s="15"/>
      <x:c r="H829" s="14" t="n">
        <x:v>3</x:v>
      </x:c>
      <x:c r="I829" s="1" t="n">
        <x:f>IF(AND(E829&lt;Reporting!$B$4,OR(G829="",G829&gt;=Reporting!$B$4)),1,0)</x:f>
        <x:v>1</x:v>
      </x:c>
      <x:c r="J829" s="1" t="n">
        <x:f>IF(AND(I829=1,F829&lt;Reporting!$B$4),1,0)</x:f>
        <x:v>1</x:v>
      </x:c>
      <x:c r="K829" s="1" t="n">
        <x:f>IF(F829&lt;Reporting!$B$4,1,0)</x:f>
        <x:v>1</x:v>
      </x:c>
      <x:c r="L829" s="1" t="n">
        <x:f>IF(AND(K829=1,G829&lt;&gt;"",G829&lt;=F829),1,0)</x:f>
        <x:v>0</x:v>
      </x:c>
      <x:c r="M829" s="1" t="n">
        <x:f>IF(AND(G829&lt;&gt;"",G829&lt;Reporting!$B$4),1,0)</x:f>
        <x:v>0</x:v>
      </x:c>
      <x:c r="N829" s="16" t="str">
        <x:f>IF(M829=1,G829-E829,"")</x:f>
      </x:c>
      <x:c r="O829" s="1" t="str">
        <x:f>IF(E829&gt;=Reporting!$B$4,"Outside cutoff",IF(M829=1,"Closed",IF(J829=1,"Overdue","Open - within SLA")))</x:f>
        <x:v>Overdue</x:v>
      </x:c>
    </x:row>
    <x:row r="830">
      <x:c r="A830" s="14" t="str">
        <x:v>CASE-00825</x:v>
      </x:c>
      <x:c r="B830" s="14" t="str">
        <x:v>Customer Services</x:v>
      </x:c>
      <x:c r="C830" s="14" t="str">
        <x:v>Missing evidence</x:v>
      </x:c>
      <x:c r="D830" s="14" t="str">
        <x:v>High</x:v>
      </x:c>
      <x:c r="E830" s="15" t="n">
        <x:v>46271.541666666664</x:v>
      </x:c>
      <x:c r="F830" s="15" t="n">
        <x:v>46274.541666666664</x:v>
      </x:c>
      <x:c r="G830" s="15" t="n">
        <x:v>46284.583333333336</x:v>
      </x:c>
      <x:c r="H830" s="14" t="n">
        <x:v>1</x:v>
      </x:c>
      <x:c r="I830" s="1" t="n">
        <x:f>IF(AND(E830&lt;Reporting!$B$4,OR(G830="",G830&gt;=Reporting!$B$4)),1,0)</x:f>
        <x:v>0</x:v>
      </x:c>
      <x:c r="J830" s="1" t="n">
        <x:f>IF(AND(I830=1,F830&lt;Reporting!$B$4),1,0)</x:f>
        <x:v>0</x:v>
      </x:c>
      <x:c r="K830" s="1" t="n">
        <x:f>IF(F830&lt;Reporting!$B$4,1,0)</x:f>
        <x:v>1</x:v>
      </x:c>
      <x:c r="L830" s="1" t="n">
        <x:f>IF(AND(K830=1,G830&lt;&gt;"",G830&lt;=F830),1,0)</x:f>
        <x:v>0</x:v>
      </x:c>
      <x:c r="M830" s="1" t="n">
        <x:f>IF(AND(G830&lt;&gt;"",G830&lt;Reporting!$B$4),1,0)</x:f>
        <x:v>1</x:v>
      </x:c>
      <x:c r="N830" s="16" t="n">
        <x:f>IF(M830=1,G830-E830,"")</x:f>
        <x:v>13.041666666671517</x:v>
      </x:c>
      <x:c r="O830" s="1" t="str">
        <x:f>IF(E830&gt;=Reporting!$B$4,"Outside cutoff",IF(M830=1,"Closed",IF(J830=1,"Overdue","Open - within SLA")))</x:f>
        <x:v>Closed</x:v>
      </x:c>
    </x:row>
    <x:row r="831">
      <x:c r="A831" s="14" t="str">
        <x:v>CASE-00826</x:v>
      </x:c>
      <x:c r="B831" s="14" t="str">
        <x:v>Installation</x:v>
      </x:c>
      <x:c r="C831" s="14" t="str">
        <x:v>Record mismatch</x:v>
      </x:c>
      <x:c r="D831" s="14" t="str">
        <x:v>Low</x:v>
      </x:c>
      <x:c r="E831" s="15" t="n">
        <x:v>46209.416666666664</x:v>
      </x:c>
      <x:c r="F831" s="15" t="n">
        <x:v>46223.416666666664</x:v>
      </x:c>
      <x:c r="G831" s="15" t="n">
        <x:v>46210.458333333336</x:v>
      </x:c>
      <x:c r="H831" s="14" t="n">
        <x:v>3</x:v>
      </x:c>
      <x:c r="I831" s="1" t="n">
        <x:f>IF(AND(E831&lt;Reporting!$B$4,OR(G831="",G831&gt;=Reporting!$B$4)),1,0)</x:f>
        <x:v>0</x:v>
      </x:c>
      <x:c r="J831" s="1" t="n">
        <x:f>IF(AND(I831=1,F831&lt;Reporting!$B$4),1,0)</x:f>
        <x:v>0</x:v>
      </x:c>
      <x:c r="K831" s="1" t="n">
        <x:f>IF(F831&lt;Reporting!$B$4,1,0)</x:f>
        <x:v>1</x:v>
      </x:c>
      <x:c r="L831" s="1" t="n">
        <x:f>IF(AND(K831=1,G831&lt;&gt;"",G831&lt;=F831),1,0)</x:f>
        <x:v>1</x:v>
      </x:c>
      <x:c r="M831" s="1" t="n">
        <x:f>IF(AND(G831&lt;&gt;"",G831&lt;Reporting!$B$4),1,0)</x:f>
        <x:v>1</x:v>
      </x:c>
      <x:c r="N831" s="16" t="n">
        <x:f>IF(M831=1,G831-E831,"")</x:f>
        <x:v>1.0416666666715173</x:v>
      </x:c>
      <x:c r="O831" s="1" t="str">
        <x:f>IF(E831&gt;=Reporting!$B$4,"Outside cutoff",IF(M831=1,"Closed",IF(J831=1,"Overdue","Open - within SLA")))</x:f>
        <x:v>Closed</x:v>
      </x:c>
    </x:row>
    <x:row r="832">
      <x:c r="A832" s="14" t="str">
        <x:v>CASE-00827</x:v>
      </x:c>
      <x:c r="B832" s="14" t="str">
        <x:v>Customer Services</x:v>
      </x:c>
      <x:c r="C832" s="14" t="str">
        <x:v>Missing evidence</x:v>
      </x:c>
      <x:c r="D832" s="14" t="str">
        <x:v>High</x:v>
      </x:c>
      <x:c r="E832" s="15" t="n">
        <x:v>46202.583333333336</x:v>
      </x:c>
      <x:c r="F832" s="15" t="n">
        <x:v>46205.583333333336</x:v>
      </x:c>
      <x:c r="G832" s="15"/>
      <x:c r="H832" s="14" t="n">
        <x:v>1</x:v>
      </x:c>
      <x:c r="I832" s="1" t="n">
        <x:f>IF(AND(E832&lt;Reporting!$B$4,OR(G832="",G832&gt;=Reporting!$B$4)),1,0)</x:f>
        <x:v>1</x:v>
      </x:c>
      <x:c r="J832" s="1" t="n">
        <x:f>IF(AND(I832=1,F832&lt;Reporting!$B$4),1,0)</x:f>
        <x:v>1</x:v>
      </x:c>
      <x:c r="K832" s="1" t="n">
        <x:f>IF(F832&lt;Reporting!$B$4,1,0)</x:f>
        <x:v>1</x:v>
      </x:c>
      <x:c r="L832" s="1" t="n">
        <x:f>IF(AND(K832=1,G832&lt;&gt;"",G832&lt;=F832),1,0)</x:f>
        <x:v>0</x:v>
      </x:c>
      <x:c r="M832" s="1" t="n">
        <x:f>IF(AND(G832&lt;&gt;"",G832&lt;Reporting!$B$4),1,0)</x:f>
        <x:v>0</x:v>
      </x:c>
      <x:c r="N832" s="16" t="str">
        <x:f>IF(M832=1,G832-E832,"")</x:f>
      </x:c>
      <x:c r="O832" s="1" t="str">
        <x:f>IF(E832&gt;=Reporting!$B$4,"Outside cutoff",IF(M832=1,"Closed",IF(J832=1,"Overdue","Open - within SLA")))</x:f>
        <x:v>Overdue</x:v>
      </x:c>
    </x:row>
    <x:row r="833">
      <x:c r="A833" s="14" t="str">
        <x:v>CASE-00828</x:v>
      </x:c>
      <x:c r="B833" s="14" t="str">
        <x:v>Warehouse</x:v>
      </x:c>
      <x:c r="C833" s="14" t="str">
        <x:v>Record mismatch</x:v>
      </x:c>
      <x:c r="D833" s="14" t="str">
        <x:v>High</x:v>
      </x:c>
      <x:c r="E833" s="15" t="n">
        <x:v>46252.5</x:v>
      </x:c>
      <x:c r="F833" s="15" t="n">
        <x:v>46255.5</x:v>
      </x:c>
      <x:c r="G833" s="15" t="n">
        <x:v>46277.5</x:v>
      </x:c>
      <x:c r="H833" s="14" t="n">
        <x:v>2</x:v>
      </x:c>
      <x:c r="I833" s="1" t="n">
        <x:f>IF(AND(E833&lt;Reporting!$B$4,OR(G833="",G833&gt;=Reporting!$B$4)),1,0)</x:f>
        <x:v>0</x:v>
      </x:c>
      <x:c r="J833" s="1" t="n">
        <x:f>IF(AND(I833=1,F833&lt;Reporting!$B$4),1,0)</x:f>
        <x:v>0</x:v>
      </x:c>
      <x:c r="K833" s="1" t="n">
        <x:f>IF(F833&lt;Reporting!$B$4,1,0)</x:f>
        <x:v>1</x:v>
      </x:c>
      <x:c r="L833" s="1" t="n">
        <x:f>IF(AND(K833=1,G833&lt;&gt;"",G833&lt;=F833),1,0)</x:f>
        <x:v>0</x:v>
      </x:c>
      <x:c r="M833" s="1" t="n">
        <x:f>IF(AND(G833&lt;&gt;"",G833&lt;Reporting!$B$4),1,0)</x:f>
        <x:v>1</x:v>
      </x:c>
      <x:c r="N833" s="16" t="n">
        <x:f>IF(M833=1,G833-E833,"")</x:f>
        <x:v>25</x:v>
      </x:c>
      <x:c r="O833" s="1" t="str">
        <x:f>IF(E833&gt;=Reporting!$B$4,"Outside cutoff",IF(M833=1,"Closed",IF(J833=1,"Overdue","Open - within SLA")))</x:f>
        <x:v>Closed</x:v>
      </x:c>
    </x:row>
    <x:row r="834">
      <x:c r="A834" s="14" t="str">
        <x:v>CASE-00829</x:v>
      </x:c>
      <x:c r="B834" s="14" t="str">
        <x:v>Installation</x:v>
      </x:c>
      <x:c r="C834" s="14" t="str">
        <x:v>Process deviation</x:v>
      </x:c>
      <x:c r="D834" s="14" t="str">
        <x:v>Medium</x:v>
      </x:c>
      <x:c r="E834" s="15" t="n">
        <x:v>46271.625</x:v>
      </x:c>
      <x:c r="F834" s="15" t="n">
        <x:v>46278.625</x:v>
      </x:c>
      <x:c r="G834" s="15"/>
      <x:c r="H834" s="14" t="n">
        <x:v>3</x:v>
      </x:c>
      <x:c r="I834" s="1" t="n">
        <x:f>IF(AND(E834&lt;Reporting!$B$4,OR(G834="",G834&gt;=Reporting!$B$4)),1,0)</x:f>
        <x:v>1</x:v>
      </x:c>
      <x:c r="J834" s="1" t="n">
        <x:f>IF(AND(I834=1,F834&lt;Reporting!$B$4),1,0)</x:f>
        <x:v>1</x:v>
      </x:c>
      <x:c r="K834" s="1" t="n">
        <x:f>IF(F834&lt;Reporting!$B$4,1,0)</x:f>
        <x:v>1</x:v>
      </x:c>
      <x:c r="L834" s="1" t="n">
        <x:f>IF(AND(K834=1,G834&lt;&gt;"",G834&lt;=F834),1,0)</x:f>
        <x:v>0</x:v>
      </x:c>
      <x:c r="M834" s="1" t="n">
        <x:f>IF(AND(G834&lt;&gt;"",G834&lt;Reporting!$B$4),1,0)</x:f>
        <x:v>0</x:v>
      </x:c>
      <x:c r="N834" s="16" t="str">
        <x:f>IF(M834=1,G834-E834,"")</x:f>
      </x:c>
      <x:c r="O834" s="1" t="str">
        <x:f>IF(E834&gt;=Reporting!$B$4,"Outside cutoff",IF(M834=1,"Closed",IF(J834=1,"Overdue","Open - within SLA")))</x:f>
        <x:v>Overdue</x:v>
      </x:c>
    </x:row>
    <x:row r="835">
      <x:c r="A835" s="14" t="str">
        <x:v>CASE-00830</x:v>
      </x:c>
      <x:c r="B835" s="14" t="str">
        <x:v>Warehouse</x:v>
      </x:c>
      <x:c r="C835" s="14" t="str">
        <x:v>Process deviation</x:v>
      </x:c>
      <x:c r="D835" s="14" t="str">
        <x:v>Medium</x:v>
      </x:c>
      <x:c r="E835" s="15" t="n">
        <x:v>46252.458333333336</x:v>
      </x:c>
      <x:c r="F835" s="15" t="n">
        <x:v>46259.458333333336</x:v>
      </x:c>
      <x:c r="G835" s="15" t="n">
        <x:v>46270.5</x:v>
      </x:c>
      <x:c r="H835" s="14" t="n">
        <x:v>2</x:v>
      </x:c>
      <x:c r="I835" s="1" t="n">
        <x:f>IF(AND(E835&lt;Reporting!$B$4,OR(G835="",G835&gt;=Reporting!$B$4)),1,0)</x:f>
        <x:v>0</x:v>
      </x:c>
      <x:c r="J835" s="1" t="n">
        <x:f>IF(AND(I835=1,F835&lt;Reporting!$B$4),1,0)</x:f>
        <x:v>0</x:v>
      </x:c>
      <x:c r="K835" s="1" t="n">
        <x:f>IF(F835&lt;Reporting!$B$4,1,0)</x:f>
        <x:v>1</x:v>
      </x:c>
      <x:c r="L835" s="1" t="n">
        <x:f>IF(AND(K835=1,G835&lt;&gt;"",G835&lt;=F835),1,0)</x:f>
        <x:v>0</x:v>
      </x:c>
      <x:c r="M835" s="1" t="n">
        <x:f>IF(AND(G835&lt;&gt;"",G835&lt;Reporting!$B$4),1,0)</x:f>
        <x:v>1</x:v>
      </x:c>
      <x:c r="N835" s="16" t="n">
        <x:f>IF(M835=1,G835-E835,"")</x:f>
        <x:v>18.04166666666424</x:v>
      </x:c>
      <x:c r="O835" s="1" t="str">
        <x:f>IF(E835&gt;=Reporting!$B$4,"Outside cutoff",IF(M835=1,"Closed",IF(J835=1,"Overdue","Open - within SLA")))</x:f>
        <x:v>Closed</x:v>
      </x:c>
    </x:row>
    <x:row r="836">
      <x:c r="A836" s="14" t="str">
        <x:v>CASE-00831</x:v>
      </x:c>
      <x:c r="B836" s="14" t="str">
        <x:v>Installation</x:v>
      </x:c>
      <x:c r="C836" s="14" t="str">
        <x:v>Late review</x:v>
      </x:c>
      <x:c r="D836" s="14" t="str">
        <x:v>Medium</x:v>
      </x:c>
      <x:c r="E836" s="15" t="n">
        <x:v>46240.625</x:v>
      </x:c>
      <x:c r="F836" s="15" t="n">
        <x:v>46247.625</x:v>
      </x:c>
      <x:c r="G836" s="15" t="n">
        <x:v>46253.708333333336</x:v>
      </x:c>
      <x:c r="H836" s="14" t="n">
        <x:v>3</x:v>
      </x:c>
      <x:c r="I836" s="1" t="n">
        <x:f>IF(AND(E836&lt;Reporting!$B$4,OR(G836="",G836&gt;=Reporting!$B$4)),1,0)</x:f>
        <x:v>0</x:v>
      </x:c>
      <x:c r="J836" s="1" t="n">
        <x:f>IF(AND(I836=1,F836&lt;Reporting!$B$4),1,0)</x:f>
        <x:v>0</x:v>
      </x:c>
      <x:c r="K836" s="1" t="n">
        <x:f>IF(F836&lt;Reporting!$B$4,1,0)</x:f>
        <x:v>1</x:v>
      </x:c>
      <x:c r="L836" s="1" t="n">
        <x:f>IF(AND(K836=1,G836&lt;&gt;"",G836&lt;=F836),1,0)</x:f>
        <x:v>0</x:v>
      </x:c>
      <x:c r="M836" s="1" t="n">
        <x:f>IF(AND(G836&lt;&gt;"",G836&lt;Reporting!$B$4),1,0)</x:f>
        <x:v>1</x:v>
      </x:c>
      <x:c r="N836" s="16" t="n">
        <x:f>IF(M836=1,G836-E836,"")</x:f>
        <x:v>13.083333333335759</x:v>
      </x:c>
      <x:c r="O836" s="1" t="str">
        <x:f>IF(E836&gt;=Reporting!$B$4,"Outside cutoff",IF(M836=1,"Closed",IF(J836=1,"Overdue","Open - within SLA")))</x:f>
        <x:v>Closed</x:v>
      </x:c>
    </x:row>
    <x:row r="837">
      <x:c r="A837" s="14" t="str">
        <x:v>CASE-00832</x:v>
      </x:c>
      <x:c r="B837" s="14" t="str">
        <x:v>Warehouse</x:v>
      </x:c>
      <x:c r="C837" s="14" t="str">
        <x:v>Late review</x:v>
      </x:c>
      <x:c r="D837" s="14" t="str">
        <x:v>High</x:v>
      </x:c>
      <x:c r="E837" s="15" t="n">
        <x:v>46224.375</x:v>
      </x:c>
      <x:c r="F837" s="15" t="n">
        <x:v>46227.375</x:v>
      </x:c>
      <x:c r="G837" s="15" t="n">
        <x:v>46233.375</x:v>
      </x:c>
      <x:c r="H837" s="14" t="n">
        <x:v>2</x:v>
      </x:c>
      <x:c r="I837" s="1" t="n">
        <x:f>IF(AND(E837&lt;Reporting!$B$4,OR(G837="",G837&gt;=Reporting!$B$4)),1,0)</x:f>
        <x:v>0</x:v>
      </x:c>
      <x:c r="J837" s="1" t="n">
        <x:f>IF(AND(I837=1,F837&lt;Reporting!$B$4),1,0)</x:f>
        <x:v>0</x:v>
      </x:c>
      <x:c r="K837" s="1" t="n">
        <x:f>IF(F837&lt;Reporting!$B$4,1,0)</x:f>
        <x:v>1</x:v>
      </x:c>
      <x:c r="L837" s="1" t="n">
        <x:f>IF(AND(K837=1,G837&lt;&gt;"",G837&lt;=F837),1,0)</x:f>
        <x:v>0</x:v>
      </x:c>
      <x:c r="M837" s="1" t="n">
        <x:f>IF(AND(G837&lt;&gt;"",G837&lt;Reporting!$B$4),1,0)</x:f>
        <x:v>1</x:v>
      </x:c>
      <x:c r="N837" s="16" t="n">
        <x:f>IF(M837=1,G837-E837,"")</x:f>
        <x:v>9</x:v>
      </x:c>
      <x:c r="O837" s="1" t="str">
        <x:f>IF(E837&gt;=Reporting!$B$4,"Outside cutoff",IF(M837=1,"Closed",IF(J837=1,"Overdue","Open - within SLA")))</x:f>
        <x:v>Closed</x:v>
      </x:c>
    </x:row>
    <x:row r="838">
      <x:c r="A838" s="14" t="str">
        <x:v>CASE-00833</x:v>
      </x:c>
      <x:c r="B838" s="14" t="str">
        <x:v>Warehouse</x:v>
      </x:c>
      <x:c r="C838" s="14" t="str">
        <x:v>Record mismatch</x:v>
      </x:c>
      <x:c r="D838" s="14" t="str">
        <x:v>High</x:v>
      </x:c>
      <x:c r="E838" s="15" t="n">
        <x:v>46275.375</x:v>
      </x:c>
      <x:c r="F838" s="15" t="n">
        <x:v>46278.375</x:v>
      </x:c>
      <x:c r="G838" s="15"/>
      <x:c r="H838" s="14" t="n">
        <x:v>2</x:v>
      </x:c>
      <x:c r="I838" s="1" t="n">
        <x:f>IF(AND(E838&lt;Reporting!$B$4,OR(G838="",G838&gt;=Reporting!$B$4)),1,0)</x:f>
        <x:v>1</x:v>
      </x:c>
      <x:c r="J838" s="1" t="n">
        <x:f>IF(AND(I838=1,F838&lt;Reporting!$B$4),1,0)</x:f>
        <x:v>1</x:v>
      </x:c>
      <x:c r="K838" s="1" t="n">
        <x:f>IF(F838&lt;Reporting!$B$4,1,0)</x:f>
        <x:v>1</x:v>
      </x:c>
      <x:c r="L838" s="1" t="n">
        <x:f>IF(AND(K838=1,G838&lt;&gt;"",G838&lt;=F838),1,0)</x:f>
        <x:v>0</x:v>
      </x:c>
      <x:c r="M838" s="1" t="n">
        <x:f>IF(AND(G838&lt;&gt;"",G838&lt;Reporting!$B$4),1,0)</x:f>
        <x:v>0</x:v>
      </x:c>
      <x:c r="N838" s="16" t="str">
        <x:f>IF(M838=1,G838-E838,"")</x:f>
      </x:c>
      <x:c r="O838" s="1" t="str">
        <x:f>IF(E838&gt;=Reporting!$B$4,"Outside cutoff",IF(M838=1,"Closed",IF(J838=1,"Overdue","Open - within SLA")))</x:f>
        <x:v>Overdue</x:v>
      </x:c>
    </x:row>
    <x:row r="839">
      <x:c r="A839" s="14" t="str">
        <x:v>CASE-00834</x:v>
      </x:c>
      <x:c r="B839" s="14" t="str">
        <x:v>Warehouse</x:v>
      </x:c>
      <x:c r="C839" s="14" t="str">
        <x:v>Process deviation</x:v>
      </x:c>
      <x:c r="D839" s="14" t="str">
        <x:v>High</x:v>
      </x:c>
      <x:c r="E839" s="15" t="n">
        <x:v>46231.666666666664</x:v>
      </x:c>
      <x:c r="F839" s="15" t="n">
        <x:v>46234.666666666664</x:v>
      </x:c>
      <x:c r="G839" s="15" t="n">
        <x:v>46248.666666666664</x:v>
      </x:c>
      <x:c r="H839" s="14" t="n">
        <x:v>2</x:v>
      </x:c>
      <x:c r="I839" s="1" t="n">
        <x:f>IF(AND(E839&lt;Reporting!$B$4,OR(G839="",G839&gt;=Reporting!$B$4)),1,0)</x:f>
        <x:v>0</x:v>
      </x:c>
      <x:c r="J839" s="1" t="n">
        <x:f>IF(AND(I839=1,F839&lt;Reporting!$B$4),1,0)</x:f>
        <x:v>0</x:v>
      </x:c>
      <x:c r="K839" s="1" t="n">
        <x:f>IF(F839&lt;Reporting!$B$4,1,0)</x:f>
        <x:v>1</x:v>
      </x:c>
      <x:c r="L839" s="1" t="n">
        <x:f>IF(AND(K839=1,G839&lt;&gt;"",G839&lt;=F839),1,0)</x:f>
        <x:v>0</x:v>
      </x:c>
      <x:c r="M839" s="1" t="n">
        <x:f>IF(AND(G839&lt;&gt;"",G839&lt;Reporting!$B$4),1,0)</x:f>
        <x:v>1</x:v>
      </x:c>
      <x:c r="N839" s="16" t="n">
        <x:f>IF(M839=1,G839-E839,"")</x:f>
        <x:v>17</x:v>
      </x:c>
      <x:c r="O839" s="1" t="str">
        <x:f>IF(E839&gt;=Reporting!$B$4,"Outside cutoff",IF(M839=1,"Closed",IF(J839=1,"Overdue","Open - within SLA")))</x:f>
        <x:v>Closed</x:v>
      </x:c>
    </x:row>
    <x:row r="840">
      <x:c r="A840" s="14" t="str">
        <x:v>CASE-00835</x:v>
      </x:c>
      <x:c r="B840" s="14" t="str">
        <x:v>Warehouse</x:v>
      </x:c>
      <x:c r="C840" s="14" t="str">
        <x:v>Late review</x:v>
      </x:c>
      <x:c r="D840" s="14" t="str">
        <x:v>High</x:v>
      </x:c>
      <x:c r="E840" s="15" t="n">
        <x:v>46233.625</x:v>
      </x:c>
      <x:c r="F840" s="15" t="n">
        <x:v>46236.625</x:v>
      </x:c>
      <x:c r="G840" s="15" t="n">
        <x:v>46248.708333333336</x:v>
      </x:c>
      <x:c r="H840" s="14" t="n">
        <x:v>2</x:v>
      </x:c>
      <x:c r="I840" s="1" t="n">
        <x:f>IF(AND(E840&lt;Reporting!$B$4,OR(G840="",G840&gt;=Reporting!$B$4)),1,0)</x:f>
        <x:v>0</x:v>
      </x:c>
      <x:c r="J840" s="1" t="n">
        <x:f>IF(AND(I840=1,F840&lt;Reporting!$B$4),1,0)</x:f>
        <x:v>0</x:v>
      </x:c>
      <x:c r="K840" s="1" t="n">
        <x:f>IF(F840&lt;Reporting!$B$4,1,0)</x:f>
        <x:v>1</x:v>
      </x:c>
      <x:c r="L840" s="1" t="n">
        <x:f>IF(AND(K840=1,G840&lt;&gt;"",G840&lt;=F840),1,0)</x:f>
        <x:v>0</x:v>
      </x:c>
      <x:c r="M840" s="1" t="n">
        <x:f>IF(AND(G840&lt;&gt;"",G840&lt;Reporting!$B$4),1,0)</x:f>
        <x:v>1</x:v>
      </x:c>
      <x:c r="N840" s="16" t="n">
        <x:f>IF(M840=1,G840-E840,"")</x:f>
        <x:v>15.083333333335759</x:v>
      </x:c>
      <x:c r="O840" s="1" t="str">
        <x:f>IF(E840&gt;=Reporting!$B$4,"Outside cutoff",IF(M840=1,"Closed",IF(J840=1,"Overdue","Open - within SLA")))</x:f>
        <x:v>Closed</x:v>
      </x:c>
    </x:row>
    <x:row r="841">
      <x:c r="A841" s="14" t="str">
        <x:v>CASE-00836</x:v>
      </x:c>
      <x:c r="B841" s="14" t="str">
        <x:v>Customer Services</x:v>
      </x:c>
      <x:c r="C841" s="14" t="str">
        <x:v>Process deviation</x:v>
      </x:c>
      <x:c r="D841" s="14" t="str">
        <x:v>Medium</x:v>
      </x:c>
      <x:c r="E841" s="15" t="n">
        <x:v>46233.625</x:v>
      </x:c>
      <x:c r="F841" s="15" t="n">
        <x:v>46240.625</x:v>
      </x:c>
      <x:c r="G841" s="15" t="n">
        <x:v>46251.625</x:v>
      </x:c>
      <x:c r="H841" s="14" t="n">
        <x:v>1</x:v>
      </x:c>
      <x:c r="I841" s="1" t="n">
        <x:f>IF(AND(E841&lt;Reporting!$B$4,OR(G841="",G841&gt;=Reporting!$B$4)),1,0)</x:f>
        <x:v>0</x:v>
      </x:c>
      <x:c r="J841" s="1" t="n">
        <x:f>IF(AND(I841=1,F841&lt;Reporting!$B$4),1,0)</x:f>
        <x:v>0</x:v>
      </x:c>
      <x:c r="K841" s="1" t="n">
        <x:f>IF(F841&lt;Reporting!$B$4,1,0)</x:f>
        <x:v>1</x:v>
      </x:c>
      <x:c r="L841" s="1" t="n">
        <x:f>IF(AND(K841=1,G841&lt;&gt;"",G841&lt;=F841),1,0)</x:f>
        <x:v>0</x:v>
      </x:c>
      <x:c r="M841" s="1" t="n">
        <x:f>IF(AND(G841&lt;&gt;"",G841&lt;Reporting!$B$4),1,0)</x:f>
        <x:v>1</x:v>
      </x:c>
      <x:c r="N841" s="16" t="n">
        <x:f>IF(M841=1,G841-E841,"")</x:f>
        <x:v>18</x:v>
      </x:c>
      <x:c r="O841" s="1" t="str">
        <x:f>IF(E841&gt;=Reporting!$B$4,"Outside cutoff",IF(M841=1,"Closed",IF(J841=1,"Overdue","Open - within SLA")))</x:f>
        <x:v>Closed</x:v>
      </x:c>
    </x:row>
    <x:row r="842">
      <x:c r="A842" s="14" t="str">
        <x:v>CASE-00837</x:v>
      </x:c>
      <x:c r="B842" s="14" t="str">
        <x:v>Customer Services</x:v>
      </x:c>
      <x:c r="C842" s="14" t="str">
        <x:v>Late review</x:v>
      </x:c>
      <x:c r="D842" s="14" t="str">
        <x:v>Medium</x:v>
      </x:c>
      <x:c r="E842" s="15" t="n">
        <x:v>46244.416666666664</x:v>
      </x:c>
      <x:c r="F842" s="15" t="n">
        <x:v>46251.416666666664</x:v>
      </x:c>
      <x:c r="G842" s="15" t="n">
        <x:v>46245.416666666664</x:v>
      </x:c>
      <x:c r="H842" s="14" t="n">
        <x:v>1</x:v>
      </x:c>
      <x:c r="I842" s="1" t="n">
        <x:f>IF(AND(E842&lt;Reporting!$B$4,OR(G842="",G842&gt;=Reporting!$B$4)),1,0)</x:f>
        <x:v>0</x:v>
      </x:c>
      <x:c r="J842" s="1" t="n">
        <x:f>IF(AND(I842=1,F842&lt;Reporting!$B$4),1,0)</x:f>
        <x:v>0</x:v>
      </x:c>
      <x:c r="K842" s="1" t="n">
        <x:f>IF(F842&lt;Reporting!$B$4,1,0)</x:f>
        <x:v>1</x:v>
      </x:c>
      <x:c r="L842" s="1" t="n">
        <x:f>IF(AND(K842=1,G842&lt;&gt;"",G842&lt;=F842),1,0)</x:f>
        <x:v>1</x:v>
      </x:c>
      <x:c r="M842" s="1" t="n">
        <x:f>IF(AND(G842&lt;&gt;"",G842&lt;Reporting!$B$4),1,0)</x:f>
        <x:v>1</x:v>
      </x:c>
      <x:c r="N842" s="16" t="n">
        <x:f>IF(M842=1,G842-E842,"")</x:f>
        <x:v>1</x:v>
      </x:c>
      <x:c r="O842" s="1" t="str">
        <x:f>IF(E842&gt;=Reporting!$B$4,"Outside cutoff",IF(M842=1,"Closed",IF(J842=1,"Overdue","Open - within SLA")))</x:f>
        <x:v>Closed</x:v>
      </x:c>
    </x:row>
    <x:row r="843">
      <x:c r="A843" s="14" t="str">
        <x:v>CASE-00838</x:v>
      </x:c>
      <x:c r="B843" s="14" t="str">
        <x:v>Customer Services</x:v>
      </x:c>
      <x:c r="C843" s="14" t="str">
        <x:v>Process deviation</x:v>
      </x:c>
      <x:c r="D843" s="14" t="str">
        <x:v>Medium</x:v>
      </x:c>
      <x:c r="E843" s="15" t="n">
        <x:v>46207.583333333336</x:v>
      </x:c>
      <x:c r="F843" s="15" t="n">
        <x:v>46214.583333333336</x:v>
      </x:c>
      <x:c r="G843" s="15" t="n">
        <x:v>46211.666666666664</x:v>
      </x:c>
      <x:c r="H843" s="14" t="n">
        <x:v>1</x:v>
      </x:c>
      <x:c r="I843" s="1" t="n">
        <x:f>IF(AND(E843&lt;Reporting!$B$4,OR(G843="",G843&gt;=Reporting!$B$4)),1,0)</x:f>
        <x:v>0</x:v>
      </x:c>
      <x:c r="J843" s="1" t="n">
        <x:f>IF(AND(I843=1,F843&lt;Reporting!$B$4),1,0)</x:f>
        <x:v>0</x:v>
      </x:c>
      <x:c r="K843" s="1" t="n">
        <x:f>IF(F843&lt;Reporting!$B$4,1,0)</x:f>
        <x:v>1</x:v>
      </x:c>
      <x:c r="L843" s="1" t="n">
        <x:f>IF(AND(K843=1,G843&lt;&gt;"",G843&lt;=F843),1,0)</x:f>
        <x:v>1</x:v>
      </x:c>
      <x:c r="M843" s="1" t="n">
        <x:f>IF(AND(G843&lt;&gt;"",G843&lt;Reporting!$B$4),1,0)</x:f>
        <x:v>1</x:v>
      </x:c>
      <x:c r="N843" s="16" t="n">
        <x:f>IF(M843=1,G843-E843,"")</x:f>
        <x:v>4.083333333328483</x:v>
      </x:c>
      <x:c r="O843" s="1" t="str">
        <x:f>IF(E843&gt;=Reporting!$B$4,"Outside cutoff",IF(M843=1,"Closed",IF(J843=1,"Overdue","Open - within SLA")))</x:f>
        <x:v>Closed</x:v>
      </x:c>
    </x:row>
    <x:row r="844">
      <x:c r="A844" s="14" t="str">
        <x:v>CASE-00839</x:v>
      </x:c>
      <x:c r="B844" s="14" t="str">
        <x:v>Customer Services</x:v>
      </x:c>
      <x:c r="C844" s="14" t="str">
        <x:v>Late review</x:v>
      </x:c>
      <x:c r="D844" s="14" t="str">
        <x:v>Medium</x:v>
      </x:c>
      <x:c r="E844" s="15" t="n">
        <x:v>46249.458333333336</x:v>
      </x:c>
      <x:c r="F844" s="15" t="n">
        <x:v>46256.458333333336</x:v>
      </x:c>
      <x:c r="G844" s="15" t="n">
        <x:v>46262.458333333336</x:v>
      </x:c>
      <x:c r="H844" s="14" t="n">
        <x:v>1</x:v>
      </x:c>
      <x:c r="I844" s="1" t="n">
        <x:f>IF(AND(E844&lt;Reporting!$B$4,OR(G844="",G844&gt;=Reporting!$B$4)),1,0)</x:f>
        <x:v>0</x:v>
      </x:c>
      <x:c r="J844" s="1" t="n">
        <x:f>IF(AND(I844=1,F844&lt;Reporting!$B$4),1,0)</x:f>
        <x:v>0</x:v>
      </x:c>
      <x:c r="K844" s="1" t="n">
        <x:f>IF(F844&lt;Reporting!$B$4,1,0)</x:f>
        <x:v>1</x:v>
      </x:c>
      <x:c r="L844" s="1" t="n">
        <x:f>IF(AND(K844=1,G844&lt;&gt;"",G844&lt;=F844),1,0)</x:f>
        <x:v>0</x:v>
      </x:c>
      <x:c r="M844" s="1" t="n">
        <x:f>IF(AND(G844&lt;&gt;"",G844&lt;Reporting!$B$4),1,0)</x:f>
        <x:v>1</x:v>
      </x:c>
      <x:c r="N844" s="16" t="n">
        <x:f>IF(M844=1,G844-E844,"")</x:f>
        <x:v>13</x:v>
      </x:c>
      <x:c r="O844" s="1" t="str">
        <x:f>IF(E844&gt;=Reporting!$B$4,"Outside cutoff",IF(M844=1,"Closed",IF(J844=1,"Overdue","Open - within SLA")))</x:f>
        <x:v>Closed</x:v>
      </x:c>
    </x:row>
    <x:row r="845">
      <x:c r="A845" s="14" t="str">
        <x:v>CASE-00840</x:v>
      </x:c>
      <x:c r="B845" s="14" t="str">
        <x:v>Warehouse</x:v>
      </x:c>
      <x:c r="C845" s="14" t="str">
        <x:v>Missing evidence</x:v>
      </x:c>
      <x:c r="D845" s="14" t="str">
        <x:v>High</x:v>
      </x:c>
      <x:c r="E845" s="15" t="n">
        <x:v>46225.666666666664</x:v>
      </x:c>
      <x:c r="F845" s="15" t="n">
        <x:v>46228.666666666664</x:v>
      </x:c>
      <x:c r="G845" s="15" t="n">
        <x:v>46241.708333333336</x:v>
      </x:c>
      <x:c r="H845" s="14" t="n">
        <x:v>2</x:v>
      </x:c>
      <x:c r="I845" s="1" t="n">
        <x:f>IF(AND(E845&lt;Reporting!$B$4,OR(G845="",G845&gt;=Reporting!$B$4)),1,0)</x:f>
        <x:v>0</x:v>
      </x:c>
      <x:c r="J845" s="1" t="n">
        <x:f>IF(AND(I845=1,F845&lt;Reporting!$B$4),1,0)</x:f>
        <x:v>0</x:v>
      </x:c>
      <x:c r="K845" s="1" t="n">
        <x:f>IF(F845&lt;Reporting!$B$4,1,0)</x:f>
        <x:v>1</x:v>
      </x:c>
      <x:c r="L845" s="1" t="n">
        <x:f>IF(AND(K845=1,G845&lt;&gt;"",G845&lt;=F845),1,0)</x:f>
        <x:v>0</x:v>
      </x:c>
      <x:c r="M845" s="1" t="n">
        <x:f>IF(AND(G845&lt;&gt;"",G845&lt;Reporting!$B$4),1,0)</x:f>
        <x:v>1</x:v>
      </x:c>
      <x:c r="N845" s="16" t="n">
        <x:f>IF(M845=1,G845-E845,"")</x:f>
        <x:v>16.041666666671517</x:v>
      </x:c>
      <x:c r="O845" s="1" t="str">
        <x:f>IF(E845&gt;=Reporting!$B$4,"Outside cutoff",IF(M845=1,"Closed",IF(J845=1,"Overdue","Open - within SLA")))</x:f>
        <x:v>Closed</x:v>
      </x:c>
    </x:row>
    <x:row r="846">
      <x:c r="A846" s="14" t="str">
        <x:v>CASE-00841</x:v>
      </x:c>
      <x:c r="B846" s="14" t="str">
        <x:v>Warehouse</x:v>
      </x:c>
      <x:c r="C846" s="14" t="str">
        <x:v>Record mismatch</x:v>
      </x:c>
      <x:c r="D846" s="14" t="str">
        <x:v>Medium</x:v>
      </x:c>
      <x:c r="E846" s="15" t="n">
        <x:v>46255.583333333336</x:v>
      </x:c>
      <x:c r="F846" s="15" t="n">
        <x:v>46262.583333333336</x:v>
      </x:c>
      <x:c r="G846" s="15" t="n">
        <x:v>46281.666666666664</x:v>
      </x:c>
      <x:c r="H846" s="14" t="n">
        <x:v>2</x:v>
      </x:c>
      <x:c r="I846" s="1" t="n">
        <x:f>IF(AND(E846&lt;Reporting!$B$4,OR(G846="",G846&gt;=Reporting!$B$4)),1,0)</x:f>
        <x:v>0</x:v>
      </x:c>
      <x:c r="J846" s="1" t="n">
        <x:f>IF(AND(I846=1,F846&lt;Reporting!$B$4),1,0)</x:f>
        <x:v>0</x:v>
      </x:c>
      <x:c r="K846" s="1" t="n">
        <x:f>IF(F846&lt;Reporting!$B$4,1,0)</x:f>
        <x:v>1</x:v>
      </x:c>
      <x:c r="L846" s="1" t="n">
        <x:f>IF(AND(K846=1,G846&lt;&gt;"",G846&lt;=F846),1,0)</x:f>
        <x:v>0</x:v>
      </x:c>
      <x:c r="M846" s="1" t="n">
        <x:f>IF(AND(G846&lt;&gt;"",G846&lt;Reporting!$B$4),1,0)</x:f>
        <x:v>1</x:v>
      </x:c>
      <x:c r="N846" s="16" t="n">
        <x:f>IF(M846=1,G846-E846,"")</x:f>
        <x:v>26.083333333328483</x:v>
      </x:c>
      <x:c r="O846" s="1" t="str">
        <x:f>IF(E846&gt;=Reporting!$B$4,"Outside cutoff",IF(M846=1,"Closed",IF(J846=1,"Overdue","Open - within SLA")))</x:f>
        <x:v>Closed</x:v>
      </x:c>
    </x:row>
    <x:row r="847">
      <x:c r="A847" s="14" t="str">
        <x:v>CASE-00842</x:v>
      </x:c>
      <x:c r="B847" s="14" t="str">
        <x:v>Customer Services</x:v>
      </x:c>
      <x:c r="C847" s="14" t="str">
        <x:v>Late review</x:v>
      </x:c>
      <x:c r="D847" s="14" t="str">
        <x:v>Low</x:v>
      </x:c>
      <x:c r="E847" s="15" t="n">
        <x:v>46209.541666666664</x:v>
      </x:c>
      <x:c r="F847" s="15" t="n">
        <x:v>46223.541666666664</x:v>
      </x:c>
      <x:c r="G847" s="15" t="n">
        <x:v>46222.583333333336</x:v>
      </x:c>
      <x:c r="H847" s="14" t="n">
        <x:v>1</x:v>
      </x:c>
      <x:c r="I847" s="1" t="n">
        <x:f>IF(AND(E847&lt;Reporting!$B$4,OR(G847="",G847&gt;=Reporting!$B$4)),1,0)</x:f>
        <x:v>0</x:v>
      </x:c>
      <x:c r="J847" s="1" t="n">
        <x:f>IF(AND(I847=1,F847&lt;Reporting!$B$4),1,0)</x:f>
        <x:v>0</x:v>
      </x:c>
      <x:c r="K847" s="1" t="n">
        <x:f>IF(F847&lt;Reporting!$B$4,1,0)</x:f>
        <x:v>1</x:v>
      </x:c>
      <x:c r="L847" s="1" t="n">
        <x:f>IF(AND(K847=1,G847&lt;&gt;"",G847&lt;=F847),1,0)</x:f>
        <x:v>1</x:v>
      </x:c>
      <x:c r="M847" s="1" t="n">
        <x:f>IF(AND(G847&lt;&gt;"",G847&lt;Reporting!$B$4),1,0)</x:f>
        <x:v>1</x:v>
      </x:c>
      <x:c r="N847" s="16" t="n">
        <x:f>IF(M847=1,G847-E847,"")</x:f>
        <x:v>13.041666666671517</x:v>
      </x:c>
      <x:c r="O847" s="1" t="str">
        <x:f>IF(E847&gt;=Reporting!$B$4,"Outside cutoff",IF(M847=1,"Closed",IF(J847=1,"Overdue","Open - within SLA")))</x:f>
        <x:v>Closed</x:v>
      </x:c>
    </x:row>
    <x:row r="848">
      <x:c r="A848" s="14" t="str">
        <x:v>CASE-00843</x:v>
      </x:c>
      <x:c r="B848" s="14" t="str">
        <x:v>Warehouse</x:v>
      </x:c>
      <x:c r="C848" s="14" t="str">
        <x:v>Missing evidence</x:v>
      </x:c>
      <x:c r="D848" s="14" t="str">
        <x:v>Medium</x:v>
      </x:c>
      <x:c r="E848" s="15" t="n">
        <x:v>46279.458333333336</x:v>
      </x:c>
      <x:c r="F848" s="15" t="n">
        <x:v>46286.458333333336</x:v>
      </x:c>
      <x:c r="G848" s="15"/>
      <x:c r="H848" s="14" t="n">
        <x:v>2</x:v>
      </x:c>
      <x:c r="I848" s="1" t="n">
        <x:f>IF(AND(E848&lt;Reporting!$B$4,OR(G848="",G848&gt;=Reporting!$B$4)),1,0)</x:f>
        <x:v>1</x:v>
      </x:c>
      <x:c r="J848" s="1" t="n">
        <x:f>IF(AND(I848=1,F848&lt;Reporting!$B$4),1,0)</x:f>
        <x:v>0</x:v>
      </x:c>
      <x:c r="K848" s="1" t="n">
        <x:f>IF(F848&lt;Reporting!$B$4,1,0)</x:f>
        <x:v>0</x:v>
      </x:c>
      <x:c r="L848" s="1" t="n">
        <x:f>IF(AND(K848=1,G848&lt;&gt;"",G848&lt;=F848),1,0)</x:f>
        <x:v>0</x:v>
      </x:c>
      <x:c r="M848" s="1" t="n">
        <x:f>IF(AND(G848&lt;&gt;"",G848&lt;Reporting!$B$4),1,0)</x:f>
        <x:v>0</x:v>
      </x:c>
      <x:c r="N848" s="16" t="str">
        <x:f>IF(M848=1,G848-E848,"")</x:f>
      </x:c>
      <x:c r="O848" s="1" t="str">
        <x:f>IF(E848&gt;=Reporting!$B$4,"Outside cutoff",IF(M848=1,"Closed",IF(J848=1,"Overdue","Open - within SLA")))</x:f>
        <x:v>Open - within SLA</x:v>
      </x:c>
    </x:row>
    <x:row r="849">
      <x:c r="A849" s="14" t="str">
        <x:v>CASE-00844</x:v>
      </x:c>
      <x:c r="B849" s="14" t="str">
        <x:v>Customer Services</x:v>
      </x:c>
      <x:c r="C849" s="14" t="str">
        <x:v>Late review</x:v>
      </x:c>
      <x:c r="D849" s="14" t="str">
        <x:v>Medium</x:v>
      </x:c>
      <x:c r="E849" s="15" t="n">
        <x:v>46223.625</x:v>
      </x:c>
      <x:c r="F849" s="15" t="n">
        <x:v>46230.625</x:v>
      </x:c>
      <x:c r="G849" s="15" t="n">
        <x:v>46234.625</x:v>
      </x:c>
      <x:c r="H849" s="14" t="n">
        <x:v>1</x:v>
      </x:c>
      <x:c r="I849" s="1" t="n">
        <x:f>IF(AND(E849&lt;Reporting!$B$4,OR(G849="",G849&gt;=Reporting!$B$4)),1,0)</x:f>
        <x:v>0</x:v>
      </x:c>
      <x:c r="J849" s="1" t="n">
        <x:f>IF(AND(I849=1,F849&lt;Reporting!$B$4),1,0)</x:f>
        <x:v>0</x:v>
      </x:c>
      <x:c r="K849" s="1" t="n">
        <x:f>IF(F849&lt;Reporting!$B$4,1,0)</x:f>
        <x:v>1</x:v>
      </x:c>
      <x:c r="L849" s="1" t="n">
        <x:f>IF(AND(K849=1,G849&lt;&gt;"",G849&lt;=F849),1,0)</x:f>
        <x:v>0</x:v>
      </x:c>
      <x:c r="M849" s="1" t="n">
        <x:f>IF(AND(G849&lt;&gt;"",G849&lt;Reporting!$B$4),1,0)</x:f>
        <x:v>1</x:v>
      </x:c>
      <x:c r="N849" s="16" t="n">
        <x:f>IF(M849=1,G849-E849,"")</x:f>
        <x:v>11</x:v>
      </x:c>
      <x:c r="O849" s="1" t="str">
        <x:f>IF(E849&gt;=Reporting!$B$4,"Outside cutoff",IF(M849=1,"Closed",IF(J849=1,"Overdue","Open - within SLA")))</x:f>
        <x:v>Closed</x:v>
      </x:c>
    </x:row>
    <x:row r="850">
      <x:c r="A850" s="14" t="str">
        <x:v>CASE-00845</x:v>
      </x:c>
      <x:c r="B850" s="14" t="str">
        <x:v>Customer Services</x:v>
      </x:c>
      <x:c r="C850" s="14" t="str">
        <x:v>Late review</x:v>
      </x:c>
      <x:c r="D850" s="14" t="str">
        <x:v>Medium</x:v>
      </x:c>
      <x:c r="E850" s="15" t="n">
        <x:v>46215.541666666664</x:v>
      </x:c>
      <x:c r="F850" s="15" t="n">
        <x:v>46222.541666666664</x:v>
      </x:c>
      <x:c r="G850" s="15" t="n">
        <x:v>46218.625</x:v>
      </x:c>
      <x:c r="H850" s="14" t="n">
        <x:v>1</x:v>
      </x:c>
      <x:c r="I850" s="1" t="n">
        <x:f>IF(AND(E850&lt;Reporting!$B$4,OR(G850="",G850&gt;=Reporting!$B$4)),1,0)</x:f>
        <x:v>0</x:v>
      </x:c>
      <x:c r="J850" s="1" t="n">
        <x:f>IF(AND(I850=1,F850&lt;Reporting!$B$4),1,0)</x:f>
        <x:v>0</x:v>
      </x:c>
      <x:c r="K850" s="1" t="n">
        <x:f>IF(F850&lt;Reporting!$B$4,1,0)</x:f>
        <x:v>1</x:v>
      </x:c>
      <x:c r="L850" s="1" t="n">
        <x:f>IF(AND(K850=1,G850&lt;&gt;"",G850&lt;=F850),1,0)</x:f>
        <x:v>1</x:v>
      </x:c>
      <x:c r="M850" s="1" t="n">
        <x:f>IF(AND(G850&lt;&gt;"",G850&lt;Reporting!$B$4),1,0)</x:f>
        <x:v>1</x:v>
      </x:c>
      <x:c r="N850" s="16" t="n">
        <x:f>IF(M850=1,G850-E850,"")</x:f>
        <x:v>3.0833333333357587</x:v>
      </x:c>
      <x:c r="O850" s="1" t="str">
        <x:f>IF(E850&gt;=Reporting!$B$4,"Outside cutoff",IF(M850=1,"Closed",IF(J850=1,"Overdue","Open - within SLA")))</x:f>
        <x:v>Closed</x:v>
      </x:c>
    </x:row>
    <x:row r="851">
      <x:c r="A851" s="14" t="str">
        <x:v>CASE-00846</x:v>
      </x:c>
      <x:c r="B851" s="14" t="str">
        <x:v>Customer Services</x:v>
      </x:c>
      <x:c r="C851" s="14" t="str">
        <x:v>Late review</x:v>
      </x:c>
      <x:c r="D851" s="14" t="str">
        <x:v>Medium</x:v>
      </x:c>
      <x:c r="E851" s="15" t="n">
        <x:v>46217.375</x:v>
      </x:c>
      <x:c r="F851" s="15" t="n">
        <x:v>46224.375</x:v>
      </x:c>
      <x:c r="G851" s="15" t="n">
        <x:v>46224.375</x:v>
      </x:c>
      <x:c r="H851" s="14" t="n">
        <x:v>1</x:v>
      </x:c>
      <x:c r="I851" s="1" t="n">
        <x:f>IF(AND(E851&lt;Reporting!$B$4,OR(G851="",G851&gt;=Reporting!$B$4)),1,0)</x:f>
        <x:v>0</x:v>
      </x:c>
      <x:c r="J851" s="1" t="n">
        <x:f>IF(AND(I851=1,F851&lt;Reporting!$B$4),1,0)</x:f>
        <x:v>0</x:v>
      </x:c>
      <x:c r="K851" s="1" t="n">
        <x:f>IF(F851&lt;Reporting!$B$4,1,0)</x:f>
        <x:v>1</x:v>
      </x:c>
      <x:c r="L851" s="1" t="n">
        <x:f>IF(AND(K851=1,G851&lt;&gt;"",G851&lt;=F851),1,0)</x:f>
        <x:v>1</x:v>
      </x:c>
      <x:c r="M851" s="1" t="n">
        <x:f>IF(AND(G851&lt;&gt;"",G851&lt;Reporting!$B$4),1,0)</x:f>
        <x:v>1</x:v>
      </x:c>
      <x:c r="N851" s="16" t="n">
        <x:f>IF(M851=1,G851-E851,"")</x:f>
        <x:v>7</x:v>
      </x:c>
      <x:c r="O851" s="1" t="str">
        <x:f>IF(E851&gt;=Reporting!$B$4,"Outside cutoff",IF(M851=1,"Closed",IF(J851=1,"Overdue","Open - within SLA")))</x:f>
        <x:v>Closed</x:v>
      </x:c>
    </x:row>
    <x:row r="852">
      <x:c r="A852" s="14" t="str">
        <x:v>CASE-00847</x:v>
      </x:c>
      <x:c r="B852" s="14" t="str">
        <x:v>Customer Services</x:v>
      </x:c>
      <x:c r="C852" s="14" t="str">
        <x:v>Missing evidence</x:v>
      </x:c>
      <x:c r="D852" s="14" t="str">
        <x:v>High</x:v>
      </x:c>
      <x:c r="E852" s="15" t="n">
        <x:v>46267.458333333336</x:v>
      </x:c>
      <x:c r="F852" s="15" t="n">
        <x:v>46270.458333333336</x:v>
      </x:c>
      <x:c r="G852" s="15" t="n">
        <x:v>46281.541666666664</x:v>
      </x:c>
      <x:c r="H852" s="14" t="n">
        <x:v>1</x:v>
      </x:c>
      <x:c r="I852" s="1" t="n">
        <x:f>IF(AND(E852&lt;Reporting!$B$4,OR(G852="",G852&gt;=Reporting!$B$4)),1,0)</x:f>
        <x:v>0</x:v>
      </x:c>
      <x:c r="J852" s="1" t="n">
        <x:f>IF(AND(I852=1,F852&lt;Reporting!$B$4),1,0)</x:f>
        <x:v>0</x:v>
      </x:c>
      <x:c r="K852" s="1" t="n">
        <x:f>IF(F852&lt;Reporting!$B$4,1,0)</x:f>
        <x:v>1</x:v>
      </x:c>
      <x:c r="L852" s="1" t="n">
        <x:f>IF(AND(K852=1,G852&lt;&gt;"",G852&lt;=F852),1,0)</x:f>
        <x:v>0</x:v>
      </x:c>
      <x:c r="M852" s="1" t="n">
        <x:f>IF(AND(G852&lt;&gt;"",G852&lt;Reporting!$B$4),1,0)</x:f>
        <x:v>1</x:v>
      </x:c>
      <x:c r="N852" s="16" t="n">
        <x:f>IF(M852=1,G852-E852,"")</x:f>
        <x:v>14.083333333328483</x:v>
      </x:c>
      <x:c r="O852" s="1" t="str">
        <x:f>IF(E852&gt;=Reporting!$B$4,"Outside cutoff",IF(M852=1,"Closed",IF(J852=1,"Overdue","Open - within SLA")))</x:f>
        <x:v>Closed</x:v>
      </x:c>
    </x:row>
    <x:row r="853">
      <x:c r="A853" s="14" t="str">
        <x:v>CASE-00848</x:v>
      </x:c>
      <x:c r="B853" s="14" t="str">
        <x:v>Installation</x:v>
      </x:c>
      <x:c r="C853" s="14" t="str">
        <x:v>Process deviation</x:v>
      </x:c>
      <x:c r="D853" s="14" t="str">
        <x:v>Medium</x:v>
      </x:c>
      <x:c r="E853" s="15" t="n">
        <x:v>46242.583333333336</x:v>
      </x:c>
      <x:c r="F853" s="15" t="n">
        <x:v>46249.583333333336</x:v>
      </x:c>
      <x:c r="G853" s="15"/>
      <x:c r="H853" s="14" t="n">
        <x:v>3</x:v>
      </x:c>
      <x:c r="I853" s="1" t="n">
        <x:f>IF(AND(E853&lt;Reporting!$B$4,OR(G853="",G853&gt;=Reporting!$B$4)),1,0)</x:f>
        <x:v>1</x:v>
      </x:c>
      <x:c r="J853" s="1" t="n">
        <x:f>IF(AND(I853=1,F853&lt;Reporting!$B$4),1,0)</x:f>
        <x:v>1</x:v>
      </x:c>
      <x:c r="K853" s="1" t="n">
        <x:f>IF(F853&lt;Reporting!$B$4,1,0)</x:f>
        <x:v>1</x:v>
      </x:c>
      <x:c r="L853" s="1" t="n">
        <x:f>IF(AND(K853=1,G853&lt;&gt;"",G853&lt;=F853),1,0)</x:f>
        <x:v>0</x:v>
      </x:c>
      <x:c r="M853" s="1" t="n">
        <x:f>IF(AND(G853&lt;&gt;"",G853&lt;Reporting!$B$4),1,0)</x:f>
        <x:v>0</x:v>
      </x:c>
      <x:c r="N853" s="16" t="str">
        <x:f>IF(M853=1,G853-E853,"")</x:f>
      </x:c>
      <x:c r="O853" s="1" t="str">
        <x:f>IF(E853&gt;=Reporting!$B$4,"Outside cutoff",IF(M853=1,"Closed",IF(J853=1,"Overdue","Open - within SLA")))</x:f>
        <x:v>Overdue</x:v>
      </x:c>
    </x:row>
    <x:row r="854">
      <x:c r="A854" s="14" t="str">
        <x:v>CASE-00849</x:v>
      </x:c>
      <x:c r="B854" s="14" t="str">
        <x:v>Customer Services</x:v>
      </x:c>
      <x:c r="C854" s="14" t="str">
        <x:v>Late review</x:v>
      </x:c>
      <x:c r="D854" s="14" t="str">
        <x:v>Low</x:v>
      </x:c>
      <x:c r="E854" s="15" t="n">
        <x:v>46235.583333333336</x:v>
      </x:c>
      <x:c r="F854" s="15" t="n">
        <x:v>46249.583333333336</x:v>
      </x:c>
      <x:c r="G854" s="15" t="n">
        <x:v>46245.583333333336</x:v>
      </x:c>
      <x:c r="H854" s="14" t="n">
        <x:v>1</x:v>
      </x:c>
      <x:c r="I854" s="1" t="n">
        <x:f>IF(AND(E854&lt;Reporting!$B$4,OR(G854="",G854&gt;=Reporting!$B$4)),1,0)</x:f>
        <x:v>0</x:v>
      </x:c>
      <x:c r="J854" s="1" t="n">
        <x:f>IF(AND(I854=1,F854&lt;Reporting!$B$4),1,0)</x:f>
        <x:v>0</x:v>
      </x:c>
      <x:c r="K854" s="1" t="n">
        <x:f>IF(F854&lt;Reporting!$B$4,1,0)</x:f>
        <x:v>1</x:v>
      </x:c>
      <x:c r="L854" s="1" t="n">
        <x:f>IF(AND(K854=1,G854&lt;&gt;"",G854&lt;=F854),1,0)</x:f>
        <x:v>1</x:v>
      </x:c>
      <x:c r="M854" s="1" t="n">
        <x:f>IF(AND(G854&lt;&gt;"",G854&lt;Reporting!$B$4),1,0)</x:f>
        <x:v>1</x:v>
      </x:c>
      <x:c r="N854" s="16" t="n">
        <x:f>IF(M854=1,G854-E854,"")</x:f>
        <x:v>10</x:v>
      </x:c>
      <x:c r="O854" s="1" t="str">
        <x:f>IF(E854&gt;=Reporting!$B$4,"Outside cutoff",IF(M854=1,"Closed",IF(J854=1,"Overdue","Open - within SLA")))</x:f>
        <x:v>Closed</x:v>
      </x:c>
    </x:row>
    <x:row r="855">
      <x:c r="A855" s="14" t="str">
        <x:v>CASE-00850</x:v>
      </x:c>
      <x:c r="B855" s="14" t="str">
        <x:v>Warehouse</x:v>
      </x:c>
      <x:c r="C855" s="14" t="str">
        <x:v>Record mismatch</x:v>
      </x:c>
      <x:c r="D855" s="14" t="str">
        <x:v>Low</x:v>
      </x:c>
      <x:c r="E855" s="15" t="n">
        <x:v>46217.458333333336</x:v>
      </x:c>
      <x:c r="F855" s="15" t="n">
        <x:v>46231.458333333336</x:v>
      </x:c>
      <x:c r="G855" s="15" t="n">
        <x:v>46227.458333333336</x:v>
      </x:c>
      <x:c r="H855" s="14" t="n">
        <x:v>2</x:v>
      </x:c>
      <x:c r="I855" s="1" t="n">
        <x:f>IF(AND(E855&lt;Reporting!$B$4,OR(G855="",G855&gt;=Reporting!$B$4)),1,0)</x:f>
        <x:v>0</x:v>
      </x:c>
      <x:c r="J855" s="1" t="n">
        <x:f>IF(AND(I855=1,F855&lt;Reporting!$B$4),1,0)</x:f>
        <x:v>0</x:v>
      </x:c>
      <x:c r="K855" s="1" t="n">
        <x:f>IF(F855&lt;Reporting!$B$4,1,0)</x:f>
        <x:v>1</x:v>
      </x:c>
      <x:c r="L855" s="1" t="n">
        <x:f>IF(AND(K855=1,G855&lt;&gt;"",G855&lt;=F855),1,0)</x:f>
        <x:v>1</x:v>
      </x:c>
      <x:c r="M855" s="1" t="n">
        <x:f>IF(AND(G855&lt;&gt;"",G855&lt;Reporting!$B$4),1,0)</x:f>
        <x:v>1</x:v>
      </x:c>
      <x:c r="N855" s="16" t="n">
        <x:f>IF(M855=1,G855-E855,"")</x:f>
        <x:v>10</x:v>
      </x:c>
      <x:c r="O855" s="1" t="str">
        <x:f>IF(E855&gt;=Reporting!$B$4,"Outside cutoff",IF(M855=1,"Closed",IF(J855=1,"Overdue","Open - within SLA")))</x:f>
        <x:v>Closed</x:v>
      </x:c>
    </x:row>
    <x:row r="856">
      <x:c r="A856" s="14" t="str">
        <x:v>CASE-00851</x:v>
      </x:c>
      <x:c r="B856" s="14" t="str">
        <x:v>Customer Services</x:v>
      </x:c>
      <x:c r="C856" s="14" t="str">
        <x:v>Late review</x:v>
      </x:c>
      <x:c r="D856" s="14" t="str">
        <x:v>Medium</x:v>
      </x:c>
      <x:c r="E856" s="15" t="n">
        <x:v>46251.458333333336</x:v>
      </x:c>
      <x:c r="F856" s="15" t="n">
        <x:v>46258.458333333336</x:v>
      </x:c>
      <x:c r="G856" s="15" t="n">
        <x:v>46269.458333333336</x:v>
      </x:c>
      <x:c r="H856" s="14" t="n">
        <x:v>1</x:v>
      </x:c>
      <x:c r="I856" s="1" t="n">
        <x:f>IF(AND(E856&lt;Reporting!$B$4,OR(G856="",G856&gt;=Reporting!$B$4)),1,0)</x:f>
        <x:v>0</x:v>
      </x:c>
      <x:c r="J856" s="1" t="n">
        <x:f>IF(AND(I856=1,F856&lt;Reporting!$B$4),1,0)</x:f>
        <x:v>0</x:v>
      </x:c>
      <x:c r="K856" s="1" t="n">
        <x:f>IF(F856&lt;Reporting!$B$4,1,0)</x:f>
        <x:v>1</x:v>
      </x:c>
      <x:c r="L856" s="1" t="n">
        <x:f>IF(AND(K856=1,G856&lt;&gt;"",G856&lt;=F856),1,0)</x:f>
        <x:v>0</x:v>
      </x:c>
      <x:c r="M856" s="1" t="n">
        <x:f>IF(AND(G856&lt;&gt;"",G856&lt;Reporting!$B$4),1,0)</x:f>
        <x:v>1</x:v>
      </x:c>
      <x:c r="N856" s="16" t="n">
        <x:f>IF(M856=1,G856-E856,"")</x:f>
        <x:v>18</x:v>
      </x:c>
      <x:c r="O856" s="1" t="str">
        <x:f>IF(E856&gt;=Reporting!$B$4,"Outside cutoff",IF(M856=1,"Closed",IF(J856=1,"Overdue","Open - within SLA")))</x:f>
        <x:v>Closed</x:v>
      </x:c>
    </x:row>
    <x:row r="857">
      <x:c r="A857" s="14" t="str">
        <x:v>CASE-00852</x:v>
      </x:c>
      <x:c r="B857" s="14" t="str">
        <x:v>Warehouse</x:v>
      </x:c>
      <x:c r="C857" s="14" t="str">
        <x:v>Record mismatch</x:v>
      </x:c>
      <x:c r="D857" s="14" t="str">
        <x:v>High</x:v>
      </x:c>
      <x:c r="E857" s="15" t="n">
        <x:v>46257.541666666664</x:v>
      </x:c>
      <x:c r="F857" s="15" t="n">
        <x:v>46260.541666666664</x:v>
      </x:c>
      <x:c r="G857" s="15" t="n">
        <x:v>46276.541666666664</x:v>
      </x:c>
      <x:c r="H857" s="14" t="n">
        <x:v>2</x:v>
      </x:c>
      <x:c r="I857" s="1" t="n">
        <x:f>IF(AND(E857&lt;Reporting!$B$4,OR(G857="",G857&gt;=Reporting!$B$4)),1,0)</x:f>
        <x:v>0</x:v>
      </x:c>
      <x:c r="J857" s="1" t="n">
        <x:f>IF(AND(I857=1,F857&lt;Reporting!$B$4),1,0)</x:f>
        <x:v>0</x:v>
      </x:c>
      <x:c r="K857" s="1" t="n">
        <x:f>IF(F857&lt;Reporting!$B$4,1,0)</x:f>
        <x:v>1</x:v>
      </x:c>
      <x:c r="L857" s="1" t="n">
        <x:f>IF(AND(K857=1,G857&lt;&gt;"",G857&lt;=F857),1,0)</x:f>
        <x:v>0</x:v>
      </x:c>
      <x:c r="M857" s="1" t="n">
        <x:f>IF(AND(G857&lt;&gt;"",G857&lt;Reporting!$B$4),1,0)</x:f>
        <x:v>1</x:v>
      </x:c>
      <x:c r="N857" s="16" t="n">
        <x:f>IF(M857=1,G857-E857,"")</x:f>
        <x:v>19</x:v>
      </x:c>
      <x:c r="O857" s="1" t="str">
        <x:f>IF(E857&gt;=Reporting!$B$4,"Outside cutoff",IF(M857=1,"Closed",IF(J857=1,"Overdue","Open - within SLA")))</x:f>
        <x:v>Closed</x:v>
      </x:c>
    </x:row>
    <x:row r="858">
      <x:c r="A858" s="14" t="str">
        <x:v>CASE-00853</x:v>
      </x:c>
      <x:c r="B858" s="14" t="str">
        <x:v>Warehouse</x:v>
      </x:c>
      <x:c r="C858" s="14" t="str">
        <x:v>Record mismatch</x:v>
      </x:c>
      <x:c r="D858" s="14" t="str">
        <x:v>High</x:v>
      </x:c>
      <x:c r="E858" s="15" t="n">
        <x:v>46275.458333333336</x:v>
      </x:c>
      <x:c r="F858" s="15" t="n">
        <x:v>46278.458333333336</x:v>
      </x:c>
      <x:c r="G858" s="15"/>
      <x:c r="H858" s="14" t="n">
        <x:v>2</x:v>
      </x:c>
      <x:c r="I858" s="1" t="n">
        <x:f>IF(AND(E858&lt;Reporting!$B$4,OR(G858="",G858&gt;=Reporting!$B$4)),1,0)</x:f>
        <x:v>1</x:v>
      </x:c>
      <x:c r="J858" s="1" t="n">
        <x:f>IF(AND(I858=1,F858&lt;Reporting!$B$4),1,0)</x:f>
        <x:v>1</x:v>
      </x:c>
      <x:c r="K858" s="1" t="n">
        <x:f>IF(F858&lt;Reporting!$B$4,1,0)</x:f>
        <x:v>1</x:v>
      </x:c>
      <x:c r="L858" s="1" t="n">
        <x:f>IF(AND(K858=1,G858&lt;&gt;"",G858&lt;=F858),1,0)</x:f>
        <x:v>0</x:v>
      </x:c>
      <x:c r="M858" s="1" t="n">
        <x:f>IF(AND(G858&lt;&gt;"",G858&lt;Reporting!$B$4),1,0)</x:f>
        <x:v>0</x:v>
      </x:c>
      <x:c r="N858" s="16" t="str">
        <x:f>IF(M858=1,G858-E858,"")</x:f>
      </x:c>
      <x:c r="O858" s="1" t="str">
        <x:f>IF(E858&gt;=Reporting!$B$4,"Outside cutoff",IF(M858=1,"Closed",IF(J858=1,"Overdue","Open - within SLA")))</x:f>
        <x:v>Overdue</x:v>
      </x:c>
    </x:row>
    <x:row r="859">
      <x:c r="A859" s="14" t="str">
        <x:v>CASE-00854</x:v>
      </x:c>
      <x:c r="B859" s="14" t="str">
        <x:v>Warehouse</x:v>
      </x:c>
      <x:c r="C859" s="14" t="str">
        <x:v>Late review</x:v>
      </x:c>
      <x:c r="D859" s="14" t="str">
        <x:v>Low</x:v>
      </x:c>
      <x:c r="E859" s="15" t="n">
        <x:v>46252.5</x:v>
      </x:c>
      <x:c r="F859" s="15" t="n">
        <x:v>46266.5</x:v>
      </x:c>
      <x:c r="G859" s="15" t="n">
        <x:v>46271.5</x:v>
      </x:c>
      <x:c r="H859" s="14" t="n">
        <x:v>2</x:v>
      </x:c>
      <x:c r="I859" s="1" t="n">
        <x:f>IF(AND(E859&lt;Reporting!$B$4,OR(G859="",G859&gt;=Reporting!$B$4)),1,0)</x:f>
        <x:v>0</x:v>
      </x:c>
      <x:c r="J859" s="1" t="n">
        <x:f>IF(AND(I859=1,F859&lt;Reporting!$B$4),1,0)</x:f>
        <x:v>0</x:v>
      </x:c>
      <x:c r="K859" s="1" t="n">
        <x:f>IF(F859&lt;Reporting!$B$4,1,0)</x:f>
        <x:v>1</x:v>
      </x:c>
      <x:c r="L859" s="1" t="n">
        <x:f>IF(AND(K859=1,G859&lt;&gt;"",G859&lt;=F859),1,0)</x:f>
        <x:v>0</x:v>
      </x:c>
      <x:c r="M859" s="1" t="n">
        <x:f>IF(AND(G859&lt;&gt;"",G859&lt;Reporting!$B$4),1,0)</x:f>
        <x:v>1</x:v>
      </x:c>
      <x:c r="N859" s="16" t="n">
        <x:f>IF(M859=1,G859-E859,"")</x:f>
        <x:v>19</x:v>
      </x:c>
      <x:c r="O859" s="1" t="str">
        <x:f>IF(E859&gt;=Reporting!$B$4,"Outside cutoff",IF(M859=1,"Closed",IF(J859=1,"Overdue","Open - within SLA")))</x:f>
        <x:v>Closed</x:v>
      </x:c>
    </x:row>
    <x:row r="860">
      <x:c r="A860" s="14" t="str">
        <x:v>CASE-00855</x:v>
      </x:c>
      <x:c r="B860" s="14" t="str">
        <x:v>Installation</x:v>
      </x:c>
      <x:c r="C860" s="14" t="str">
        <x:v>Process deviation</x:v>
      </x:c>
      <x:c r="D860" s="14" t="str">
        <x:v>Medium</x:v>
      </x:c>
      <x:c r="E860" s="15" t="n">
        <x:v>46233.666666666664</x:v>
      </x:c>
      <x:c r="F860" s="15" t="n">
        <x:v>46240.666666666664</x:v>
      </x:c>
      <x:c r="G860" s="15" t="n">
        <x:v>46237.708333333336</x:v>
      </x:c>
      <x:c r="H860" s="14" t="n">
        <x:v>3</x:v>
      </x:c>
      <x:c r="I860" s="1" t="n">
        <x:f>IF(AND(E860&lt;Reporting!$B$4,OR(G860="",G860&gt;=Reporting!$B$4)),1,0)</x:f>
        <x:v>0</x:v>
      </x:c>
      <x:c r="J860" s="1" t="n">
        <x:f>IF(AND(I860=1,F860&lt;Reporting!$B$4),1,0)</x:f>
        <x:v>0</x:v>
      </x:c>
      <x:c r="K860" s="1" t="n">
        <x:f>IF(F860&lt;Reporting!$B$4,1,0)</x:f>
        <x:v>1</x:v>
      </x:c>
      <x:c r="L860" s="1" t="n">
        <x:f>IF(AND(K860=1,G860&lt;&gt;"",G860&lt;=F860),1,0)</x:f>
        <x:v>1</x:v>
      </x:c>
      <x:c r="M860" s="1" t="n">
        <x:f>IF(AND(G860&lt;&gt;"",G860&lt;Reporting!$B$4),1,0)</x:f>
        <x:v>1</x:v>
      </x:c>
      <x:c r="N860" s="16" t="n">
        <x:f>IF(M860=1,G860-E860,"")</x:f>
        <x:v>4.041666666671517</x:v>
      </x:c>
      <x:c r="O860" s="1" t="str">
        <x:f>IF(E860&gt;=Reporting!$B$4,"Outside cutoff",IF(M860=1,"Closed",IF(J860=1,"Overdue","Open - within SLA")))</x:f>
        <x:v>Closed</x:v>
      </x:c>
    </x:row>
    <x:row r="861">
      <x:c r="A861" s="14" t="str">
        <x:v>CASE-00856</x:v>
      </x:c>
      <x:c r="B861" s="14" t="str">
        <x:v>Customer Services</x:v>
      </x:c>
      <x:c r="C861" s="14" t="str">
        <x:v>Record mismatch</x:v>
      </x:c>
      <x:c r="D861" s="14" t="str">
        <x:v>Medium</x:v>
      </x:c>
      <x:c r="E861" s="15" t="n">
        <x:v>46221.666666666664</x:v>
      </x:c>
      <x:c r="F861" s="15" t="n">
        <x:v>46228.666666666664</x:v>
      </x:c>
      <x:c r="G861" s="15" t="n">
        <x:v>46239.75</x:v>
      </x:c>
      <x:c r="H861" s="14" t="n">
        <x:v>1</x:v>
      </x:c>
      <x:c r="I861" s="1" t="n">
        <x:f>IF(AND(E861&lt;Reporting!$B$4,OR(G861="",G861&gt;=Reporting!$B$4)),1,0)</x:f>
        <x:v>0</x:v>
      </x:c>
      <x:c r="J861" s="1" t="n">
        <x:f>IF(AND(I861=1,F861&lt;Reporting!$B$4),1,0)</x:f>
        <x:v>0</x:v>
      </x:c>
      <x:c r="K861" s="1" t="n">
        <x:f>IF(F861&lt;Reporting!$B$4,1,0)</x:f>
        <x:v>1</x:v>
      </x:c>
      <x:c r="L861" s="1" t="n">
        <x:f>IF(AND(K861=1,G861&lt;&gt;"",G861&lt;=F861),1,0)</x:f>
        <x:v>0</x:v>
      </x:c>
      <x:c r="M861" s="1" t="n">
        <x:f>IF(AND(G861&lt;&gt;"",G861&lt;Reporting!$B$4),1,0)</x:f>
        <x:v>1</x:v>
      </x:c>
      <x:c r="N861" s="16" t="n">
        <x:f>IF(M861=1,G861-E861,"")</x:f>
        <x:v>18.08333333333576</x:v>
      </x:c>
      <x:c r="O861" s="1" t="str">
        <x:f>IF(E861&gt;=Reporting!$B$4,"Outside cutoff",IF(M861=1,"Closed",IF(J861=1,"Overdue","Open - within SLA")))</x:f>
        <x:v>Closed</x:v>
      </x:c>
    </x:row>
    <x:row r="862">
      <x:c r="A862" s="14" t="str">
        <x:v>CASE-00857</x:v>
      </x:c>
      <x:c r="B862" s="14" t="str">
        <x:v>Installation</x:v>
      </x:c>
      <x:c r="C862" s="14" t="str">
        <x:v>Missing evidence</x:v>
      </x:c>
      <x:c r="D862" s="14" t="str">
        <x:v>Low</x:v>
      </x:c>
      <x:c r="E862" s="15" t="n">
        <x:v>46210.541666666664</x:v>
      </x:c>
      <x:c r="F862" s="15" t="n">
        <x:v>46224.541666666664</x:v>
      </x:c>
      <x:c r="G862" s="15" t="n">
        <x:v>46226.541666666664</x:v>
      </x:c>
      <x:c r="H862" s="14" t="n">
        <x:v>3</x:v>
      </x:c>
      <x:c r="I862" s="1" t="n">
        <x:f>IF(AND(E862&lt;Reporting!$B$4,OR(G862="",G862&gt;=Reporting!$B$4)),1,0)</x:f>
        <x:v>0</x:v>
      </x:c>
      <x:c r="J862" s="1" t="n">
        <x:f>IF(AND(I862=1,F862&lt;Reporting!$B$4),1,0)</x:f>
        <x:v>0</x:v>
      </x:c>
      <x:c r="K862" s="1" t="n">
        <x:f>IF(F862&lt;Reporting!$B$4,1,0)</x:f>
        <x:v>1</x:v>
      </x:c>
      <x:c r="L862" s="1" t="n">
        <x:f>IF(AND(K862=1,G862&lt;&gt;"",G862&lt;=F862),1,0)</x:f>
        <x:v>0</x:v>
      </x:c>
      <x:c r="M862" s="1" t="n">
        <x:f>IF(AND(G862&lt;&gt;"",G862&lt;Reporting!$B$4),1,0)</x:f>
        <x:v>1</x:v>
      </x:c>
      <x:c r="N862" s="16" t="n">
        <x:f>IF(M862=1,G862-E862,"")</x:f>
        <x:v>16</x:v>
      </x:c>
      <x:c r="O862" s="1" t="str">
        <x:f>IF(E862&gt;=Reporting!$B$4,"Outside cutoff",IF(M862=1,"Closed",IF(J862=1,"Overdue","Open - within SLA")))</x:f>
        <x:v>Closed</x:v>
      </x:c>
    </x:row>
    <x:row r="863">
      <x:c r="A863" s="14" t="str">
        <x:v>CASE-00858</x:v>
      </x:c>
      <x:c r="B863" s="14" t="str">
        <x:v>Warehouse</x:v>
      </x:c>
      <x:c r="C863" s="14" t="str">
        <x:v>Late review</x:v>
      </x:c>
      <x:c r="D863" s="14" t="str">
        <x:v>Low</x:v>
      </x:c>
      <x:c r="E863" s="15" t="n">
        <x:v>46210.666666666664</x:v>
      </x:c>
      <x:c r="F863" s="15" t="n">
        <x:v>46224.666666666664</x:v>
      </x:c>
      <x:c r="G863" s="15" t="n">
        <x:v>46221.666666666664</x:v>
      </x:c>
      <x:c r="H863" s="14" t="n">
        <x:v>2</x:v>
      </x:c>
      <x:c r="I863" s="1" t="n">
        <x:f>IF(AND(E863&lt;Reporting!$B$4,OR(G863="",G863&gt;=Reporting!$B$4)),1,0)</x:f>
        <x:v>0</x:v>
      </x:c>
      <x:c r="J863" s="1" t="n">
        <x:f>IF(AND(I863=1,F863&lt;Reporting!$B$4),1,0)</x:f>
        <x:v>0</x:v>
      </x:c>
      <x:c r="K863" s="1" t="n">
        <x:f>IF(F863&lt;Reporting!$B$4,1,0)</x:f>
        <x:v>1</x:v>
      </x:c>
      <x:c r="L863" s="1" t="n">
        <x:f>IF(AND(K863=1,G863&lt;&gt;"",G863&lt;=F863),1,0)</x:f>
        <x:v>1</x:v>
      </x:c>
      <x:c r="M863" s="1" t="n">
        <x:f>IF(AND(G863&lt;&gt;"",G863&lt;Reporting!$B$4),1,0)</x:f>
        <x:v>1</x:v>
      </x:c>
      <x:c r="N863" s="16" t="n">
        <x:f>IF(M863=1,G863-E863,"")</x:f>
        <x:v>11</x:v>
      </x:c>
      <x:c r="O863" s="1" t="str">
        <x:f>IF(E863&gt;=Reporting!$B$4,"Outside cutoff",IF(M863=1,"Closed",IF(J863=1,"Overdue","Open - within SLA")))</x:f>
        <x:v>Closed</x:v>
      </x:c>
    </x:row>
    <x:row r="864">
      <x:c r="A864" s="14" t="str">
        <x:v>CASE-00859</x:v>
      </x:c>
      <x:c r="B864" s="14" t="str">
        <x:v>Warehouse</x:v>
      </x:c>
      <x:c r="C864" s="14" t="str">
        <x:v>Late review</x:v>
      </x:c>
      <x:c r="D864" s="14" t="str">
        <x:v>Low</x:v>
      </x:c>
      <x:c r="E864" s="15" t="n">
        <x:v>46225.541666666664</x:v>
      </x:c>
      <x:c r="F864" s="15" t="n">
        <x:v>46239.541666666664</x:v>
      </x:c>
      <x:c r="G864" s="15" t="n">
        <x:v>46228.583333333336</x:v>
      </x:c>
      <x:c r="H864" s="14" t="n">
        <x:v>2</x:v>
      </x:c>
      <x:c r="I864" s="1" t="n">
        <x:f>IF(AND(E864&lt;Reporting!$B$4,OR(G864="",G864&gt;=Reporting!$B$4)),1,0)</x:f>
        <x:v>0</x:v>
      </x:c>
      <x:c r="J864" s="1" t="n">
        <x:f>IF(AND(I864=1,F864&lt;Reporting!$B$4),1,0)</x:f>
        <x:v>0</x:v>
      </x:c>
      <x:c r="K864" s="1" t="n">
        <x:f>IF(F864&lt;Reporting!$B$4,1,0)</x:f>
        <x:v>1</x:v>
      </x:c>
      <x:c r="L864" s="1" t="n">
        <x:f>IF(AND(K864=1,G864&lt;&gt;"",G864&lt;=F864),1,0)</x:f>
        <x:v>1</x:v>
      </x:c>
      <x:c r="M864" s="1" t="n">
        <x:f>IF(AND(G864&lt;&gt;"",G864&lt;Reporting!$B$4),1,0)</x:f>
        <x:v>1</x:v>
      </x:c>
      <x:c r="N864" s="16" t="n">
        <x:f>IF(M864=1,G864-E864,"")</x:f>
        <x:v>3.0416666666715173</x:v>
      </x:c>
      <x:c r="O864" s="1" t="str">
        <x:f>IF(E864&gt;=Reporting!$B$4,"Outside cutoff",IF(M864=1,"Closed",IF(J864=1,"Overdue","Open - within SLA")))</x:f>
        <x:v>Closed</x:v>
      </x:c>
    </x:row>
    <x:row r="865">
      <x:c r="A865" s="14" t="str">
        <x:v>CASE-00860</x:v>
      </x:c>
      <x:c r="B865" s="14" t="str">
        <x:v>Installation</x:v>
      </x:c>
      <x:c r="C865" s="14" t="str">
        <x:v>Process deviation</x:v>
      </x:c>
      <x:c r="D865" s="14" t="str">
        <x:v>Low</x:v>
      </x:c>
      <x:c r="E865" s="15" t="n">
        <x:v>46221.666666666664</x:v>
      </x:c>
      <x:c r="F865" s="15" t="n">
        <x:v>46235.666666666664</x:v>
      </x:c>
      <x:c r="G865" s="15" t="n">
        <x:v>46238.708333333336</x:v>
      </x:c>
      <x:c r="H865" s="14" t="n">
        <x:v>3</x:v>
      </x:c>
      <x:c r="I865" s="1" t="n">
        <x:f>IF(AND(E865&lt;Reporting!$B$4,OR(G865="",G865&gt;=Reporting!$B$4)),1,0)</x:f>
        <x:v>0</x:v>
      </x:c>
      <x:c r="J865" s="1" t="n">
        <x:f>IF(AND(I865=1,F865&lt;Reporting!$B$4),1,0)</x:f>
        <x:v>0</x:v>
      </x:c>
      <x:c r="K865" s="1" t="n">
        <x:f>IF(F865&lt;Reporting!$B$4,1,0)</x:f>
        <x:v>1</x:v>
      </x:c>
      <x:c r="L865" s="1" t="n">
        <x:f>IF(AND(K865=1,G865&lt;&gt;"",G865&lt;=F865),1,0)</x:f>
        <x:v>0</x:v>
      </x:c>
      <x:c r="M865" s="1" t="n">
        <x:f>IF(AND(G865&lt;&gt;"",G865&lt;Reporting!$B$4),1,0)</x:f>
        <x:v>1</x:v>
      </x:c>
      <x:c r="N865" s="16" t="n">
        <x:f>IF(M865=1,G865-E865,"")</x:f>
        <x:v>17.041666666671517</x:v>
      </x:c>
      <x:c r="O865" s="1" t="str">
        <x:f>IF(E865&gt;=Reporting!$B$4,"Outside cutoff",IF(M865=1,"Closed",IF(J865=1,"Overdue","Open - within SLA")))</x:f>
        <x:v>Closed</x:v>
      </x:c>
    </x:row>
    <x:row r="866">
      <x:c r="A866" s="14" t="str">
        <x:v>CASE-00861</x:v>
      </x:c>
      <x:c r="B866" s="14" t="str">
        <x:v>Installation</x:v>
      </x:c>
      <x:c r="C866" s="14" t="str">
        <x:v>Late review</x:v>
      </x:c>
      <x:c r="D866" s="14" t="str">
        <x:v>Medium</x:v>
      </x:c>
      <x:c r="E866" s="15" t="n">
        <x:v>46215.375</x:v>
      </x:c>
      <x:c r="F866" s="15" t="n">
        <x:v>46222.375</x:v>
      </x:c>
      <x:c r="G866" s="15" t="n">
        <x:v>46225.458333333336</x:v>
      </x:c>
      <x:c r="H866" s="14" t="n">
        <x:v>3</x:v>
      </x:c>
      <x:c r="I866" s="1" t="n">
        <x:f>IF(AND(E866&lt;Reporting!$B$4,OR(G866="",G866&gt;=Reporting!$B$4)),1,0)</x:f>
        <x:v>0</x:v>
      </x:c>
      <x:c r="J866" s="1" t="n">
        <x:f>IF(AND(I866=1,F866&lt;Reporting!$B$4),1,0)</x:f>
        <x:v>0</x:v>
      </x:c>
      <x:c r="K866" s="1" t="n">
        <x:f>IF(F866&lt;Reporting!$B$4,1,0)</x:f>
        <x:v>1</x:v>
      </x:c>
      <x:c r="L866" s="1" t="n">
        <x:f>IF(AND(K866=1,G866&lt;&gt;"",G866&lt;=F866),1,0)</x:f>
        <x:v>0</x:v>
      </x:c>
      <x:c r="M866" s="1" t="n">
        <x:f>IF(AND(G866&lt;&gt;"",G866&lt;Reporting!$B$4),1,0)</x:f>
        <x:v>1</x:v>
      </x:c>
      <x:c r="N866" s="16" t="n">
        <x:f>IF(M866=1,G866-E866,"")</x:f>
        <x:v>10.083333333335759</x:v>
      </x:c>
      <x:c r="O866" s="1" t="str">
        <x:f>IF(E866&gt;=Reporting!$B$4,"Outside cutoff",IF(M866=1,"Closed",IF(J866=1,"Overdue","Open - within SLA")))</x:f>
        <x:v>Closed</x:v>
      </x:c>
    </x:row>
    <x:row r="867">
      <x:c r="A867" s="14" t="str">
        <x:v>CASE-00862</x:v>
      </x:c>
      <x:c r="B867" s="14" t="str">
        <x:v>Installation</x:v>
      </x:c>
      <x:c r="C867" s="14" t="str">
        <x:v>Process deviation</x:v>
      </x:c>
      <x:c r="D867" s="14" t="str">
        <x:v>Medium</x:v>
      </x:c>
      <x:c r="E867" s="15" t="n">
        <x:v>46257.583333333336</x:v>
      </x:c>
      <x:c r="F867" s="15" t="n">
        <x:v>46264.583333333336</x:v>
      </x:c>
      <x:c r="G867" s="15" t="n">
        <x:v>46260.583333333336</x:v>
      </x:c>
      <x:c r="H867" s="14" t="n">
        <x:v>3</x:v>
      </x:c>
      <x:c r="I867" s="1" t="n">
        <x:f>IF(AND(E867&lt;Reporting!$B$4,OR(G867="",G867&gt;=Reporting!$B$4)),1,0)</x:f>
        <x:v>0</x:v>
      </x:c>
      <x:c r="J867" s="1" t="n">
        <x:f>IF(AND(I867=1,F867&lt;Reporting!$B$4),1,0)</x:f>
        <x:v>0</x:v>
      </x:c>
      <x:c r="K867" s="1" t="n">
        <x:f>IF(F867&lt;Reporting!$B$4,1,0)</x:f>
        <x:v>1</x:v>
      </x:c>
      <x:c r="L867" s="1" t="n">
        <x:f>IF(AND(K867=1,G867&lt;&gt;"",G867&lt;=F867),1,0)</x:f>
        <x:v>1</x:v>
      </x:c>
      <x:c r="M867" s="1" t="n">
        <x:f>IF(AND(G867&lt;&gt;"",G867&lt;Reporting!$B$4),1,0)</x:f>
        <x:v>1</x:v>
      </x:c>
      <x:c r="N867" s="16" t="n">
        <x:f>IF(M867=1,G867-E867,"")</x:f>
        <x:v>3</x:v>
      </x:c>
      <x:c r="O867" s="1" t="str">
        <x:f>IF(E867&gt;=Reporting!$B$4,"Outside cutoff",IF(M867=1,"Closed",IF(J867=1,"Overdue","Open - within SLA")))</x:f>
        <x:v>Closed</x:v>
      </x:c>
    </x:row>
    <x:row r="868">
      <x:c r="A868" s="14" t="str">
        <x:v>CASE-00863</x:v>
      </x:c>
      <x:c r="B868" s="14" t="str">
        <x:v>Customer Services</x:v>
      </x:c>
      <x:c r="C868" s="14" t="str">
        <x:v>Late review</x:v>
      </x:c>
      <x:c r="D868" s="14" t="str">
        <x:v>Medium</x:v>
      </x:c>
      <x:c r="E868" s="15" t="n">
        <x:v>46253.458333333336</x:v>
      </x:c>
      <x:c r="F868" s="15" t="n">
        <x:v>46260.458333333336</x:v>
      </x:c>
      <x:c r="G868" s="15" t="n">
        <x:v>46263.458333333336</x:v>
      </x:c>
      <x:c r="H868" s="14" t="n">
        <x:v>1</x:v>
      </x:c>
      <x:c r="I868" s="1" t="n">
        <x:f>IF(AND(E868&lt;Reporting!$B$4,OR(G868="",G868&gt;=Reporting!$B$4)),1,0)</x:f>
        <x:v>0</x:v>
      </x:c>
      <x:c r="J868" s="1" t="n">
        <x:f>IF(AND(I868=1,F868&lt;Reporting!$B$4),1,0)</x:f>
        <x:v>0</x:v>
      </x:c>
      <x:c r="K868" s="1" t="n">
        <x:f>IF(F868&lt;Reporting!$B$4,1,0)</x:f>
        <x:v>1</x:v>
      </x:c>
      <x:c r="L868" s="1" t="n">
        <x:f>IF(AND(K868=1,G868&lt;&gt;"",G868&lt;=F868),1,0)</x:f>
        <x:v>0</x:v>
      </x:c>
      <x:c r="M868" s="1" t="n">
        <x:f>IF(AND(G868&lt;&gt;"",G868&lt;Reporting!$B$4),1,0)</x:f>
        <x:v>1</x:v>
      </x:c>
      <x:c r="N868" s="16" t="n">
        <x:f>IF(M868=1,G868-E868,"")</x:f>
        <x:v>10</x:v>
      </x:c>
      <x:c r="O868" s="1" t="str">
        <x:f>IF(E868&gt;=Reporting!$B$4,"Outside cutoff",IF(M868=1,"Closed",IF(J868=1,"Overdue","Open - within SLA")))</x:f>
        <x:v>Closed</x:v>
      </x:c>
    </x:row>
    <x:row r="869">
      <x:c r="A869" s="14" t="str">
        <x:v>CASE-00864</x:v>
      </x:c>
      <x:c r="B869" s="14" t="str">
        <x:v>Warehouse</x:v>
      </x:c>
      <x:c r="C869" s="14" t="str">
        <x:v>Record mismatch</x:v>
      </x:c>
      <x:c r="D869" s="14" t="str">
        <x:v>Medium</x:v>
      </x:c>
      <x:c r="E869" s="15" t="n">
        <x:v>46206.666666666664</x:v>
      </x:c>
      <x:c r="F869" s="15" t="n">
        <x:v>46213.666666666664</x:v>
      </x:c>
      <x:c r="G869" s="15" t="n">
        <x:v>46221.666666666664</x:v>
      </x:c>
      <x:c r="H869" s="14" t="n">
        <x:v>2</x:v>
      </x:c>
      <x:c r="I869" s="1" t="n">
        <x:f>IF(AND(E869&lt;Reporting!$B$4,OR(G869="",G869&gt;=Reporting!$B$4)),1,0)</x:f>
        <x:v>0</x:v>
      </x:c>
      <x:c r="J869" s="1" t="n">
        <x:f>IF(AND(I869=1,F869&lt;Reporting!$B$4),1,0)</x:f>
        <x:v>0</x:v>
      </x:c>
      <x:c r="K869" s="1" t="n">
        <x:f>IF(F869&lt;Reporting!$B$4,1,0)</x:f>
        <x:v>1</x:v>
      </x:c>
      <x:c r="L869" s="1" t="n">
        <x:f>IF(AND(K869=1,G869&lt;&gt;"",G869&lt;=F869),1,0)</x:f>
        <x:v>0</x:v>
      </x:c>
      <x:c r="M869" s="1" t="n">
        <x:f>IF(AND(G869&lt;&gt;"",G869&lt;Reporting!$B$4),1,0)</x:f>
        <x:v>1</x:v>
      </x:c>
      <x:c r="N869" s="16" t="n">
        <x:f>IF(M869=1,G869-E869,"")</x:f>
        <x:v>15</x:v>
      </x:c>
      <x:c r="O869" s="1" t="str">
        <x:f>IF(E869&gt;=Reporting!$B$4,"Outside cutoff",IF(M869=1,"Closed",IF(J869=1,"Overdue","Open - within SLA")))</x:f>
        <x:v>Closed</x:v>
      </x:c>
    </x:row>
    <x:row r="870">
      <x:c r="A870" s="14" t="str">
        <x:v>CASE-00865</x:v>
      </x:c>
      <x:c r="B870" s="14" t="str">
        <x:v>Warehouse</x:v>
      </x:c>
      <x:c r="C870" s="14" t="str">
        <x:v>Late review</x:v>
      </x:c>
      <x:c r="D870" s="14" t="str">
        <x:v>Medium</x:v>
      </x:c>
      <x:c r="E870" s="15" t="n">
        <x:v>46256.541666666664</x:v>
      </x:c>
      <x:c r="F870" s="15" t="n">
        <x:v>46263.541666666664</x:v>
      </x:c>
      <x:c r="G870" s="15" t="n">
        <x:v>46277.541666666664</x:v>
      </x:c>
      <x:c r="H870" s="14" t="n">
        <x:v>2</x:v>
      </x:c>
      <x:c r="I870" s="1" t="n">
        <x:f>IF(AND(E870&lt;Reporting!$B$4,OR(G870="",G870&gt;=Reporting!$B$4)),1,0)</x:f>
        <x:v>0</x:v>
      </x:c>
      <x:c r="J870" s="1" t="n">
        <x:f>IF(AND(I870=1,F870&lt;Reporting!$B$4),1,0)</x:f>
        <x:v>0</x:v>
      </x:c>
      <x:c r="K870" s="1" t="n">
        <x:f>IF(F870&lt;Reporting!$B$4,1,0)</x:f>
        <x:v>1</x:v>
      </x:c>
      <x:c r="L870" s="1" t="n">
        <x:f>IF(AND(K870=1,G870&lt;&gt;"",G870&lt;=F870),1,0)</x:f>
        <x:v>0</x:v>
      </x:c>
      <x:c r="M870" s="1" t="n">
        <x:f>IF(AND(G870&lt;&gt;"",G870&lt;Reporting!$B$4),1,0)</x:f>
        <x:v>1</x:v>
      </x:c>
      <x:c r="N870" s="16" t="n">
        <x:f>IF(M870=1,G870-E870,"")</x:f>
        <x:v>21</x:v>
      </x:c>
      <x:c r="O870" s="1" t="str">
        <x:f>IF(E870&gt;=Reporting!$B$4,"Outside cutoff",IF(M870=1,"Closed",IF(J870=1,"Overdue","Open - within SLA")))</x:f>
        <x:v>Closed</x:v>
      </x:c>
    </x:row>
    <x:row r="871">
      <x:c r="A871" s="14" t="str">
        <x:v>CASE-00866</x:v>
      </x:c>
      <x:c r="B871" s="14" t="str">
        <x:v>Installation</x:v>
      </x:c>
      <x:c r="C871" s="14" t="str">
        <x:v>Record mismatch</x:v>
      </x:c>
      <x:c r="D871" s="14" t="str">
        <x:v>Low</x:v>
      </x:c>
      <x:c r="E871" s="15" t="n">
        <x:v>46249.375</x:v>
      </x:c>
      <x:c r="F871" s="15" t="n">
        <x:v>46263.375</x:v>
      </x:c>
      <x:c r="G871" s="15" t="n">
        <x:v>46255.416666666664</x:v>
      </x:c>
      <x:c r="H871" s="14" t="n">
        <x:v>3</x:v>
      </x:c>
      <x:c r="I871" s="1" t="n">
        <x:f>IF(AND(E871&lt;Reporting!$B$4,OR(G871="",G871&gt;=Reporting!$B$4)),1,0)</x:f>
        <x:v>0</x:v>
      </x:c>
      <x:c r="J871" s="1" t="n">
        <x:f>IF(AND(I871=1,F871&lt;Reporting!$B$4),1,0)</x:f>
        <x:v>0</x:v>
      </x:c>
      <x:c r="K871" s="1" t="n">
        <x:f>IF(F871&lt;Reporting!$B$4,1,0)</x:f>
        <x:v>1</x:v>
      </x:c>
      <x:c r="L871" s="1" t="n">
        <x:f>IF(AND(K871=1,G871&lt;&gt;"",G871&lt;=F871),1,0)</x:f>
        <x:v>1</x:v>
      </x:c>
      <x:c r="M871" s="1" t="n">
        <x:f>IF(AND(G871&lt;&gt;"",G871&lt;Reporting!$B$4),1,0)</x:f>
        <x:v>1</x:v>
      </x:c>
      <x:c r="N871" s="16" t="n">
        <x:f>IF(M871=1,G871-E871,"")</x:f>
        <x:v>6.041666666664241</x:v>
      </x:c>
      <x:c r="O871" s="1" t="str">
        <x:f>IF(E871&gt;=Reporting!$B$4,"Outside cutoff",IF(M871=1,"Closed",IF(J871=1,"Overdue","Open - within SLA")))</x:f>
        <x:v>Closed</x:v>
      </x:c>
    </x:row>
    <x:row r="872">
      <x:c r="A872" s="14" t="str">
        <x:v>CASE-00867</x:v>
      </x:c>
      <x:c r="B872" s="14" t="str">
        <x:v>Warehouse</x:v>
      </x:c>
      <x:c r="C872" s="14" t="str">
        <x:v>Missing evidence</x:v>
      </x:c>
      <x:c r="D872" s="14" t="str">
        <x:v>High</x:v>
      </x:c>
      <x:c r="E872" s="15" t="n">
        <x:v>46282.416666666664</x:v>
      </x:c>
      <x:c r="F872" s="15" t="n">
        <x:v>46285.416666666664</x:v>
      </x:c>
      <x:c r="G872" s="15"/>
      <x:c r="H872" s="14" t="n">
        <x:v>2</x:v>
      </x:c>
      <x:c r="I872" s="1" t="n">
        <x:f>IF(AND(E872&lt;Reporting!$B$4,OR(G872="",G872&gt;=Reporting!$B$4)),1,0)</x:f>
        <x:v>1</x:v>
      </x:c>
      <x:c r="J872" s="1" t="n">
        <x:f>IF(AND(I872=1,F872&lt;Reporting!$B$4),1,0)</x:f>
        <x:v>1</x:v>
      </x:c>
      <x:c r="K872" s="1" t="n">
        <x:f>IF(F872&lt;Reporting!$B$4,1,0)</x:f>
        <x:v>1</x:v>
      </x:c>
      <x:c r="L872" s="1" t="n">
        <x:f>IF(AND(K872=1,G872&lt;&gt;"",G872&lt;=F872),1,0)</x:f>
        <x:v>0</x:v>
      </x:c>
      <x:c r="M872" s="1" t="n">
        <x:f>IF(AND(G872&lt;&gt;"",G872&lt;Reporting!$B$4),1,0)</x:f>
        <x:v>0</x:v>
      </x:c>
      <x:c r="N872" s="16" t="str">
        <x:f>IF(M872=1,G872-E872,"")</x:f>
      </x:c>
      <x:c r="O872" s="1" t="str">
        <x:f>IF(E872&gt;=Reporting!$B$4,"Outside cutoff",IF(M872=1,"Closed",IF(J872=1,"Overdue","Open - within SLA")))</x:f>
        <x:v>Overdue</x:v>
      </x:c>
    </x:row>
    <x:row r="873">
      <x:c r="A873" s="14" t="str">
        <x:v>CASE-00868</x:v>
      </x:c>
      <x:c r="B873" s="14" t="str">
        <x:v>Installation</x:v>
      </x:c>
      <x:c r="C873" s="14" t="str">
        <x:v>Late review</x:v>
      </x:c>
      <x:c r="D873" s="14" t="str">
        <x:v>Medium</x:v>
      </x:c>
      <x:c r="E873" s="15" t="n">
        <x:v>46229.5</x:v>
      </x:c>
      <x:c r="F873" s="15" t="n">
        <x:v>46236.5</x:v>
      </x:c>
      <x:c r="G873" s="15" t="n">
        <x:v>46238.541666666664</x:v>
      </x:c>
      <x:c r="H873" s="14" t="n">
        <x:v>3</x:v>
      </x:c>
      <x:c r="I873" s="1" t="n">
        <x:f>IF(AND(E873&lt;Reporting!$B$4,OR(G873="",G873&gt;=Reporting!$B$4)),1,0)</x:f>
        <x:v>0</x:v>
      </x:c>
      <x:c r="J873" s="1" t="n">
        <x:f>IF(AND(I873=1,F873&lt;Reporting!$B$4),1,0)</x:f>
        <x:v>0</x:v>
      </x:c>
      <x:c r="K873" s="1" t="n">
        <x:f>IF(F873&lt;Reporting!$B$4,1,0)</x:f>
        <x:v>1</x:v>
      </x:c>
      <x:c r="L873" s="1" t="n">
        <x:f>IF(AND(K873=1,G873&lt;&gt;"",G873&lt;=F873),1,0)</x:f>
        <x:v>0</x:v>
      </x:c>
      <x:c r="M873" s="1" t="n">
        <x:f>IF(AND(G873&lt;&gt;"",G873&lt;Reporting!$B$4),1,0)</x:f>
        <x:v>1</x:v>
      </x:c>
      <x:c r="N873" s="16" t="n">
        <x:f>IF(M873=1,G873-E873,"")</x:f>
        <x:v>9.041666666664241</x:v>
      </x:c>
      <x:c r="O873" s="1" t="str">
        <x:f>IF(E873&gt;=Reporting!$B$4,"Outside cutoff",IF(M873=1,"Closed",IF(J873=1,"Overdue","Open - within SLA")))</x:f>
        <x:v>Closed</x:v>
      </x:c>
    </x:row>
    <x:row r="874">
      <x:c r="A874" s="14" t="str">
        <x:v>CASE-00869</x:v>
      </x:c>
      <x:c r="B874" s="14" t="str">
        <x:v>Installation</x:v>
      </x:c>
      <x:c r="C874" s="14" t="str">
        <x:v>Record mismatch</x:v>
      </x:c>
      <x:c r="D874" s="14" t="str">
        <x:v>Low</x:v>
      </x:c>
      <x:c r="E874" s="15" t="n">
        <x:v>46256.416666666664</x:v>
      </x:c>
      <x:c r="F874" s="15" t="n">
        <x:v>46270.416666666664</x:v>
      </x:c>
      <x:c r="G874" s="15" t="n">
        <x:v>46273.416666666664</x:v>
      </x:c>
      <x:c r="H874" s="14" t="n">
        <x:v>3</x:v>
      </x:c>
      <x:c r="I874" s="1" t="n">
        <x:f>IF(AND(E874&lt;Reporting!$B$4,OR(G874="",G874&gt;=Reporting!$B$4)),1,0)</x:f>
        <x:v>0</x:v>
      </x:c>
      <x:c r="J874" s="1" t="n">
        <x:f>IF(AND(I874=1,F874&lt;Reporting!$B$4),1,0)</x:f>
        <x:v>0</x:v>
      </x:c>
      <x:c r="K874" s="1" t="n">
        <x:f>IF(F874&lt;Reporting!$B$4,1,0)</x:f>
        <x:v>1</x:v>
      </x:c>
      <x:c r="L874" s="1" t="n">
        <x:f>IF(AND(K874=1,G874&lt;&gt;"",G874&lt;=F874),1,0)</x:f>
        <x:v>0</x:v>
      </x:c>
      <x:c r="M874" s="1" t="n">
        <x:f>IF(AND(G874&lt;&gt;"",G874&lt;Reporting!$B$4),1,0)</x:f>
        <x:v>1</x:v>
      </x:c>
      <x:c r="N874" s="16" t="n">
        <x:f>IF(M874=1,G874-E874,"")</x:f>
        <x:v>17</x:v>
      </x:c>
      <x:c r="O874" s="1" t="str">
        <x:f>IF(E874&gt;=Reporting!$B$4,"Outside cutoff",IF(M874=1,"Closed",IF(J874=1,"Overdue","Open - within SLA")))</x:f>
        <x:v>Closed</x:v>
      </x:c>
    </x:row>
    <x:row r="875">
      <x:c r="A875" s="14" t="str">
        <x:v>CASE-00870</x:v>
      </x:c>
      <x:c r="B875" s="14" t="str">
        <x:v>Customer Services</x:v>
      </x:c>
      <x:c r="C875" s="14" t="str">
        <x:v>Missing evidence</x:v>
      </x:c>
      <x:c r="D875" s="14" t="str">
        <x:v>Medium</x:v>
      </x:c>
      <x:c r="E875" s="15" t="n">
        <x:v>46255.583333333336</x:v>
      </x:c>
      <x:c r="F875" s="15" t="n">
        <x:v>46262.583333333336</x:v>
      </x:c>
      <x:c r="G875" s="15" t="n">
        <x:v>46259.666666666664</x:v>
      </x:c>
      <x:c r="H875" s="14" t="n">
        <x:v>1</x:v>
      </x:c>
      <x:c r="I875" s="1" t="n">
        <x:f>IF(AND(E875&lt;Reporting!$B$4,OR(G875="",G875&gt;=Reporting!$B$4)),1,0)</x:f>
        <x:v>0</x:v>
      </x:c>
      <x:c r="J875" s="1" t="n">
        <x:f>IF(AND(I875=1,F875&lt;Reporting!$B$4),1,0)</x:f>
        <x:v>0</x:v>
      </x:c>
      <x:c r="K875" s="1" t="n">
        <x:f>IF(F875&lt;Reporting!$B$4,1,0)</x:f>
        <x:v>1</x:v>
      </x:c>
      <x:c r="L875" s="1" t="n">
        <x:f>IF(AND(K875=1,G875&lt;&gt;"",G875&lt;=F875),1,0)</x:f>
        <x:v>1</x:v>
      </x:c>
      <x:c r="M875" s="1" t="n">
        <x:f>IF(AND(G875&lt;&gt;"",G875&lt;Reporting!$B$4),1,0)</x:f>
        <x:v>1</x:v>
      </x:c>
      <x:c r="N875" s="16" t="n">
        <x:f>IF(M875=1,G875-E875,"")</x:f>
        <x:v>4.083333333328483</x:v>
      </x:c>
      <x:c r="O875" s="1" t="str">
        <x:f>IF(E875&gt;=Reporting!$B$4,"Outside cutoff",IF(M875=1,"Closed",IF(J875=1,"Overdue","Open - within SLA")))</x:f>
        <x:v>Closed</x:v>
      </x:c>
    </x:row>
    <x:row r="876">
      <x:c r="A876" s="14" t="str">
        <x:v>CASE-00871</x:v>
      </x:c>
      <x:c r="B876" s="14" t="str">
        <x:v>Warehouse</x:v>
      </x:c>
      <x:c r="C876" s="14" t="str">
        <x:v>Late review</x:v>
      </x:c>
      <x:c r="D876" s="14" t="str">
        <x:v>Medium</x:v>
      </x:c>
      <x:c r="E876" s="15" t="n">
        <x:v>46285.5</x:v>
      </x:c>
      <x:c r="F876" s="15" t="n">
        <x:v>46292.5</x:v>
      </x:c>
      <x:c r="G876" s="15"/>
      <x:c r="H876" s="14" t="n">
        <x:v>2</x:v>
      </x:c>
      <x:c r="I876" s="1" t="n">
        <x:f>IF(AND(E876&lt;Reporting!$B$4,OR(G876="",G876&gt;=Reporting!$B$4)),1,0)</x:f>
        <x:v>1</x:v>
      </x:c>
      <x:c r="J876" s="1" t="n">
        <x:f>IF(AND(I876=1,F876&lt;Reporting!$B$4),1,0)</x:f>
        <x:v>0</x:v>
      </x:c>
      <x:c r="K876" s="1" t="n">
        <x:f>IF(F876&lt;Reporting!$B$4,1,0)</x:f>
        <x:v>0</x:v>
      </x:c>
      <x:c r="L876" s="1" t="n">
        <x:f>IF(AND(K876=1,G876&lt;&gt;"",G876&lt;=F876),1,0)</x:f>
        <x:v>0</x:v>
      </x:c>
      <x:c r="M876" s="1" t="n">
        <x:f>IF(AND(G876&lt;&gt;"",G876&lt;Reporting!$B$4),1,0)</x:f>
        <x:v>0</x:v>
      </x:c>
      <x:c r="N876" s="16" t="str">
        <x:f>IF(M876=1,G876-E876,"")</x:f>
      </x:c>
      <x:c r="O876" s="1" t="str">
        <x:f>IF(E876&gt;=Reporting!$B$4,"Outside cutoff",IF(M876=1,"Closed",IF(J876=1,"Overdue","Open - within SLA")))</x:f>
        <x:v>Open - within SLA</x:v>
      </x:c>
    </x:row>
    <x:row r="877">
      <x:c r="A877" s="14" t="str">
        <x:v>CASE-00872</x:v>
      </x:c>
      <x:c r="B877" s="14" t="str">
        <x:v>Installation</x:v>
      </x:c>
      <x:c r="C877" s="14" t="str">
        <x:v>Late review</x:v>
      </x:c>
      <x:c r="D877" s="14" t="str">
        <x:v>Medium</x:v>
      </x:c>
      <x:c r="E877" s="15" t="n">
        <x:v>46280.458333333336</x:v>
      </x:c>
      <x:c r="F877" s="15" t="n">
        <x:v>46287.458333333336</x:v>
      </x:c>
      <x:c r="G877" s="15"/>
      <x:c r="H877" s="14" t="n">
        <x:v>3</x:v>
      </x:c>
      <x:c r="I877" s="1" t="n">
        <x:f>IF(AND(E877&lt;Reporting!$B$4,OR(G877="",G877&gt;=Reporting!$B$4)),1,0)</x:f>
        <x:v>1</x:v>
      </x:c>
      <x:c r="J877" s="1" t="n">
        <x:f>IF(AND(I877=1,F877&lt;Reporting!$B$4),1,0)</x:f>
        <x:v>0</x:v>
      </x:c>
      <x:c r="K877" s="1" t="n">
        <x:f>IF(F877&lt;Reporting!$B$4,1,0)</x:f>
        <x:v>0</x:v>
      </x:c>
      <x:c r="L877" s="1" t="n">
        <x:f>IF(AND(K877=1,G877&lt;&gt;"",G877&lt;=F877),1,0)</x:f>
        <x:v>0</x:v>
      </x:c>
      <x:c r="M877" s="1" t="n">
        <x:f>IF(AND(G877&lt;&gt;"",G877&lt;Reporting!$B$4),1,0)</x:f>
        <x:v>0</x:v>
      </x:c>
      <x:c r="N877" s="16" t="str">
        <x:f>IF(M877=1,G877-E877,"")</x:f>
      </x:c>
      <x:c r="O877" s="1" t="str">
        <x:f>IF(E877&gt;=Reporting!$B$4,"Outside cutoff",IF(M877=1,"Closed",IF(J877=1,"Overdue","Open - within SLA")))</x:f>
        <x:v>Open - within SLA</x:v>
      </x:c>
    </x:row>
    <x:row r="878">
      <x:c r="A878" s="14" t="str">
        <x:v>CASE-00873</x:v>
      </x:c>
      <x:c r="B878" s="14" t="str">
        <x:v>Warehouse</x:v>
      </x:c>
      <x:c r="C878" s="14" t="str">
        <x:v>Process deviation</x:v>
      </x:c>
      <x:c r="D878" s="14" t="str">
        <x:v>Medium</x:v>
      </x:c>
      <x:c r="E878" s="15" t="n">
        <x:v>46270.416666666664</x:v>
      </x:c>
      <x:c r="F878" s="15" t="n">
        <x:v>46277.416666666664</x:v>
      </x:c>
      <x:c r="G878" s="15"/>
      <x:c r="H878" s="14" t="n">
        <x:v>2</x:v>
      </x:c>
      <x:c r="I878" s="1" t="n">
        <x:f>IF(AND(E878&lt;Reporting!$B$4,OR(G878="",G878&gt;=Reporting!$B$4)),1,0)</x:f>
        <x:v>1</x:v>
      </x:c>
      <x:c r="J878" s="1" t="n">
        <x:f>IF(AND(I878=1,F878&lt;Reporting!$B$4),1,0)</x:f>
        <x:v>1</x:v>
      </x:c>
      <x:c r="K878" s="1" t="n">
        <x:f>IF(F878&lt;Reporting!$B$4,1,0)</x:f>
        <x:v>1</x:v>
      </x:c>
      <x:c r="L878" s="1" t="n">
        <x:f>IF(AND(K878=1,G878&lt;&gt;"",G878&lt;=F878),1,0)</x:f>
        <x:v>0</x:v>
      </x:c>
      <x:c r="M878" s="1" t="n">
        <x:f>IF(AND(G878&lt;&gt;"",G878&lt;Reporting!$B$4),1,0)</x:f>
        <x:v>0</x:v>
      </x:c>
      <x:c r="N878" s="16" t="str">
        <x:f>IF(M878=1,G878-E878,"")</x:f>
      </x:c>
      <x:c r="O878" s="1" t="str">
        <x:f>IF(E878&gt;=Reporting!$B$4,"Outside cutoff",IF(M878=1,"Closed",IF(J878=1,"Overdue","Open - within SLA")))</x:f>
        <x:v>Overdue</x:v>
      </x:c>
    </x:row>
    <x:row r="879">
      <x:c r="A879" s="14" t="str">
        <x:v>CASE-00874</x:v>
      </x:c>
      <x:c r="B879" s="14" t="str">
        <x:v>Customer Services</x:v>
      </x:c>
      <x:c r="C879" s="14" t="str">
        <x:v>Record mismatch</x:v>
      </x:c>
      <x:c r="D879" s="14" t="str">
        <x:v>Medium</x:v>
      </x:c>
      <x:c r="E879" s="15" t="n">
        <x:v>46278.583333333336</x:v>
      </x:c>
      <x:c r="F879" s="15" t="n">
        <x:v>46285.583333333336</x:v>
      </x:c>
      <x:c r="G879" s="15"/>
      <x:c r="H879" s="14" t="n">
        <x:v>1</x:v>
      </x:c>
      <x:c r="I879" s="1" t="n">
        <x:f>IF(AND(E879&lt;Reporting!$B$4,OR(G879="",G879&gt;=Reporting!$B$4)),1,0)</x:f>
        <x:v>1</x:v>
      </x:c>
      <x:c r="J879" s="1" t="n">
        <x:f>IF(AND(I879=1,F879&lt;Reporting!$B$4),1,0)</x:f>
        <x:v>1</x:v>
      </x:c>
      <x:c r="K879" s="1" t="n">
        <x:f>IF(F879&lt;Reporting!$B$4,1,0)</x:f>
        <x:v>1</x:v>
      </x:c>
      <x:c r="L879" s="1" t="n">
        <x:f>IF(AND(K879=1,G879&lt;&gt;"",G879&lt;=F879),1,0)</x:f>
        <x:v>0</x:v>
      </x:c>
      <x:c r="M879" s="1" t="n">
        <x:f>IF(AND(G879&lt;&gt;"",G879&lt;Reporting!$B$4),1,0)</x:f>
        <x:v>0</x:v>
      </x:c>
      <x:c r="N879" s="16" t="str">
        <x:f>IF(M879=1,G879-E879,"")</x:f>
      </x:c>
      <x:c r="O879" s="1" t="str">
        <x:f>IF(E879&gt;=Reporting!$B$4,"Outside cutoff",IF(M879=1,"Closed",IF(J879=1,"Overdue","Open - within SLA")))</x:f>
        <x:v>Overdue</x:v>
      </x:c>
    </x:row>
    <x:row r="880">
      <x:c r="A880" s="14" t="str">
        <x:v>CASE-00875</x:v>
      </x:c>
      <x:c r="B880" s="14" t="str">
        <x:v>Warehouse</x:v>
      </x:c>
      <x:c r="C880" s="14" t="str">
        <x:v>Record mismatch</x:v>
      </x:c>
      <x:c r="D880" s="14" t="str">
        <x:v>Medium</x:v>
      </x:c>
      <x:c r="E880" s="15" t="n">
        <x:v>46272.458333333336</x:v>
      </x:c>
      <x:c r="F880" s="15" t="n">
        <x:v>46279.458333333336</x:v>
      </x:c>
      <x:c r="G880" s="15"/>
      <x:c r="H880" s="14" t="n">
        <x:v>2</x:v>
      </x:c>
      <x:c r="I880" s="1" t="n">
        <x:f>IF(AND(E880&lt;Reporting!$B$4,OR(G880="",G880&gt;=Reporting!$B$4)),1,0)</x:f>
        <x:v>1</x:v>
      </x:c>
      <x:c r="J880" s="1" t="n">
        <x:f>IF(AND(I880=1,F880&lt;Reporting!$B$4),1,0)</x:f>
        <x:v>1</x:v>
      </x:c>
      <x:c r="K880" s="1" t="n">
        <x:f>IF(F880&lt;Reporting!$B$4,1,0)</x:f>
        <x:v>1</x:v>
      </x:c>
      <x:c r="L880" s="1" t="n">
        <x:f>IF(AND(K880=1,G880&lt;&gt;"",G880&lt;=F880),1,0)</x:f>
        <x:v>0</x:v>
      </x:c>
      <x:c r="M880" s="1" t="n">
        <x:f>IF(AND(G880&lt;&gt;"",G880&lt;Reporting!$B$4),1,0)</x:f>
        <x:v>0</x:v>
      </x:c>
      <x:c r="N880" s="16" t="str">
        <x:f>IF(M880=1,G880-E880,"")</x:f>
      </x:c>
      <x:c r="O880" s="1" t="str">
        <x:f>IF(E880&gt;=Reporting!$B$4,"Outside cutoff",IF(M880=1,"Closed",IF(J880=1,"Overdue","Open - within SLA")))</x:f>
        <x:v>Overdue</x:v>
      </x:c>
    </x:row>
    <x:row r="881">
      <x:c r="A881" s="14" t="str">
        <x:v>CASE-00876</x:v>
      </x:c>
      <x:c r="B881" s="14" t="str">
        <x:v>Customer Services</x:v>
      </x:c>
      <x:c r="C881" s="14" t="str">
        <x:v>Late review</x:v>
      </x:c>
      <x:c r="D881" s="14" t="str">
        <x:v>Medium</x:v>
      </x:c>
      <x:c r="E881" s="15" t="n">
        <x:v>46241.416666666664</x:v>
      </x:c>
      <x:c r="F881" s="15" t="n">
        <x:v>46248.416666666664</x:v>
      </x:c>
      <x:c r="G881" s="15" t="n">
        <x:v>46242.416666666664</x:v>
      </x:c>
      <x:c r="H881" s="14" t="n">
        <x:v>1</x:v>
      </x:c>
      <x:c r="I881" s="1" t="n">
        <x:f>IF(AND(E881&lt;Reporting!$B$4,OR(G881="",G881&gt;=Reporting!$B$4)),1,0)</x:f>
        <x:v>0</x:v>
      </x:c>
      <x:c r="J881" s="1" t="n">
        <x:f>IF(AND(I881=1,F881&lt;Reporting!$B$4),1,0)</x:f>
        <x:v>0</x:v>
      </x:c>
      <x:c r="K881" s="1" t="n">
        <x:f>IF(F881&lt;Reporting!$B$4,1,0)</x:f>
        <x:v>1</x:v>
      </x:c>
      <x:c r="L881" s="1" t="n">
        <x:f>IF(AND(K881=1,G881&lt;&gt;"",G881&lt;=F881),1,0)</x:f>
        <x:v>1</x:v>
      </x:c>
      <x:c r="M881" s="1" t="n">
        <x:f>IF(AND(G881&lt;&gt;"",G881&lt;Reporting!$B$4),1,0)</x:f>
        <x:v>1</x:v>
      </x:c>
      <x:c r="N881" s="16" t="n">
        <x:f>IF(M881=1,G881-E881,"")</x:f>
        <x:v>1</x:v>
      </x:c>
      <x:c r="O881" s="1" t="str">
        <x:f>IF(E881&gt;=Reporting!$B$4,"Outside cutoff",IF(M881=1,"Closed",IF(J881=1,"Overdue","Open - within SLA")))</x:f>
        <x:v>Closed</x:v>
      </x:c>
    </x:row>
    <x:row r="882">
      <x:c r="A882" s="14" t="str">
        <x:v>CASE-00877</x:v>
      </x:c>
      <x:c r="B882" s="14" t="str">
        <x:v>Installation</x:v>
      </x:c>
      <x:c r="C882" s="14" t="str">
        <x:v>Record mismatch</x:v>
      </x:c>
      <x:c r="D882" s="14" t="str">
        <x:v>Medium</x:v>
      </x:c>
      <x:c r="E882" s="15" t="n">
        <x:v>46275.458333333336</x:v>
      </x:c>
      <x:c r="F882" s="15" t="n">
        <x:v>46282.458333333336</x:v>
      </x:c>
      <x:c r="G882" s="15" t="n">
        <x:v>46285.458333333336</x:v>
      </x:c>
      <x:c r="H882" s="14" t="n">
        <x:v>3</x:v>
      </x:c>
      <x:c r="I882" s="1" t="n">
        <x:f>IF(AND(E882&lt;Reporting!$B$4,OR(G882="",G882&gt;=Reporting!$B$4)),1,0)</x:f>
        <x:v>0</x:v>
      </x:c>
      <x:c r="J882" s="1" t="n">
        <x:f>IF(AND(I882=1,F882&lt;Reporting!$B$4),1,0)</x:f>
        <x:v>0</x:v>
      </x:c>
      <x:c r="K882" s="1" t="n">
        <x:f>IF(F882&lt;Reporting!$B$4,1,0)</x:f>
        <x:v>1</x:v>
      </x:c>
      <x:c r="L882" s="1" t="n">
        <x:f>IF(AND(K882=1,G882&lt;&gt;"",G882&lt;=F882),1,0)</x:f>
        <x:v>0</x:v>
      </x:c>
      <x:c r="M882" s="1" t="n">
        <x:f>IF(AND(G882&lt;&gt;"",G882&lt;Reporting!$B$4),1,0)</x:f>
        <x:v>1</x:v>
      </x:c>
      <x:c r="N882" s="16" t="n">
        <x:f>IF(M882=1,G882-E882,"")</x:f>
        <x:v>10</x:v>
      </x:c>
      <x:c r="O882" s="1" t="str">
        <x:f>IF(E882&gt;=Reporting!$B$4,"Outside cutoff",IF(M882=1,"Closed",IF(J882=1,"Overdue","Open - within SLA")))</x:f>
        <x:v>Closed</x:v>
      </x:c>
    </x:row>
    <x:row r="883">
      <x:c r="A883" s="14" t="str">
        <x:v>CASE-00878</x:v>
      </x:c>
      <x:c r="B883" s="14" t="str">
        <x:v>Warehouse</x:v>
      </x:c>
      <x:c r="C883" s="14" t="str">
        <x:v>Record mismatch</x:v>
      </x:c>
      <x:c r="D883" s="14" t="str">
        <x:v>Medium</x:v>
      </x:c>
      <x:c r="E883" s="15" t="n">
        <x:v>46280.583333333336</x:v>
      </x:c>
      <x:c r="F883" s="15" t="n">
        <x:v>46287.583333333336</x:v>
      </x:c>
      <x:c r="G883" s="15"/>
      <x:c r="H883" s="14" t="n">
        <x:v>2</x:v>
      </x:c>
      <x:c r="I883" s="1" t="n">
        <x:f>IF(AND(E883&lt;Reporting!$B$4,OR(G883="",G883&gt;=Reporting!$B$4)),1,0)</x:f>
        <x:v>1</x:v>
      </x:c>
      <x:c r="J883" s="1" t="n">
        <x:f>IF(AND(I883=1,F883&lt;Reporting!$B$4),1,0)</x:f>
        <x:v>0</x:v>
      </x:c>
      <x:c r="K883" s="1" t="n">
        <x:f>IF(F883&lt;Reporting!$B$4,1,0)</x:f>
        <x:v>0</x:v>
      </x:c>
      <x:c r="L883" s="1" t="n">
        <x:f>IF(AND(K883=1,G883&lt;&gt;"",G883&lt;=F883),1,0)</x:f>
        <x:v>0</x:v>
      </x:c>
      <x:c r="M883" s="1" t="n">
        <x:f>IF(AND(G883&lt;&gt;"",G883&lt;Reporting!$B$4),1,0)</x:f>
        <x:v>0</x:v>
      </x:c>
      <x:c r="N883" s="16" t="str">
        <x:f>IF(M883=1,G883-E883,"")</x:f>
      </x:c>
      <x:c r="O883" s="1" t="str">
        <x:f>IF(E883&gt;=Reporting!$B$4,"Outside cutoff",IF(M883=1,"Closed",IF(J883=1,"Overdue","Open - within SLA")))</x:f>
        <x:v>Open - within SLA</x:v>
      </x:c>
    </x:row>
    <x:row r="884">
      <x:c r="A884" s="14" t="str">
        <x:v>CASE-00879</x:v>
      </x:c>
      <x:c r="B884" s="14" t="str">
        <x:v>Installation</x:v>
      </x:c>
      <x:c r="C884" s="14" t="str">
        <x:v>Late review</x:v>
      </x:c>
      <x:c r="D884" s="14" t="str">
        <x:v>High</x:v>
      </x:c>
      <x:c r="E884" s="15" t="n">
        <x:v>46235.541666666664</x:v>
      </x:c>
      <x:c r="F884" s="15" t="n">
        <x:v>46238.541666666664</x:v>
      </x:c>
      <x:c r="G884" s="15" t="n">
        <x:v>46244.625</x:v>
      </x:c>
      <x:c r="H884" s="14" t="n">
        <x:v>3</x:v>
      </x:c>
      <x:c r="I884" s="1" t="n">
        <x:f>IF(AND(E884&lt;Reporting!$B$4,OR(G884="",G884&gt;=Reporting!$B$4)),1,0)</x:f>
        <x:v>0</x:v>
      </x:c>
      <x:c r="J884" s="1" t="n">
        <x:f>IF(AND(I884=1,F884&lt;Reporting!$B$4),1,0)</x:f>
        <x:v>0</x:v>
      </x:c>
      <x:c r="K884" s="1" t="n">
        <x:f>IF(F884&lt;Reporting!$B$4,1,0)</x:f>
        <x:v>1</x:v>
      </x:c>
      <x:c r="L884" s="1" t="n">
        <x:f>IF(AND(K884=1,G884&lt;&gt;"",G884&lt;=F884),1,0)</x:f>
        <x:v>0</x:v>
      </x:c>
      <x:c r="M884" s="1" t="n">
        <x:f>IF(AND(G884&lt;&gt;"",G884&lt;Reporting!$B$4),1,0)</x:f>
        <x:v>1</x:v>
      </x:c>
      <x:c r="N884" s="16" t="n">
        <x:f>IF(M884=1,G884-E884,"")</x:f>
        <x:v>9.083333333335759</x:v>
      </x:c>
      <x:c r="O884" s="1" t="str">
        <x:f>IF(E884&gt;=Reporting!$B$4,"Outside cutoff",IF(M884=1,"Closed",IF(J884=1,"Overdue","Open - within SLA")))</x:f>
        <x:v>Closed</x:v>
      </x:c>
    </x:row>
    <x:row r="885">
      <x:c r="A885" s="14" t="str">
        <x:v>CASE-00880</x:v>
      </x:c>
      <x:c r="B885" s="14" t="str">
        <x:v>Installation</x:v>
      </x:c>
      <x:c r="C885" s="14" t="str">
        <x:v>Process deviation</x:v>
      </x:c>
      <x:c r="D885" s="14" t="str">
        <x:v>High</x:v>
      </x:c>
      <x:c r="E885" s="15" t="n">
        <x:v>46216.333333333336</x:v>
      </x:c>
      <x:c r="F885" s="15" t="n">
        <x:v>46219.333333333336</x:v>
      </x:c>
      <x:c r="G885" s="15" t="n">
        <x:v>46227.416666666664</x:v>
      </x:c>
      <x:c r="H885" s="14" t="n">
        <x:v>3</x:v>
      </x:c>
      <x:c r="I885" s="1" t="n">
        <x:f>IF(AND(E885&lt;Reporting!$B$4,OR(G885="",G885&gt;=Reporting!$B$4)),1,0)</x:f>
        <x:v>0</x:v>
      </x:c>
      <x:c r="J885" s="1" t="n">
        <x:f>IF(AND(I885=1,F885&lt;Reporting!$B$4),1,0)</x:f>
        <x:v>0</x:v>
      </x:c>
      <x:c r="K885" s="1" t="n">
        <x:f>IF(F885&lt;Reporting!$B$4,1,0)</x:f>
        <x:v>1</x:v>
      </x:c>
      <x:c r="L885" s="1" t="n">
        <x:f>IF(AND(K885=1,G885&lt;&gt;"",G885&lt;=F885),1,0)</x:f>
        <x:v>0</x:v>
      </x:c>
      <x:c r="M885" s="1" t="n">
        <x:f>IF(AND(G885&lt;&gt;"",G885&lt;Reporting!$B$4),1,0)</x:f>
        <x:v>1</x:v>
      </x:c>
      <x:c r="N885" s="16" t="n">
        <x:f>IF(M885=1,G885-E885,"")</x:f>
        <x:v>11.083333333328483</x:v>
      </x:c>
      <x:c r="O885" s="1" t="str">
        <x:f>IF(E885&gt;=Reporting!$B$4,"Outside cutoff",IF(M885=1,"Closed",IF(J885=1,"Overdue","Open - within SLA")))</x:f>
        <x:v>Closed</x:v>
      </x:c>
    </x:row>
    <x:row r="886">
      <x:c r="A886" s="14" t="str">
        <x:v>CASE-00881</x:v>
      </x:c>
      <x:c r="B886" s="14" t="str">
        <x:v>Warehouse</x:v>
      </x:c>
      <x:c r="C886" s="14" t="str">
        <x:v>Missing evidence</x:v>
      </x:c>
      <x:c r="D886" s="14" t="str">
        <x:v>Medium</x:v>
      </x:c>
      <x:c r="E886" s="15" t="n">
        <x:v>46228.541666666664</x:v>
      </x:c>
      <x:c r="F886" s="15" t="n">
        <x:v>46235.541666666664</x:v>
      </x:c>
      <x:c r="G886" s="15" t="n">
        <x:v>46229.541666666664</x:v>
      </x:c>
      <x:c r="H886" s="14" t="n">
        <x:v>2</x:v>
      </x:c>
      <x:c r="I886" s="1" t="n">
        <x:f>IF(AND(E886&lt;Reporting!$B$4,OR(G886="",G886&gt;=Reporting!$B$4)),1,0)</x:f>
        <x:v>0</x:v>
      </x:c>
      <x:c r="J886" s="1" t="n">
        <x:f>IF(AND(I886=1,F886&lt;Reporting!$B$4),1,0)</x:f>
        <x:v>0</x:v>
      </x:c>
      <x:c r="K886" s="1" t="n">
        <x:f>IF(F886&lt;Reporting!$B$4,1,0)</x:f>
        <x:v>1</x:v>
      </x:c>
      <x:c r="L886" s="1" t="n">
        <x:f>IF(AND(K886=1,G886&lt;&gt;"",G886&lt;=F886),1,0)</x:f>
        <x:v>1</x:v>
      </x:c>
      <x:c r="M886" s="1" t="n">
        <x:f>IF(AND(G886&lt;&gt;"",G886&lt;Reporting!$B$4),1,0)</x:f>
        <x:v>1</x:v>
      </x:c>
      <x:c r="N886" s="16" t="n">
        <x:f>IF(M886=1,G886-E886,"")</x:f>
        <x:v>1</x:v>
      </x:c>
      <x:c r="O886" s="1" t="str">
        <x:f>IF(E886&gt;=Reporting!$B$4,"Outside cutoff",IF(M886=1,"Closed",IF(J886=1,"Overdue","Open - within SLA")))</x:f>
        <x:v>Closed</x:v>
      </x:c>
    </x:row>
    <x:row r="887">
      <x:c r="A887" s="14" t="str">
        <x:v>CASE-00882</x:v>
      </x:c>
      <x:c r="B887" s="14" t="str">
        <x:v>Customer Services</x:v>
      </x:c>
      <x:c r="C887" s="14" t="str">
        <x:v>Process deviation</x:v>
      </x:c>
      <x:c r="D887" s="14" t="str">
        <x:v>High</x:v>
      </x:c>
      <x:c r="E887" s="15" t="n">
        <x:v>46241.625</x:v>
      </x:c>
      <x:c r="F887" s="15" t="n">
        <x:v>46244.625</x:v>
      </x:c>
      <x:c r="G887" s="15" t="n">
        <x:v>46252.666666666664</x:v>
      </x:c>
      <x:c r="H887" s="14" t="n">
        <x:v>1</x:v>
      </x:c>
      <x:c r="I887" s="1" t="n">
        <x:f>IF(AND(E887&lt;Reporting!$B$4,OR(G887="",G887&gt;=Reporting!$B$4)),1,0)</x:f>
        <x:v>0</x:v>
      </x:c>
      <x:c r="J887" s="1" t="n">
        <x:f>IF(AND(I887=1,F887&lt;Reporting!$B$4),1,0)</x:f>
        <x:v>0</x:v>
      </x:c>
      <x:c r="K887" s="1" t="n">
        <x:f>IF(F887&lt;Reporting!$B$4,1,0)</x:f>
        <x:v>1</x:v>
      </x:c>
      <x:c r="L887" s="1" t="n">
        <x:f>IF(AND(K887=1,G887&lt;&gt;"",G887&lt;=F887),1,0)</x:f>
        <x:v>0</x:v>
      </x:c>
      <x:c r="M887" s="1" t="n">
        <x:f>IF(AND(G887&lt;&gt;"",G887&lt;Reporting!$B$4),1,0)</x:f>
        <x:v>1</x:v>
      </x:c>
      <x:c r="N887" s="16" t="n">
        <x:f>IF(M887=1,G887-E887,"")</x:f>
        <x:v>11.041666666664241</x:v>
      </x:c>
      <x:c r="O887" s="1" t="str">
        <x:f>IF(E887&gt;=Reporting!$B$4,"Outside cutoff",IF(M887=1,"Closed",IF(J887=1,"Overdue","Open - within SLA")))</x:f>
        <x:v>Closed</x:v>
      </x:c>
    </x:row>
    <x:row r="888">
      <x:c r="A888" s="14" t="str">
        <x:v>CASE-00883</x:v>
      </x:c>
      <x:c r="B888" s="14" t="str">
        <x:v>Customer Services</x:v>
      </x:c>
      <x:c r="C888" s="14" t="str">
        <x:v>Process deviation</x:v>
      </x:c>
      <x:c r="D888" s="14" t="str">
        <x:v>Low</x:v>
      </x:c>
      <x:c r="E888" s="15" t="n">
        <x:v>46207.583333333336</x:v>
      </x:c>
      <x:c r="F888" s="15" t="n">
        <x:v>46221.583333333336</x:v>
      </x:c>
      <x:c r="G888" s="15" t="n">
        <x:v>46222.666666666664</x:v>
      </x:c>
      <x:c r="H888" s="14" t="n">
        <x:v>1</x:v>
      </x:c>
      <x:c r="I888" s="1" t="n">
        <x:f>IF(AND(E888&lt;Reporting!$B$4,OR(G888="",G888&gt;=Reporting!$B$4)),1,0)</x:f>
        <x:v>0</x:v>
      </x:c>
      <x:c r="J888" s="1" t="n">
        <x:f>IF(AND(I888=1,F888&lt;Reporting!$B$4),1,0)</x:f>
        <x:v>0</x:v>
      </x:c>
      <x:c r="K888" s="1" t="n">
        <x:f>IF(F888&lt;Reporting!$B$4,1,0)</x:f>
        <x:v>1</x:v>
      </x:c>
      <x:c r="L888" s="1" t="n">
        <x:f>IF(AND(K888=1,G888&lt;&gt;"",G888&lt;=F888),1,0)</x:f>
        <x:v>0</x:v>
      </x:c>
      <x:c r="M888" s="1" t="n">
        <x:f>IF(AND(G888&lt;&gt;"",G888&lt;Reporting!$B$4),1,0)</x:f>
        <x:v>1</x:v>
      </x:c>
      <x:c r="N888" s="16" t="n">
        <x:f>IF(M888=1,G888-E888,"")</x:f>
        <x:v>15.083333333328483</x:v>
      </x:c>
      <x:c r="O888" s="1" t="str">
        <x:f>IF(E888&gt;=Reporting!$B$4,"Outside cutoff",IF(M888=1,"Closed",IF(J888=1,"Overdue","Open - within SLA")))</x:f>
        <x:v>Closed</x:v>
      </x:c>
    </x:row>
    <x:row r="889">
      <x:c r="A889" s="14" t="str">
        <x:v>CASE-00884</x:v>
      </x:c>
      <x:c r="B889" s="14" t="str">
        <x:v>Customer Services</x:v>
      </x:c>
      <x:c r="C889" s="14" t="str">
        <x:v>Late review</x:v>
      </x:c>
      <x:c r="D889" s="14" t="str">
        <x:v>Medium</x:v>
      </x:c>
      <x:c r="E889" s="15" t="n">
        <x:v>46238.583333333336</x:v>
      </x:c>
      <x:c r="F889" s="15" t="n">
        <x:v>46245.583333333336</x:v>
      </x:c>
      <x:c r="G889" s="15" t="n">
        <x:v>46248.625</x:v>
      </x:c>
      <x:c r="H889" s="14" t="n">
        <x:v>1</x:v>
      </x:c>
      <x:c r="I889" s="1" t="n">
        <x:f>IF(AND(E889&lt;Reporting!$B$4,OR(G889="",G889&gt;=Reporting!$B$4)),1,0)</x:f>
        <x:v>0</x:v>
      </x:c>
      <x:c r="J889" s="1" t="n">
        <x:f>IF(AND(I889=1,F889&lt;Reporting!$B$4),1,0)</x:f>
        <x:v>0</x:v>
      </x:c>
      <x:c r="K889" s="1" t="n">
        <x:f>IF(F889&lt;Reporting!$B$4,1,0)</x:f>
        <x:v>1</x:v>
      </x:c>
      <x:c r="L889" s="1" t="n">
        <x:f>IF(AND(K889=1,G889&lt;&gt;"",G889&lt;=F889),1,0)</x:f>
        <x:v>0</x:v>
      </x:c>
      <x:c r="M889" s="1" t="n">
        <x:f>IF(AND(G889&lt;&gt;"",G889&lt;Reporting!$B$4),1,0)</x:f>
        <x:v>1</x:v>
      </x:c>
      <x:c r="N889" s="16" t="n">
        <x:f>IF(M889=1,G889-E889,"")</x:f>
        <x:v>10.041666666664241</x:v>
      </x:c>
      <x:c r="O889" s="1" t="str">
        <x:f>IF(E889&gt;=Reporting!$B$4,"Outside cutoff",IF(M889=1,"Closed",IF(J889=1,"Overdue","Open - within SLA")))</x:f>
        <x:v>Closed</x:v>
      </x:c>
    </x:row>
    <x:row r="890">
      <x:c r="A890" s="14" t="str">
        <x:v>CASE-00885</x:v>
      </x:c>
      <x:c r="B890" s="14" t="str">
        <x:v>Warehouse</x:v>
      </x:c>
      <x:c r="C890" s="14" t="str">
        <x:v>Missing evidence</x:v>
      </x:c>
      <x:c r="D890" s="14" t="str">
        <x:v>Low</x:v>
      </x:c>
      <x:c r="E890" s="15" t="n">
        <x:v>46216.666666666664</x:v>
      </x:c>
      <x:c r="F890" s="15" t="n">
        <x:v>46230.666666666664</x:v>
      </x:c>
      <x:c r="G890" s="15" t="n">
        <x:v>46222.708333333336</x:v>
      </x:c>
      <x:c r="H890" s="14" t="n">
        <x:v>2</x:v>
      </x:c>
      <x:c r="I890" s="1" t="n">
        <x:f>IF(AND(E890&lt;Reporting!$B$4,OR(G890="",G890&gt;=Reporting!$B$4)),1,0)</x:f>
        <x:v>0</x:v>
      </x:c>
      <x:c r="J890" s="1" t="n">
        <x:f>IF(AND(I890=1,F890&lt;Reporting!$B$4),1,0)</x:f>
        <x:v>0</x:v>
      </x:c>
      <x:c r="K890" s="1" t="n">
        <x:f>IF(F890&lt;Reporting!$B$4,1,0)</x:f>
        <x:v>1</x:v>
      </x:c>
      <x:c r="L890" s="1" t="n">
        <x:f>IF(AND(K890=1,G890&lt;&gt;"",G890&lt;=F890),1,0)</x:f>
        <x:v>1</x:v>
      </x:c>
      <x:c r="M890" s="1" t="n">
        <x:f>IF(AND(G890&lt;&gt;"",G890&lt;Reporting!$B$4),1,0)</x:f>
        <x:v>1</x:v>
      </x:c>
      <x:c r="N890" s="16" t="n">
        <x:f>IF(M890=1,G890-E890,"")</x:f>
        <x:v>6.041666666671517</x:v>
      </x:c>
      <x:c r="O890" s="1" t="str">
        <x:f>IF(E890&gt;=Reporting!$B$4,"Outside cutoff",IF(M890=1,"Closed",IF(J890=1,"Overdue","Open - within SLA")))</x:f>
        <x:v>Closed</x:v>
      </x:c>
    </x:row>
    <x:row r="891">
      <x:c r="A891" s="14" t="str">
        <x:v>CASE-00886</x:v>
      </x:c>
      <x:c r="B891" s="14" t="str">
        <x:v>Customer Services</x:v>
      </x:c>
      <x:c r="C891" s="14" t="str">
        <x:v>Record mismatch</x:v>
      </x:c>
      <x:c r="D891" s="14" t="str">
        <x:v>High</x:v>
      </x:c>
      <x:c r="E891" s="15" t="n">
        <x:v>46247.625</x:v>
      </x:c>
      <x:c r="F891" s="15" t="n">
        <x:v>46250.625</x:v>
      </x:c>
      <x:c r="G891" s="15"/>
      <x:c r="H891" s="14" t="n">
        <x:v>1</x:v>
      </x:c>
      <x:c r="I891" s="1" t="n">
        <x:f>IF(AND(E891&lt;Reporting!$B$4,OR(G891="",G891&gt;=Reporting!$B$4)),1,0)</x:f>
        <x:v>1</x:v>
      </x:c>
      <x:c r="J891" s="1" t="n">
        <x:f>IF(AND(I891=1,F891&lt;Reporting!$B$4),1,0)</x:f>
        <x:v>1</x:v>
      </x:c>
      <x:c r="K891" s="1" t="n">
        <x:f>IF(F891&lt;Reporting!$B$4,1,0)</x:f>
        <x:v>1</x:v>
      </x:c>
      <x:c r="L891" s="1" t="n">
        <x:f>IF(AND(K891=1,G891&lt;&gt;"",G891&lt;=F891),1,0)</x:f>
        <x:v>0</x:v>
      </x:c>
      <x:c r="M891" s="1" t="n">
        <x:f>IF(AND(G891&lt;&gt;"",G891&lt;Reporting!$B$4),1,0)</x:f>
        <x:v>0</x:v>
      </x:c>
      <x:c r="N891" s="16" t="str">
        <x:f>IF(M891=1,G891-E891,"")</x:f>
      </x:c>
      <x:c r="O891" s="1" t="str">
        <x:f>IF(E891&gt;=Reporting!$B$4,"Outside cutoff",IF(M891=1,"Closed",IF(J891=1,"Overdue","Open - within SLA")))</x:f>
        <x:v>Overdue</x:v>
      </x:c>
    </x:row>
    <x:row r="892">
      <x:c r="A892" s="14" t="str">
        <x:v>CASE-00887</x:v>
      </x:c>
      <x:c r="B892" s="14" t="str">
        <x:v>Warehouse</x:v>
      </x:c>
      <x:c r="C892" s="14" t="str">
        <x:v>Record mismatch</x:v>
      </x:c>
      <x:c r="D892" s="14" t="str">
        <x:v>Low</x:v>
      </x:c>
      <x:c r="E892" s="15" t="n">
        <x:v>46284.375</x:v>
      </x:c>
      <x:c r="F892" s="15" t="n">
        <x:v>46298.375</x:v>
      </x:c>
      <x:c r="G892" s="15"/>
      <x:c r="H892" s="14" t="n">
        <x:v>2</x:v>
      </x:c>
      <x:c r="I892" s="1" t="n">
        <x:f>IF(AND(E892&lt;Reporting!$B$4,OR(G892="",G892&gt;=Reporting!$B$4)),1,0)</x:f>
        <x:v>1</x:v>
      </x:c>
      <x:c r="J892" s="1" t="n">
        <x:f>IF(AND(I892=1,F892&lt;Reporting!$B$4),1,0)</x:f>
        <x:v>0</x:v>
      </x:c>
      <x:c r="K892" s="1" t="n">
        <x:f>IF(F892&lt;Reporting!$B$4,1,0)</x:f>
        <x:v>0</x:v>
      </x:c>
      <x:c r="L892" s="1" t="n">
        <x:f>IF(AND(K892=1,G892&lt;&gt;"",G892&lt;=F892),1,0)</x:f>
        <x:v>0</x:v>
      </x:c>
      <x:c r="M892" s="1" t="n">
        <x:f>IF(AND(G892&lt;&gt;"",G892&lt;Reporting!$B$4),1,0)</x:f>
        <x:v>0</x:v>
      </x:c>
      <x:c r="N892" s="16" t="str">
        <x:f>IF(M892=1,G892-E892,"")</x:f>
      </x:c>
      <x:c r="O892" s="1" t="str">
        <x:f>IF(E892&gt;=Reporting!$B$4,"Outside cutoff",IF(M892=1,"Closed",IF(J892=1,"Overdue","Open - within SLA")))</x:f>
        <x:v>Open - within SLA</x:v>
      </x:c>
    </x:row>
    <x:row r="893">
      <x:c r="A893" s="14" t="str">
        <x:v>CASE-00888</x:v>
      </x:c>
      <x:c r="B893" s="14" t="str">
        <x:v>Customer Services</x:v>
      </x:c>
      <x:c r="C893" s="14" t="str">
        <x:v>Missing evidence</x:v>
      </x:c>
      <x:c r="D893" s="14" t="str">
        <x:v>High</x:v>
      </x:c>
      <x:c r="E893" s="15" t="n">
        <x:v>46255.375</x:v>
      </x:c>
      <x:c r="F893" s="15" t="n">
        <x:v>46258.375</x:v>
      </x:c>
      <x:c r="G893" s="15" t="n">
        <x:v>46273.375</x:v>
      </x:c>
      <x:c r="H893" s="14" t="n">
        <x:v>1</x:v>
      </x:c>
      <x:c r="I893" s="1" t="n">
        <x:f>IF(AND(E893&lt;Reporting!$B$4,OR(G893="",G893&gt;=Reporting!$B$4)),1,0)</x:f>
        <x:v>0</x:v>
      </x:c>
      <x:c r="J893" s="1" t="n">
        <x:f>IF(AND(I893=1,F893&lt;Reporting!$B$4),1,0)</x:f>
        <x:v>0</x:v>
      </x:c>
      <x:c r="K893" s="1" t="n">
        <x:f>IF(F893&lt;Reporting!$B$4,1,0)</x:f>
        <x:v>1</x:v>
      </x:c>
      <x:c r="L893" s="1" t="n">
        <x:f>IF(AND(K893=1,G893&lt;&gt;"",G893&lt;=F893),1,0)</x:f>
        <x:v>0</x:v>
      </x:c>
      <x:c r="M893" s="1" t="n">
        <x:f>IF(AND(G893&lt;&gt;"",G893&lt;Reporting!$B$4),1,0)</x:f>
        <x:v>1</x:v>
      </x:c>
      <x:c r="N893" s="16" t="n">
        <x:f>IF(M893=1,G893-E893,"")</x:f>
        <x:v>18</x:v>
      </x:c>
      <x:c r="O893" s="1" t="str">
        <x:f>IF(E893&gt;=Reporting!$B$4,"Outside cutoff",IF(M893=1,"Closed",IF(J893=1,"Overdue","Open - within SLA")))</x:f>
        <x:v>Closed</x:v>
      </x:c>
    </x:row>
    <x:row r="894">
      <x:c r="A894" s="14" t="str">
        <x:v>CASE-00889</x:v>
      </x:c>
      <x:c r="B894" s="14" t="str">
        <x:v>Customer Services</x:v>
      </x:c>
      <x:c r="C894" s="14" t="str">
        <x:v>Process deviation</x:v>
      </x:c>
      <x:c r="D894" s="14" t="str">
        <x:v>Medium</x:v>
      </x:c>
      <x:c r="E894" s="15" t="n">
        <x:v>46226.625</x:v>
      </x:c>
      <x:c r="F894" s="15" t="n">
        <x:v>46233.625</x:v>
      </x:c>
      <x:c r="G894" s="15"/>
      <x:c r="H894" s="14" t="n">
        <x:v>1</x:v>
      </x:c>
      <x:c r="I894" s="1" t="n">
        <x:f>IF(AND(E894&lt;Reporting!$B$4,OR(G894="",G894&gt;=Reporting!$B$4)),1,0)</x:f>
        <x:v>1</x:v>
      </x:c>
      <x:c r="J894" s="1" t="n">
        <x:f>IF(AND(I894=1,F894&lt;Reporting!$B$4),1,0)</x:f>
        <x:v>1</x:v>
      </x:c>
      <x:c r="K894" s="1" t="n">
        <x:f>IF(F894&lt;Reporting!$B$4,1,0)</x:f>
        <x:v>1</x:v>
      </x:c>
      <x:c r="L894" s="1" t="n">
        <x:f>IF(AND(K894=1,G894&lt;&gt;"",G894&lt;=F894),1,0)</x:f>
        <x:v>0</x:v>
      </x:c>
      <x:c r="M894" s="1" t="n">
        <x:f>IF(AND(G894&lt;&gt;"",G894&lt;Reporting!$B$4),1,0)</x:f>
        <x:v>0</x:v>
      </x:c>
      <x:c r="N894" s="16" t="str">
        <x:f>IF(M894=1,G894-E894,"")</x:f>
      </x:c>
      <x:c r="O894" s="1" t="str">
        <x:f>IF(E894&gt;=Reporting!$B$4,"Outside cutoff",IF(M894=1,"Closed",IF(J894=1,"Overdue","Open - within SLA")))</x:f>
        <x:v>Overdue</x:v>
      </x:c>
    </x:row>
    <x:row r="895">
      <x:c r="A895" s="14" t="str">
        <x:v>CASE-00890</x:v>
      </x:c>
      <x:c r="B895" s="14" t="str">
        <x:v>Installation</x:v>
      </x:c>
      <x:c r="C895" s="14" t="str">
        <x:v>Late review</x:v>
      </x:c>
      <x:c r="D895" s="14" t="str">
        <x:v>Low</x:v>
      </x:c>
      <x:c r="E895" s="15" t="n">
        <x:v>46211.541666666664</x:v>
      </x:c>
      <x:c r="F895" s="15" t="n">
        <x:v>46225.541666666664</x:v>
      </x:c>
      <x:c r="G895" s="15" t="n">
        <x:v>46229.625</x:v>
      </x:c>
      <x:c r="H895" s="14" t="n">
        <x:v>3</x:v>
      </x:c>
      <x:c r="I895" s="1" t="n">
        <x:f>IF(AND(E895&lt;Reporting!$B$4,OR(G895="",G895&gt;=Reporting!$B$4)),1,0)</x:f>
        <x:v>0</x:v>
      </x:c>
      <x:c r="J895" s="1" t="n">
        <x:f>IF(AND(I895=1,F895&lt;Reporting!$B$4),1,0)</x:f>
        <x:v>0</x:v>
      </x:c>
      <x:c r="K895" s="1" t="n">
        <x:f>IF(F895&lt;Reporting!$B$4,1,0)</x:f>
        <x:v>1</x:v>
      </x:c>
      <x:c r="L895" s="1" t="n">
        <x:f>IF(AND(K895=1,G895&lt;&gt;"",G895&lt;=F895),1,0)</x:f>
        <x:v>0</x:v>
      </x:c>
      <x:c r="M895" s="1" t="n">
        <x:f>IF(AND(G895&lt;&gt;"",G895&lt;Reporting!$B$4),1,0)</x:f>
        <x:v>1</x:v>
      </x:c>
      <x:c r="N895" s="16" t="n">
        <x:f>IF(M895=1,G895-E895,"")</x:f>
        <x:v>18.08333333333576</x:v>
      </x:c>
      <x:c r="O895" s="1" t="str">
        <x:f>IF(E895&gt;=Reporting!$B$4,"Outside cutoff",IF(M895=1,"Closed",IF(J895=1,"Overdue","Open - within SLA")))</x:f>
        <x:v>Closed</x:v>
      </x:c>
    </x:row>
    <x:row r="896">
      <x:c r="A896" s="14" t="str">
        <x:v>CASE-00891</x:v>
      </x:c>
      <x:c r="B896" s="14" t="str">
        <x:v>Installation</x:v>
      </x:c>
      <x:c r="C896" s="14" t="str">
        <x:v>Late review</x:v>
      </x:c>
      <x:c r="D896" s="14" t="str">
        <x:v>Medium</x:v>
      </x:c>
      <x:c r="E896" s="15" t="n">
        <x:v>46282.333333333336</x:v>
      </x:c>
      <x:c r="F896" s="15" t="n">
        <x:v>46289.333333333336</x:v>
      </x:c>
      <x:c r="G896" s="15" t="n">
        <x:v>46283.416666666664</x:v>
      </x:c>
      <x:c r="H896" s="14" t="n">
        <x:v>3</x:v>
      </x:c>
      <x:c r="I896" s="1" t="n">
        <x:f>IF(AND(E896&lt;Reporting!$B$4,OR(G896="",G896&gt;=Reporting!$B$4)),1,0)</x:f>
        <x:v>0</x:v>
      </x:c>
      <x:c r="J896" s="1" t="n">
        <x:f>IF(AND(I896=1,F896&lt;Reporting!$B$4),1,0)</x:f>
        <x:v>0</x:v>
      </x:c>
      <x:c r="K896" s="1" t="n">
        <x:f>IF(F896&lt;Reporting!$B$4,1,0)</x:f>
        <x:v>0</x:v>
      </x:c>
      <x:c r="L896" s="1" t="n">
        <x:f>IF(AND(K896=1,G896&lt;&gt;"",G896&lt;=F896),1,0)</x:f>
        <x:v>0</x:v>
      </x:c>
      <x:c r="M896" s="1" t="n">
        <x:f>IF(AND(G896&lt;&gt;"",G896&lt;Reporting!$B$4),1,0)</x:f>
        <x:v>1</x:v>
      </x:c>
      <x:c r="N896" s="16" t="n">
        <x:f>IF(M896=1,G896-E896,"")</x:f>
        <x:v>1.0833333333284827</x:v>
      </x:c>
      <x:c r="O896" s="1" t="str">
        <x:f>IF(E896&gt;=Reporting!$B$4,"Outside cutoff",IF(M896=1,"Closed",IF(J896=1,"Overdue","Open - within SLA")))</x:f>
        <x:v>Closed</x:v>
      </x:c>
    </x:row>
    <x:row r="897">
      <x:c r="A897" s="14" t="str">
        <x:v>CASE-00892</x:v>
      </x:c>
      <x:c r="B897" s="14" t="str">
        <x:v>Customer Services</x:v>
      </x:c>
      <x:c r="C897" s="14" t="str">
        <x:v>Record mismatch</x:v>
      </x:c>
      <x:c r="D897" s="14" t="str">
        <x:v>High</x:v>
      </x:c>
      <x:c r="E897" s="15" t="n">
        <x:v>46237.5</x:v>
      </x:c>
      <x:c r="F897" s="15" t="n">
        <x:v>46240.5</x:v>
      </x:c>
      <x:c r="G897" s="15" t="n">
        <x:v>46255.5</x:v>
      </x:c>
      <x:c r="H897" s="14" t="n">
        <x:v>1</x:v>
      </x:c>
      <x:c r="I897" s="1" t="n">
        <x:f>IF(AND(E897&lt;Reporting!$B$4,OR(G897="",G897&gt;=Reporting!$B$4)),1,0)</x:f>
        <x:v>0</x:v>
      </x:c>
      <x:c r="J897" s="1" t="n">
        <x:f>IF(AND(I897=1,F897&lt;Reporting!$B$4),1,0)</x:f>
        <x:v>0</x:v>
      </x:c>
      <x:c r="K897" s="1" t="n">
        <x:f>IF(F897&lt;Reporting!$B$4,1,0)</x:f>
        <x:v>1</x:v>
      </x:c>
      <x:c r="L897" s="1" t="n">
        <x:f>IF(AND(K897=1,G897&lt;&gt;"",G897&lt;=F897),1,0)</x:f>
        <x:v>0</x:v>
      </x:c>
      <x:c r="M897" s="1" t="n">
        <x:f>IF(AND(G897&lt;&gt;"",G897&lt;Reporting!$B$4),1,0)</x:f>
        <x:v>1</x:v>
      </x:c>
      <x:c r="N897" s="16" t="n">
        <x:f>IF(M897=1,G897-E897,"")</x:f>
        <x:v>18</x:v>
      </x:c>
      <x:c r="O897" s="1" t="str">
        <x:f>IF(E897&gt;=Reporting!$B$4,"Outside cutoff",IF(M897=1,"Closed",IF(J897=1,"Overdue","Open - within SLA")))</x:f>
        <x:v>Closed</x:v>
      </x:c>
    </x:row>
    <x:row r="898">
      <x:c r="A898" s="14" t="str">
        <x:v>CASE-00893</x:v>
      </x:c>
      <x:c r="B898" s="14" t="str">
        <x:v>Customer Services</x:v>
      </x:c>
      <x:c r="C898" s="14" t="str">
        <x:v>Late review</x:v>
      </x:c>
      <x:c r="D898" s="14" t="str">
        <x:v>Low</x:v>
      </x:c>
      <x:c r="E898" s="15" t="n">
        <x:v>46273.625</x:v>
      </x:c>
      <x:c r="F898" s="15" t="n">
        <x:v>46287.625</x:v>
      </x:c>
      <x:c r="G898" s="15" t="n">
        <x:v>46278.666666666664</x:v>
      </x:c>
      <x:c r="H898" s="14" t="n">
        <x:v>1</x:v>
      </x:c>
      <x:c r="I898" s="1" t="n">
        <x:f>IF(AND(E898&lt;Reporting!$B$4,OR(G898="",G898&gt;=Reporting!$B$4)),1,0)</x:f>
        <x:v>0</x:v>
      </x:c>
      <x:c r="J898" s="1" t="n">
        <x:f>IF(AND(I898=1,F898&lt;Reporting!$B$4),1,0)</x:f>
        <x:v>0</x:v>
      </x:c>
      <x:c r="K898" s="1" t="n">
        <x:f>IF(F898&lt;Reporting!$B$4,1,0)</x:f>
        <x:v>0</x:v>
      </x:c>
      <x:c r="L898" s="1" t="n">
        <x:f>IF(AND(K898=1,G898&lt;&gt;"",G898&lt;=F898),1,0)</x:f>
        <x:v>0</x:v>
      </x:c>
      <x:c r="M898" s="1" t="n">
        <x:f>IF(AND(G898&lt;&gt;"",G898&lt;Reporting!$B$4),1,0)</x:f>
        <x:v>1</x:v>
      </x:c>
      <x:c r="N898" s="16" t="n">
        <x:f>IF(M898=1,G898-E898,"")</x:f>
        <x:v>5.041666666664241</x:v>
      </x:c>
      <x:c r="O898" s="1" t="str">
        <x:f>IF(E898&gt;=Reporting!$B$4,"Outside cutoff",IF(M898=1,"Closed",IF(J898=1,"Overdue","Open - within SLA")))</x:f>
        <x:v>Closed</x:v>
      </x:c>
    </x:row>
    <x:row r="899">
      <x:c r="A899" s="14" t="str">
        <x:v>CASE-00894</x:v>
      </x:c>
      <x:c r="B899" s="14" t="str">
        <x:v>Warehouse</x:v>
      </x:c>
      <x:c r="C899" s="14" t="str">
        <x:v>Process deviation</x:v>
      </x:c>
      <x:c r="D899" s="14" t="str">
        <x:v>Low</x:v>
      </x:c>
      <x:c r="E899" s="15" t="n">
        <x:v>46272.416666666664</x:v>
      </x:c>
      <x:c r="F899" s="15" t="n">
        <x:v>46286.416666666664</x:v>
      </x:c>
      <x:c r="G899" s="15" t="n">
        <x:v>46284.416666666664</x:v>
      </x:c>
      <x:c r="H899" s="14" t="n">
        <x:v>2</x:v>
      </x:c>
      <x:c r="I899" s="1" t="n">
        <x:f>IF(AND(E899&lt;Reporting!$B$4,OR(G899="",G899&gt;=Reporting!$B$4)),1,0)</x:f>
        <x:v>0</x:v>
      </x:c>
      <x:c r="J899" s="1" t="n">
        <x:f>IF(AND(I899=1,F899&lt;Reporting!$B$4),1,0)</x:f>
        <x:v>0</x:v>
      </x:c>
      <x:c r="K899" s="1" t="n">
        <x:f>IF(F899&lt;Reporting!$B$4,1,0)</x:f>
        <x:v>0</x:v>
      </x:c>
      <x:c r="L899" s="1" t="n">
        <x:f>IF(AND(K899=1,G899&lt;&gt;"",G899&lt;=F899),1,0)</x:f>
        <x:v>0</x:v>
      </x:c>
      <x:c r="M899" s="1" t="n">
        <x:f>IF(AND(G899&lt;&gt;"",G899&lt;Reporting!$B$4),1,0)</x:f>
        <x:v>1</x:v>
      </x:c>
      <x:c r="N899" s="16" t="n">
        <x:f>IF(M899=1,G899-E899,"")</x:f>
        <x:v>12</x:v>
      </x:c>
      <x:c r="O899" s="1" t="str">
        <x:f>IF(E899&gt;=Reporting!$B$4,"Outside cutoff",IF(M899=1,"Closed",IF(J899=1,"Overdue","Open - within SLA")))</x:f>
        <x:v>Closed</x:v>
      </x:c>
    </x:row>
    <x:row r="900">
      <x:c r="A900" s="14" t="str">
        <x:v>CASE-00895</x:v>
      </x:c>
      <x:c r="B900" s="14" t="str">
        <x:v>Warehouse</x:v>
      </x:c>
      <x:c r="C900" s="14" t="str">
        <x:v>Missing evidence</x:v>
      </x:c>
      <x:c r="D900" s="14" t="str">
        <x:v>Medium</x:v>
      </x:c>
      <x:c r="E900" s="15" t="n">
        <x:v>46223.541666666664</x:v>
      </x:c>
      <x:c r="F900" s="15" t="n">
        <x:v>46230.541666666664</x:v>
      </x:c>
      <x:c r="G900" s="15" t="n">
        <x:v>46228.583333333336</x:v>
      </x:c>
      <x:c r="H900" s="14" t="n">
        <x:v>2</x:v>
      </x:c>
      <x:c r="I900" s="1" t="n">
        <x:f>IF(AND(E900&lt;Reporting!$B$4,OR(G900="",G900&gt;=Reporting!$B$4)),1,0)</x:f>
        <x:v>0</x:v>
      </x:c>
      <x:c r="J900" s="1" t="n">
        <x:f>IF(AND(I900=1,F900&lt;Reporting!$B$4),1,0)</x:f>
        <x:v>0</x:v>
      </x:c>
      <x:c r="K900" s="1" t="n">
        <x:f>IF(F900&lt;Reporting!$B$4,1,0)</x:f>
        <x:v>1</x:v>
      </x:c>
      <x:c r="L900" s="1" t="n">
        <x:f>IF(AND(K900=1,G900&lt;&gt;"",G900&lt;=F900),1,0)</x:f>
        <x:v>1</x:v>
      </x:c>
      <x:c r="M900" s="1" t="n">
        <x:f>IF(AND(G900&lt;&gt;"",G900&lt;Reporting!$B$4),1,0)</x:f>
        <x:v>1</x:v>
      </x:c>
      <x:c r="N900" s="16" t="n">
        <x:f>IF(M900=1,G900-E900,"")</x:f>
        <x:v>5.041666666671517</x:v>
      </x:c>
      <x:c r="O900" s="1" t="str">
        <x:f>IF(E900&gt;=Reporting!$B$4,"Outside cutoff",IF(M900=1,"Closed",IF(J900=1,"Overdue","Open - within SLA")))</x:f>
        <x:v>Closed</x:v>
      </x:c>
    </x:row>
    <x:row r="901">
      <x:c r="A901" s="14" t="str">
        <x:v>CASE-00896</x:v>
      </x:c>
      <x:c r="B901" s="14" t="str">
        <x:v>Installation</x:v>
      </x:c>
      <x:c r="C901" s="14" t="str">
        <x:v>Process deviation</x:v>
      </x:c>
      <x:c r="D901" s="14" t="str">
        <x:v>Medium</x:v>
      </x:c>
      <x:c r="E901" s="15" t="n">
        <x:v>46278.666666666664</x:v>
      </x:c>
      <x:c r="F901" s="15" t="n">
        <x:v>46285.666666666664</x:v>
      </x:c>
      <x:c r="G901" s="15"/>
      <x:c r="H901" s="14" t="n">
        <x:v>3</x:v>
      </x:c>
      <x:c r="I901" s="1" t="n">
        <x:f>IF(AND(E901&lt;Reporting!$B$4,OR(G901="",G901&gt;=Reporting!$B$4)),1,0)</x:f>
        <x:v>1</x:v>
      </x:c>
      <x:c r="J901" s="1" t="n">
        <x:f>IF(AND(I901=1,F901&lt;Reporting!$B$4),1,0)</x:f>
        <x:v>1</x:v>
      </x:c>
      <x:c r="K901" s="1" t="n">
        <x:f>IF(F901&lt;Reporting!$B$4,1,0)</x:f>
        <x:v>1</x:v>
      </x:c>
      <x:c r="L901" s="1" t="n">
        <x:f>IF(AND(K901=1,G901&lt;&gt;"",G901&lt;=F901),1,0)</x:f>
        <x:v>0</x:v>
      </x:c>
      <x:c r="M901" s="1" t="n">
        <x:f>IF(AND(G901&lt;&gt;"",G901&lt;Reporting!$B$4),1,0)</x:f>
        <x:v>0</x:v>
      </x:c>
      <x:c r="N901" s="16" t="str">
        <x:f>IF(M901=1,G901-E901,"")</x:f>
      </x:c>
      <x:c r="O901" s="1" t="str">
        <x:f>IF(E901&gt;=Reporting!$B$4,"Outside cutoff",IF(M901=1,"Closed",IF(J901=1,"Overdue","Open - within SLA")))</x:f>
        <x:v>Overdue</x:v>
      </x:c>
    </x:row>
    <x:row r="902">
      <x:c r="A902" s="14" t="str">
        <x:v>CASE-00897</x:v>
      </x:c>
      <x:c r="B902" s="14" t="str">
        <x:v>Warehouse</x:v>
      </x:c>
      <x:c r="C902" s="14" t="str">
        <x:v>Missing evidence</x:v>
      </x:c>
      <x:c r="D902" s="14" t="str">
        <x:v>Medium</x:v>
      </x:c>
      <x:c r="E902" s="15" t="n">
        <x:v>46268.666666666664</x:v>
      </x:c>
      <x:c r="F902" s="15" t="n">
        <x:v>46275.666666666664</x:v>
      </x:c>
      <x:c r="G902" s="15" t="n">
        <x:v>46279.708333333336</x:v>
      </x:c>
      <x:c r="H902" s="14" t="n">
        <x:v>2</x:v>
      </x:c>
      <x:c r="I902" s="1" t="n">
        <x:f>IF(AND(E902&lt;Reporting!$B$4,OR(G902="",G902&gt;=Reporting!$B$4)),1,0)</x:f>
        <x:v>0</x:v>
      </x:c>
      <x:c r="J902" s="1" t="n">
        <x:f>IF(AND(I902=1,F902&lt;Reporting!$B$4),1,0)</x:f>
        <x:v>0</x:v>
      </x:c>
      <x:c r="K902" s="1" t="n">
        <x:f>IF(F902&lt;Reporting!$B$4,1,0)</x:f>
        <x:v>1</x:v>
      </x:c>
      <x:c r="L902" s="1" t="n">
        <x:f>IF(AND(K902=1,G902&lt;&gt;"",G902&lt;=F902),1,0)</x:f>
        <x:v>0</x:v>
      </x:c>
      <x:c r="M902" s="1" t="n">
        <x:f>IF(AND(G902&lt;&gt;"",G902&lt;Reporting!$B$4),1,0)</x:f>
        <x:v>1</x:v>
      </x:c>
      <x:c r="N902" s="16" t="n">
        <x:f>IF(M902=1,G902-E902,"")</x:f>
        <x:v>11.041666666671517</x:v>
      </x:c>
      <x:c r="O902" s="1" t="str">
        <x:f>IF(E902&gt;=Reporting!$B$4,"Outside cutoff",IF(M902=1,"Closed",IF(J902=1,"Overdue","Open - within SLA")))</x:f>
        <x:v>Closed</x:v>
      </x:c>
    </x:row>
    <x:row r="903">
      <x:c r="A903" s="14" t="str">
        <x:v>CASE-00898</x:v>
      </x:c>
      <x:c r="B903" s="14" t="str">
        <x:v>Installation</x:v>
      </x:c>
      <x:c r="C903" s="14" t="str">
        <x:v>Process deviation</x:v>
      </x:c>
      <x:c r="D903" s="14" t="str">
        <x:v>High</x:v>
      </x:c>
      <x:c r="E903" s="15" t="n">
        <x:v>46220.666666666664</x:v>
      </x:c>
      <x:c r="F903" s="15" t="n">
        <x:v>46223.666666666664</x:v>
      </x:c>
      <x:c r="G903" s="15" t="n">
        <x:v>46236.75</x:v>
      </x:c>
      <x:c r="H903" s="14" t="n">
        <x:v>3</x:v>
      </x:c>
      <x:c r="I903" s="1" t="n">
        <x:f>IF(AND(E903&lt;Reporting!$B$4,OR(G903="",G903&gt;=Reporting!$B$4)),1,0)</x:f>
        <x:v>0</x:v>
      </x:c>
      <x:c r="J903" s="1" t="n">
        <x:f>IF(AND(I903=1,F903&lt;Reporting!$B$4),1,0)</x:f>
        <x:v>0</x:v>
      </x:c>
      <x:c r="K903" s="1" t="n">
        <x:f>IF(F903&lt;Reporting!$B$4,1,0)</x:f>
        <x:v>1</x:v>
      </x:c>
      <x:c r="L903" s="1" t="n">
        <x:f>IF(AND(K903=1,G903&lt;&gt;"",G903&lt;=F903),1,0)</x:f>
        <x:v>0</x:v>
      </x:c>
      <x:c r="M903" s="1" t="n">
        <x:f>IF(AND(G903&lt;&gt;"",G903&lt;Reporting!$B$4),1,0)</x:f>
        <x:v>1</x:v>
      </x:c>
      <x:c r="N903" s="16" t="n">
        <x:f>IF(M903=1,G903-E903,"")</x:f>
        <x:v>16.08333333333576</x:v>
      </x:c>
      <x:c r="O903" s="1" t="str">
        <x:f>IF(E903&gt;=Reporting!$B$4,"Outside cutoff",IF(M903=1,"Closed",IF(J903=1,"Overdue","Open - within SLA")))</x:f>
        <x:v>Closed</x:v>
      </x:c>
    </x:row>
    <x:row r="904">
      <x:c r="A904" s="14" t="str">
        <x:v>CASE-00899</x:v>
      </x:c>
      <x:c r="B904" s="14" t="str">
        <x:v>Customer Services</x:v>
      </x:c>
      <x:c r="C904" s="14" t="str">
        <x:v>Missing evidence</x:v>
      </x:c>
      <x:c r="D904" s="14" t="str">
        <x:v>Medium</x:v>
      </x:c>
      <x:c r="E904" s="15" t="n">
        <x:v>46222.5</x:v>
      </x:c>
      <x:c r="F904" s="15" t="n">
        <x:v>46229.5</x:v>
      </x:c>
      <x:c r="G904" s="15" t="n">
        <x:v>46239.541666666664</x:v>
      </x:c>
      <x:c r="H904" s="14" t="n">
        <x:v>1</x:v>
      </x:c>
      <x:c r="I904" s="1" t="n">
        <x:f>IF(AND(E904&lt;Reporting!$B$4,OR(G904="",G904&gt;=Reporting!$B$4)),1,0)</x:f>
        <x:v>0</x:v>
      </x:c>
      <x:c r="J904" s="1" t="n">
        <x:f>IF(AND(I904=1,F904&lt;Reporting!$B$4),1,0)</x:f>
        <x:v>0</x:v>
      </x:c>
      <x:c r="K904" s="1" t="n">
        <x:f>IF(F904&lt;Reporting!$B$4,1,0)</x:f>
        <x:v>1</x:v>
      </x:c>
      <x:c r="L904" s="1" t="n">
        <x:f>IF(AND(K904=1,G904&lt;&gt;"",G904&lt;=F904),1,0)</x:f>
        <x:v>0</x:v>
      </x:c>
      <x:c r="M904" s="1" t="n">
        <x:f>IF(AND(G904&lt;&gt;"",G904&lt;Reporting!$B$4),1,0)</x:f>
        <x:v>1</x:v>
      </x:c>
      <x:c r="N904" s="16" t="n">
        <x:f>IF(M904=1,G904-E904,"")</x:f>
        <x:v>17.04166666666424</x:v>
      </x:c>
      <x:c r="O904" s="1" t="str">
        <x:f>IF(E904&gt;=Reporting!$B$4,"Outside cutoff",IF(M904=1,"Closed",IF(J904=1,"Overdue","Open - within SLA")))</x:f>
        <x:v>Closed</x:v>
      </x:c>
    </x:row>
    <x:row r="905">
      <x:c r="A905" s="14" t="str">
        <x:v>CASE-00900</x:v>
      </x:c>
      <x:c r="B905" s="14" t="str">
        <x:v>Installation</x:v>
      </x:c>
      <x:c r="C905" s="14" t="str">
        <x:v>Late review</x:v>
      </x:c>
      <x:c r="D905" s="14" t="str">
        <x:v>Medium</x:v>
      </x:c>
      <x:c r="E905" s="15" t="n">
        <x:v>46253.458333333336</x:v>
      </x:c>
      <x:c r="F905" s="15" t="n">
        <x:v>46260.458333333336</x:v>
      </x:c>
      <x:c r="G905" s="15" t="n">
        <x:v>46270.541666666664</x:v>
      </x:c>
      <x:c r="H905" s="14" t="n">
        <x:v>3</x:v>
      </x:c>
      <x:c r="I905" s="1" t="n">
        <x:f>IF(AND(E905&lt;Reporting!$B$4,OR(G905="",G905&gt;=Reporting!$B$4)),1,0)</x:f>
        <x:v>0</x:v>
      </x:c>
      <x:c r="J905" s="1" t="n">
        <x:f>IF(AND(I905=1,F905&lt;Reporting!$B$4),1,0)</x:f>
        <x:v>0</x:v>
      </x:c>
      <x:c r="K905" s="1" t="n">
        <x:f>IF(F905&lt;Reporting!$B$4,1,0)</x:f>
        <x:v>1</x:v>
      </x:c>
      <x:c r="L905" s="1" t="n">
        <x:f>IF(AND(K905=1,G905&lt;&gt;"",G905&lt;=F905),1,0)</x:f>
        <x:v>0</x:v>
      </x:c>
      <x:c r="M905" s="1" t="n">
        <x:f>IF(AND(G905&lt;&gt;"",G905&lt;Reporting!$B$4),1,0)</x:f>
        <x:v>1</x:v>
      </x:c>
      <x:c r="N905" s="16" t="n">
        <x:f>IF(M905=1,G905-E905,"")</x:f>
        <x:v>17.083333333328483</x:v>
      </x:c>
      <x:c r="O905" s="1" t="str">
        <x:f>IF(E905&gt;=Reporting!$B$4,"Outside cutoff",IF(M905=1,"Closed",IF(J905=1,"Overdue","Open - within SLA")))</x:f>
        <x:v>Closed</x:v>
      </x:c>
    </x:row>
    <x:row r="906">
      <x:c r="A906" s="14" t="str">
        <x:v>CASE-00901</x:v>
      </x:c>
      <x:c r="B906" s="14" t="str">
        <x:v>Customer Services</x:v>
      </x:c>
      <x:c r="C906" s="14" t="str">
        <x:v>Record mismatch</x:v>
      </x:c>
      <x:c r="D906" s="14" t="str">
        <x:v>Low</x:v>
      </x:c>
      <x:c r="E906" s="15" t="n">
        <x:v>46238.583333333336</x:v>
      </x:c>
      <x:c r="F906" s="15" t="n">
        <x:v>46252.583333333336</x:v>
      </x:c>
      <x:c r="G906" s="15" t="n">
        <x:v>46248.666666666664</x:v>
      </x:c>
      <x:c r="H906" s="14" t="n">
        <x:v>1</x:v>
      </x:c>
      <x:c r="I906" s="1" t="n">
        <x:f>IF(AND(E906&lt;Reporting!$B$4,OR(G906="",G906&gt;=Reporting!$B$4)),1,0)</x:f>
        <x:v>0</x:v>
      </x:c>
      <x:c r="J906" s="1" t="n">
        <x:f>IF(AND(I906=1,F906&lt;Reporting!$B$4),1,0)</x:f>
        <x:v>0</x:v>
      </x:c>
      <x:c r="K906" s="1" t="n">
        <x:f>IF(F906&lt;Reporting!$B$4,1,0)</x:f>
        <x:v>1</x:v>
      </x:c>
      <x:c r="L906" s="1" t="n">
        <x:f>IF(AND(K906=1,G906&lt;&gt;"",G906&lt;=F906),1,0)</x:f>
        <x:v>1</x:v>
      </x:c>
      <x:c r="M906" s="1" t="n">
        <x:f>IF(AND(G906&lt;&gt;"",G906&lt;Reporting!$B$4),1,0)</x:f>
        <x:v>1</x:v>
      </x:c>
      <x:c r="N906" s="16" t="n">
        <x:f>IF(M906=1,G906-E906,"")</x:f>
        <x:v>10.083333333328483</x:v>
      </x:c>
      <x:c r="O906" s="1" t="str">
        <x:f>IF(E906&gt;=Reporting!$B$4,"Outside cutoff",IF(M906=1,"Closed",IF(J906=1,"Overdue","Open - within SLA")))</x:f>
        <x:v>Closed</x:v>
      </x:c>
    </x:row>
    <x:row r="907">
      <x:c r="A907" s="14" t="str">
        <x:v>CASE-00902</x:v>
      </x:c>
      <x:c r="B907" s="14" t="str">
        <x:v>Warehouse</x:v>
      </x:c>
      <x:c r="C907" s="14" t="str">
        <x:v>Process deviation</x:v>
      </x:c>
      <x:c r="D907" s="14" t="str">
        <x:v>High</x:v>
      </x:c>
      <x:c r="E907" s="15" t="n">
        <x:v>46276.333333333336</x:v>
      </x:c>
      <x:c r="F907" s="15" t="n">
        <x:v>46279.333333333336</x:v>
      </x:c>
      <x:c r="G907" s="15"/>
      <x:c r="H907" s="14" t="n">
        <x:v>2</x:v>
      </x:c>
      <x:c r="I907" s="1" t="n">
        <x:f>IF(AND(E907&lt;Reporting!$B$4,OR(G907="",G907&gt;=Reporting!$B$4)),1,0)</x:f>
        <x:v>1</x:v>
      </x:c>
      <x:c r="J907" s="1" t="n">
        <x:f>IF(AND(I907=1,F907&lt;Reporting!$B$4),1,0)</x:f>
        <x:v>1</x:v>
      </x:c>
      <x:c r="K907" s="1" t="n">
        <x:f>IF(F907&lt;Reporting!$B$4,1,0)</x:f>
        <x:v>1</x:v>
      </x:c>
      <x:c r="L907" s="1" t="n">
        <x:f>IF(AND(K907=1,G907&lt;&gt;"",G907&lt;=F907),1,0)</x:f>
        <x:v>0</x:v>
      </x:c>
      <x:c r="M907" s="1" t="n">
        <x:f>IF(AND(G907&lt;&gt;"",G907&lt;Reporting!$B$4),1,0)</x:f>
        <x:v>0</x:v>
      </x:c>
      <x:c r="N907" s="16" t="str">
        <x:f>IF(M907=1,G907-E907,"")</x:f>
      </x:c>
      <x:c r="O907" s="1" t="str">
        <x:f>IF(E907&gt;=Reporting!$B$4,"Outside cutoff",IF(M907=1,"Closed",IF(J907=1,"Overdue","Open - within SLA")))</x:f>
        <x:v>Overdue</x:v>
      </x:c>
    </x:row>
    <x:row r="908">
      <x:c r="A908" s="14" t="str">
        <x:v>CASE-00903</x:v>
      </x:c>
      <x:c r="B908" s="14" t="str">
        <x:v>Warehouse</x:v>
      </x:c>
      <x:c r="C908" s="14" t="str">
        <x:v>Missing evidence</x:v>
      </x:c>
      <x:c r="D908" s="14" t="str">
        <x:v>High</x:v>
      </x:c>
      <x:c r="E908" s="15" t="n">
        <x:v>46242.541666666664</x:v>
      </x:c>
      <x:c r="F908" s="15" t="n">
        <x:v>46245.541666666664</x:v>
      </x:c>
      <x:c r="G908" s="15" t="n">
        <x:v>46255.583333333336</x:v>
      </x:c>
      <x:c r="H908" s="14" t="n">
        <x:v>2</x:v>
      </x:c>
      <x:c r="I908" s="1" t="n">
        <x:f>IF(AND(E908&lt;Reporting!$B$4,OR(G908="",G908&gt;=Reporting!$B$4)),1,0)</x:f>
        <x:v>0</x:v>
      </x:c>
      <x:c r="J908" s="1" t="n">
        <x:f>IF(AND(I908=1,F908&lt;Reporting!$B$4),1,0)</x:f>
        <x:v>0</x:v>
      </x:c>
      <x:c r="K908" s="1" t="n">
        <x:f>IF(F908&lt;Reporting!$B$4,1,0)</x:f>
        <x:v>1</x:v>
      </x:c>
      <x:c r="L908" s="1" t="n">
        <x:f>IF(AND(K908=1,G908&lt;&gt;"",G908&lt;=F908),1,0)</x:f>
        <x:v>0</x:v>
      </x:c>
      <x:c r="M908" s="1" t="n">
        <x:f>IF(AND(G908&lt;&gt;"",G908&lt;Reporting!$B$4),1,0)</x:f>
        <x:v>1</x:v>
      </x:c>
      <x:c r="N908" s="16" t="n">
        <x:f>IF(M908=1,G908-E908,"")</x:f>
        <x:v>13.041666666671517</x:v>
      </x:c>
      <x:c r="O908" s="1" t="str">
        <x:f>IF(E908&gt;=Reporting!$B$4,"Outside cutoff",IF(M908=1,"Closed",IF(J908=1,"Overdue","Open - within SLA")))</x:f>
        <x:v>Closed</x:v>
      </x:c>
    </x:row>
    <x:row r="909">
      <x:c r="A909" s="14" t="str">
        <x:v>CASE-00904</x:v>
      </x:c>
      <x:c r="B909" s="14" t="str">
        <x:v>Installation</x:v>
      </x:c>
      <x:c r="C909" s="14" t="str">
        <x:v>Late review</x:v>
      </x:c>
      <x:c r="D909" s="14" t="str">
        <x:v>Medium</x:v>
      </x:c>
      <x:c r="E909" s="15" t="n">
        <x:v>46207.625</x:v>
      </x:c>
      <x:c r="F909" s="15" t="n">
        <x:v>46214.625</x:v>
      </x:c>
      <x:c r="G909" s="15" t="n">
        <x:v>46211.625</x:v>
      </x:c>
      <x:c r="H909" s="14" t="n">
        <x:v>3</x:v>
      </x:c>
      <x:c r="I909" s="1" t="n">
        <x:f>IF(AND(E909&lt;Reporting!$B$4,OR(G909="",G909&gt;=Reporting!$B$4)),1,0)</x:f>
        <x:v>0</x:v>
      </x:c>
      <x:c r="J909" s="1" t="n">
        <x:f>IF(AND(I909=1,F909&lt;Reporting!$B$4),1,0)</x:f>
        <x:v>0</x:v>
      </x:c>
      <x:c r="K909" s="1" t="n">
        <x:f>IF(F909&lt;Reporting!$B$4,1,0)</x:f>
        <x:v>1</x:v>
      </x:c>
      <x:c r="L909" s="1" t="n">
        <x:f>IF(AND(K909=1,G909&lt;&gt;"",G909&lt;=F909),1,0)</x:f>
        <x:v>1</x:v>
      </x:c>
      <x:c r="M909" s="1" t="n">
        <x:f>IF(AND(G909&lt;&gt;"",G909&lt;Reporting!$B$4),1,0)</x:f>
        <x:v>1</x:v>
      </x:c>
      <x:c r="N909" s="16" t="n">
        <x:f>IF(M909=1,G909-E909,"")</x:f>
        <x:v>4</x:v>
      </x:c>
      <x:c r="O909" s="1" t="str">
        <x:f>IF(E909&gt;=Reporting!$B$4,"Outside cutoff",IF(M909=1,"Closed",IF(J909=1,"Overdue","Open - within SLA")))</x:f>
        <x:v>Closed</x:v>
      </x:c>
    </x:row>
    <x:row r="910">
      <x:c r="A910" s="14" t="str">
        <x:v>CASE-00905</x:v>
      </x:c>
      <x:c r="B910" s="14" t="str">
        <x:v>Customer Services</x:v>
      </x:c>
      <x:c r="C910" s="14" t="str">
        <x:v>Missing evidence</x:v>
      </x:c>
      <x:c r="D910" s="14" t="str">
        <x:v>Medium</x:v>
      </x:c>
      <x:c r="E910" s="15" t="n">
        <x:v>46238.583333333336</x:v>
      </x:c>
      <x:c r="F910" s="15" t="n">
        <x:v>46245.583333333336</x:v>
      </x:c>
      <x:c r="G910" s="15"/>
      <x:c r="H910" s="14" t="n">
        <x:v>1</x:v>
      </x:c>
      <x:c r="I910" s="1" t="n">
        <x:f>IF(AND(E910&lt;Reporting!$B$4,OR(G910="",G910&gt;=Reporting!$B$4)),1,0)</x:f>
        <x:v>1</x:v>
      </x:c>
      <x:c r="J910" s="1" t="n">
        <x:f>IF(AND(I910=1,F910&lt;Reporting!$B$4),1,0)</x:f>
        <x:v>1</x:v>
      </x:c>
      <x:c r="K910" s="1" t="n">
        <x:f>IF(F910&lt;Reporting!$B$4,1,0)</x:f>
        <x:v>1</x:v>
      </x:c>
      <x:c r="L910" s="1" t="n">
        <x:f>IF(AND(K910=1,G910&lt;&gt;"",G910&lt;=F910),1,0)</x:f>
        <x:v>0</x:v>
      </x:c>
      <x:c r="M910" s="1" t="n">
        <x:f>IF(AND(G910&lt;&gt;"",G910&lt;Reporting!$B$4),1,0)</x:f>
        <x:v>0</x:v>
      </x:c>
      <x:c r="N910" s="16" t="str">
        <x:f>IF(M910=1,G910-E910,"")</x:f>
      </x:c>
      <x:c r="O910" s="1" t="str">
        <x:f>IF(E910&gt;=Reporting!$B$4,"Outside cutoff",IF(M910=1,"Closed",IF(J910=1,"Overdue","Open - within SLA")))</x:f>
        <x:v>Overdue</x:v>
      </x:c>
    </x:row>
    <x:row r="911">
      <x:c r="A911" s="14" t="str">
        <x:v>CASE-00906</x:v>
      </x:c>
      <x:c r="B911" s="14" t="str">
        <x:v>Customer Services</x:v>
      </x:c>
      <x:c r="C911" s="14" t="str">
        <x:v>Late review</x:v>
      </x:c>
      <x:c r="D911" s="14" t="str">
        <x:v>Medium</x:v>
      </x:c>
      <x:c r="E911" s="15" t="n">
        <x:v>46258.333333333336</x:v>
      </x:c>
      <x:c r="F911" s="15" t="n">
        <x:v>46265.333333333336</x:v>
      </x:c>
      <x:c r="G911" s="15" t="n">
        <x:v>46275.375</x:v>
      </x:c>
      <x:c r="H911" s="14" t="n">
        <x:v>1</x:v>
      </x:c>
      <x:c r="I911" s="1" t="n">
        <x:f>IF(AND(E911&lt;Reporting!$B$4,OR(G911="",G911&gt;=Reporting!$B$4)),1,0)</x:f>
        <x:v>0</x:v>
      </x:c>
      <x:c r="J911" s="1" t="n">
        <x:f>IF(AND(I911=1,F911&lt;Reporting!$B$4),1,0)</x:f>
        <x:v>0</x:v>
      </x:c>
      <x:c r="K911" s="1" t="n">
        <x:f>IF(F911&lt;Reporting!$B$4,1,0)</x:f>
        <x:v>1</x:v>
      </x:c>
      <x:c r="L911" s="1" t="n">
        <x:f>IF(AND(K911=1,G911&lt;&gt;"",G911&lt;=F911),1,0)</x:f>
        <x:v>0</x:v>
      </x:c>
      <x:c r="M911" s="1" t="n">
        <x:f>IF(AND(G911&lt;&gt;"",G911&lt;Reporting!$B$4),1,0)</x:f>
        <x:v>1</x:v>
      </x:c>
      <x:c r="N911" s="16" t="n">
        <x:f>IF(M911=1,G911-E911,"")</x:f>
        <x:v>17.04166666666424</x:v>
      </x:c>
      <x:c r="O911" s="1" t="str">
        <x:f>IF(E911&gt;=Reporting!$B$4,"Outside cutoff",IF(M911=1,"Closed",IF(J911=1,"Overdue","Open - within SLA")))</x:f>
        <x:v>Closed</x:v>
      </x:c>
    </x:row>
    <x:row r="912">
      <x:c r="A912" s="14" t="str">
        <x:v>CASE-00907</x:v>
      </x:c>
      <x:c r="B912" s="14" t="str">
        <x:v>Installation</x:v>
      </x:c>
      <x:c r="C912" s="14" t="str">
        <x:v>Record mismatch</x:v>
      </x:c>
      <x:c r="D912" s="14" t="str">
        <x:v>Low</x:v>
      </x:c>
      <x:c r="E912" s="15" t="n">
        <x:v>46247.333333333336</x:v>
      </x:c>
      <x:c r="F912" s="15" t="n">
        <x:v>46261.333333333336</x:v>
      </x:c>
      <x:c r="G912" s="15" t="n">
        <x:v>46250.416666666664</x:v>
      </x:c>
      <x:c r="H912" s="14" t="n">
        <x:v>3</x:v>
      </x:c>
      <x:c r="I912" s="1" t="n">
        <x:f>IF(AND(E912&lt;Reporting!$B$4,OR(G912="",G912&gt;=Reporting!$B$4)),1,0)</x:f>
        <x:v>0</x:v>
      </x:c>
      <x:c r="J912" s="1" t="n">
        <x:f>IF(AND(I912=1,F912&lt;Reporting!$B$4),1,0)</x:f>
        <x:v>0</x:v>
      </x:c>
      <x:c r="K912" s="1" t="n">
        <x:f>IF(F912&lt;Reporting!$B$4,1,0)</x:f>
        <x:v>1</x:v>
      </x:c>
      <x:c r="L912" s="1" t="n">
        <x:f>IF(AND(K912=1,G912&lt;&gt;"",G912&lt;=F912),1,0)</x:f>
        <x:v>1</x:v>
      </x:c>
      <x:c r="M912" s="1" t="n">
        <x:f>IF(AND(G912&lt;&gt;"",G912&lt;Reporting!$B$4),1,0)</x:f>
        <x:v>1</x:v>
      </x:c>
      <x:c r="N912" s="16" t="n">
        <x:f>IF(M912=1,G912-E912,"")</x:f>
        <x:v>3.0833333333284827</x:v>
      </x:c>
      <x:c r="O912" s="1" t="str">
        <x:f>IF(E912&gt;=Reporting!$B$4,"Outside cutoff",IF(M912=1,"Closed",IF(J912=1,"Overdue","Open - within SLA")))</x:f>
        <x:v>Closed</x:v>
      </x:c>
    </x:row>
    <x:row r="913">
      <x:c r="A913" s="14" t="str">
        <x:v>CASE-00908</x:v>
      </x:c>
      <x:c r="B913" s="14" t="str">
        <x:v>Customer Services</x:v>
      </x:c>
      <x:c r="C913" s="14" t="str">
        <x:v>Process deviation</x:v>
      </x:c>
      <x:c r="D913" s="14" t="str">
        <x:v>Medium</x:v>
      </x:c>
      <x:c r="E913" s="15" t="n">
        <x:v>46214.625</x:v>
      </x:c>
      <x:c r="F913" s="15" t="n">
        <x:v>46221.625</x:v>
      </x:c>
      <x:c r="G913" s="15" t="n">
        <x:v>46216.666666666664</x:v>
      </x:c>
      <x:c r="H913" s="14" t="n">
        <x:v>1</x:v>
      </x:c>
      <x:c r="I913" s="1" t="n">
        <x:f>IF(AND(E913&lt;Reporting!$B$4,OR(G913="",G913&gt;=Reporting!$B$4)),1,0)</x:f>
        <x:v>0</x:v>
      </x:c>
      <x:c r="J913" s="1" t="n">
        <x:f>IF(AND(I913=1,F913&lt;Reporting!$B$4),1,0)</x:f>
        <x:v>0</x:v>
      </x:c>
      <x:c r="K913" s="1" t="n">
        <x:f>IF(F913&lt;Reporting!$B$4,1,0)</x:f>
        <x:v>1</x:v>
      </x:c>
      <x:c r="L913" s="1" t="n">
        <x:f>IF(AND(K913=1,G913&lt;&gt;"",G913&lt;=F913),1,0)</x:f>
        <x:v>1</x:v>
      </x:c>
      <x:c r="M913" s="1" t="n">
        <x:f>IF(AND(G913&lt;&gt;"",G913&lt;Reporting!$B$4),1,0)</x:f>
        <x:v>1</x:v>
      </x:c>
      <x:c r="N913" s="16" t="n">
        <x:f>IF(M913=1,G913-E913,"")</x:f>
        <x:v>2.0416666666642413</x:v>
      </x:c>
      <x:c r="O913" s="1" t="str">
        <x:f>IF(E913&gt;=Reporting!$B$4,"Outside cutoff",IF(M913=1,"Closed",IF(J913=1,"Overdue","Open - within SLA")))</x:f>
        <x:v>Closed</x:v>
      </x:c>
    </x:row>
    <x:row r="914">
      <x:c r="A914" s="14" t="str">
        <x:v>CASE-00909</x:v>
      </x:c>
      <x:c r="B914" s="14" t="str">
        <x:v>Customer Services</x:v>
      </x:c>
      <x:c r="C914" s="14" t="str">
        <x:v>Process deviation</x:v>
      </x:c>
      <x:c r="D914" s="14" t="str">
        <x:v>Low</x:v>
      </x:c>
      <x:c r="E914" s="15" t="n">
        <x:v>46229.416666666664</x:v>
      </x:c>
      <x:c r="F914" s="15" t="n">
        <x:v>46243.416666666664</x:v>
      </x:c>
      <x:c r="G914" s="15" t="n">
        <x:v>46231.416666666664</x:v>
      </x:c>
      <x:c r="H914" s="14" t="n">
        <x:v>1</x:v>
      </x:c>
      <x:c r="I914" s="1" t="n">
        <x:f>IF(AND(E914&lt;Reporting!$B$4,OR(G914="",G914&gt;=Reporting!$B$4)),1,0)</x:f>
        <x:v>0</x:v>
      </x:c>
      <x:c r="J914" s="1" t="n">
        <x:f>IF(AND(I914=1,F914&lt;Reporting!$B$4),1,0)</x:f>
        <x:v>0</x:v>
      </x:c>
      <x:c r="K914" s="1" t="n">
        <x:f>IF(F914&lt;Reporting!$B$4,1,0)</x:f>
        <x:v>1</x:v>
      </x:c>
      <x:c r="L914" s="1" t="n">
        <x:f>IF(AND(K914=1,G914&lt;&gt;"",G914&lt;=F914),1,0)</x:f>
        <x:v>1</x:v>
      </x:c>
      <x:c r="M914" s="1" t="n">
        <x:f>IF(AND(G914&lt;&gt;"",G914&lt;Reporting!$B$4),1,0)</x:f>
        <x:v>1</x:v>
      </x:c>
      <x:c r="N914" s="16" t="n">
        <x:f>IF(M914=1,G914-E914,"")</x:f>
        <x:v>2</x:v>
      </x:c>
      <x:c r="O914" s="1" t="str">
        <x:f>IF(E914&gt;=Reporting!$B$4,"Outside cutoff",IF(M914=1,"Closed",IF(J914=1,"Overdue","Open - within SLA")))</x:f>
        <x:v>Closed</x:v>
      </x:c>
    </x:row>
    <x:row r="915">
      <x:c r="A915" s="14" t="str">
        <x:v>CASE-00910</x:v>
      </x:c>
      <x:c r="B915" s="14" t="str">
        <x:v>Customer Services</x:v>
      </x:c>
      <x:c r="C915" s="14" t="str">
        <x:v>Record mismatch</x:v>
      </x:c>
      <x:c r="D915" s="14" t="str">
        <x:v>Medium</x:v>
      </x:c>
      <x:c r="E915" s="15" t="n">
        <x:v>46205.333333333336</x:v>
      </x:c>
      <x:c r="F915" s="15" t="n">
        <x:v>46212.333333333336</x:v>
      </x:c>
      <x:c r="G915" s="15" t="n">
        <x:v>46217.375</x:v>
      </x:c>
      <x:c r="H915" s="14" t="n">
        <x:v>1</x:v>
      </x:c>
      <x:c r="I915" s="1" t="n">
        <x:f>IF(AND(E915&lt;Reporting!$B$4,OR(G915="",G915&gt;=Reporting!$B$4)),1,0)</x:f>
        <x:v>0</x:v>
      </x:c>
      <x:c r="J915" s="1" t="n">
        <x:f>IF(AND(I915=1,F915&lt;Reporting!$B$4),1,0)</x:f>
        <x:v>0</x:v>
      </x:c>
      <x:c r="K915" s="1" t="n">
        <x:f>IF(F915&lt;Reporting!$B$4,1,0)</x:f>
        <x:v>1</x:v>
      </x:c>
      <x:c r="L915" s="1" t="n">
        <x:f>IF(AND(K915=1,G915&lt;&gt;"",G915&lt;=F915),1,0)</x:f>
        <x:v>0</x:v>
      </x:c>
      <x:c r="M915" s="1" t="n">
        <x:f>IF(AND(G915&lt;&gt;"",G915&lt;Reporting!$B$4),1,0)</x:f>
        <x:v>1</x:v>
      </x:c>
      <x:c r="N915" s="16" t="n">
        <x:f>IF(M915=1,G915-E915,"")</x:f>
        <x:v>12.041666666664241</x:v>
      </x:c>
      <x:c r="O915" s="1" t="str">
        <x:f>IF(E915&gt;=Reporting!$B$4,"Outside cutoff",IF(M915=1,"Closed",IF(J915=1,"Overdue","Open - within SLA")))</x:f>
        <x:v>Closed</x:v>
      </x:c>
    </x:row>
    <x:row r="916">
      <x:c r="A916" s="14" t="str">
        <x:v>CASE-00911</x:v>
      </x:c>
      <x:c r="B916" s="14" t="str">
        <x:v>Warehouse</x:v>
      </x:c>
      <x:c r="C916" s="14" t="str">
        <x:v>Record mismatch</x:v>
      </x:c>
      <x:c r="D916" s="14" t="str">
        <x:v>Medium</x:v>
      </x:c>
      <x:c r="E916" s="15" t="n">
        <x:v>46242.458333333336</x:v>
      </x:c>
      <x:c r="F916" s="15" t="n">
        <x:v>46249.458333333336</x:v>
      </x:c>
      <x:c r="G916" s="15" t="n">
        <x:v>46252.458333333336</x:v>
      </x:c>
      <x:c r="H916" s="14" t="n">
        <x:v>2</x:v>
      </x:c>
      <x:c r="I916" s="1" t="n">
        <x:f>IF(AND(E916&lt;Reporting!$B$4,OR(G916="",G916&gt;=Reporting!$B$4)),1,0)</x:f>
        <x:v>0</x:v>
      </x:c>
      <x:c r="J916" s="1" t="n">
        <x:f>IF(AND(I916=1,F916&lt;Reporting!$B$4),1,0)</x:f>
        <x:v>0</x:v>
      </x:c>
      <x:c r="K916" s="1" t="n">
        <x:f>IF(F916&lt;Reporting!$B$4,1,0)</x:f>
        <x:v>1</x:v>
      </x:c>
      <x:c r="L916" s="1" t="n">
        <x:f>IF(AND(K916=1,G916&lt;&gt;"",G916&lt;=F916),1,0)</x:f>
        <x:v>0</x:v>
      </x:c>
      <x:c r="M916" s="1" t="n">
        <x:f>IF(AND(G916&lt;&gt;"",G916&lt;Reporting!$B$4),1,0)</x:f>
        <x:v>1</x:v>
      </x:c>
      <x:c r="N916" s="16" t="n">
        <x:f>IF(M916=1,G916-E916,"")</x:f>
        <x:v>10</x:v>
      </x:c>
      <x:c r="O916" s="1" t="str">
        <x:f>IF(E916&gt;=Reporting!$B$4,"Outside cutoff",IF(M916=1,"Closed",IF(J916=1,"Overdue","Open - within SLA")))</x:f>
        <x:v>Closed</x:v>
      </x:c>
    </x:row>
    <x:row r="917">
      <x:c r="A917" s="14" t="str">
        <x:v>CASE-00912</x:v>
      </x:c>
      <x:c r="B917" s="14" t="str">
        <x:v>Customer Services</x:v>
      </x:c>
      <x:c r="C917" s="14" t="str">
        <x:v>Record mismatch</x:v>
      </x:c>
      <x:c r="D917" s="14" t="str">
        <x:v>Low</x:v>
      </x:c>
      <x:c r="E917" s="15" t="n">
        <x:v>46240.375</x:v>
      </x:c>
      <x:c r="F917" s="15" t="n">
        <x:v>46254.375</x:v>
      </x:c>
      <x:c r="G917" s="15" t="n">
        <x:v>46245.458333333336</x:v>
      </x:c>
      <x:c r="H917" s="14" t="n">
        <x:v>1</x:v>
      </x:c>
      <x:c r="I917" s="1" t="n">
        <x:f>IF(AND(E917&lt;Reporting!$B$4,OR(G917="",G917&gt;=Reporting!$B$4)),1,0)</x:f>
        <x:v>0</x:v>
      </x:c>
      <x:c r="J917" s="1" t="n">
        <x:f>IF(AND(I917=1,F917&lt;Reporting!$B$4),1,0)</x:f>
        <x:v>0</x:v>
      </x:c>
      <x:c r="K917" s="1" t="n">
        <x:f>IF(F917&lt;Reporting!$B$4,1,0)</x:f>
        <x:v>1</x:v>
      </x:c>
      <x:c r="L917" s="1" t="n">
        <x:f>IF(AND(K917=1,G917&lt;&gt;"",G917&lt;=F917),1,0)</x:f>
        <x:v>1</x:v>
      </x:c>
      <x:c r="M917" s="1" t="n">
        <x:f>IF(AND(G917&lt;&gt;"",G917&lt;Reporting!$B$4),1,0)</x:f>
        <x:v>1</x:v>
      </x:c>
      <x:c r="N917" s="16" t="n">
        <x:f>IF(M917=1,G917-E917,"")</x:f>
        <x:v>5.083333333335759</x:v>
      </x:c>
      <x:c r="O917" s="1" t="str">
        <x:f>IF(E917&gt;=Reporting!$B$4,"Outside cutoff",IF(M917=1,"Closed",IF(J917=1,"Overdue","Open - within SLA")))</x:f>
        <x:v>Closed</x:v>
      </x:c>
    </x:row>
    <x:row r="918">
      <x:c r="A918" s="14" t="str">
        <x:v>CASE-00913</x:v>
      </x:c>
      <x:c r="B918" s="14" t="str">
        <x:v>Customer Services</x:v>
      </x:c>
      <x:c r="C918" s="14" t="str">
        <x:v>Process deviation</x:v>
      </x:c>
      <x:c r="D918" s="14" t="str">
        <x:v>Medium</x:v>
      </x:c>
      <x:c r="E918" s="15" t="n">
        <x:v>46271.416666666664</x:v>
      </x:c>
      <x:c r="F918" s="15" t="n">
        <x:v>46278.416666666664</x:v>
      </x:c>
      <x:c r="G918" s="15" t="n">
        <x:v>46272.458333333336</x:v>
      </x:c>
      <x:c r="H918" s="14" t="n">
        <x:v>1</x:v>
      </x:c>
      <x:c r="I918" s="1" t="n">
        <x:f>IF(AND(E918&lt;Reporting!$B$4,OR(G918="",G918&gt;=Reporting!$B$4)),1,0)</x:f>
        <x:v>0</x:v>
      </x:c>
      <x:c r="J918" s="1" t="n">
        <x:f>IF(AND(I918=1,F918&lt;Reporting!$B$4),1,0)</x:f>
        <x:v>0</x:v>
      </x:c>
      <x:c r="K918" s="1" t="n">
        <x:f>IF(F918&lt;Reporting!$B$4,1,0)</x:f>
        <x:v>1</x:v>
      </x:c>
      <x:c r="L918" s="1" t="n">
        <x:f>IF(AND(K918=1,G918&lt;&gt;"",G918&lt;=F918),1,0)</x:f>
        <x:v>1</x:v>
      </x:c>
      <x:c r="M918" s="1" t="n">
        <x:f>IF(AND(G918&lt;&gt;"",G918&lt;Reporting!$B$4),1,0)</x:f>
        <x:v>1</x:v>
      </x:c>
      <x:c r="N918" s="16" t="n">
        <x:f>IF(M918=1,G918-E918,"")</x:f>
        <x:v>1.0416666666715173</x:v>
      </x:c>
      <x:c r="O918" s="1" t="str">
        <x:f>IF(E918&gt;=Reporting!$B$4,"Outside cutoff",IF(M918=1,"Closed",IF(J918=1,"Overdue","Open - within SLA")))</x:f>
        <x:v>Closed</x:v>
      </x:c>
    </x:row>
    <x:row r="919">
      <x:c r="A919" s="14" t="str">
        <x:v>CASE-00914</x:v>
      </x:c>
      <x:c r="B919" s="14" t="str">
        <x:v>Customer Services</x:v>
      </x:c>
      <x:c r="C919" s="14" t="str">
        <x:v>Record mismatch</x:v>
      </x:c>
      <x:c r="D919" s="14" t="str">
        <x:v>High</x:v>
      </x:c>
      <x:c r="E919" s="15" t="n">
        <x:v>46234.375</x:v>
      </x:c>
      <x:c r="F919" s="15" t="n">
        <x:v>46237.375</x:v>
      </x:c>
      <x:c r="G919" s="15" t="n">
        <x:v>46248.416666666664</x:v>
      </x:c>
      <x:c r="H919" s="14" t="n">
        <x:v>1</x:v>
      </x:c>
      <x:c r="I919" s="1" t="n">
        <x:f>IF(AND(E919&lt;Reporting!$B$4,OR(G919="",G919&gt;=Reporting!$B$4)),1,0)</x:f>
        <x:v>0</x:v>
      </x:c>
      <x:c r="J919" s="1" t="n">
        <x:f>IF(AND(I919=1,F919&lt;Reporting!$B$4),1,0)</x:f>
        <x:v>0</x:v>
      </x:c>
      <x:c r="K919" s="1" t="n">
        <x:f>IF(F919&lt;Reporting!$B$4,1,0)</x:f>
        <x:v>1</x:v>
      </x:c>
      <x:c r="L919" s="1" t="n">
        <x:f>IF(AND(K919=1,G919&lt;&gt;"",G919&lt;=F919),1,0)</x:f>
        <x:v>0</x:v>
      </x:c>
      <x:c r="M919" s="1" t="n">
        <x:f>IF(AND(G919&lt;&gt;"",G919&lt;Reporting!$B$4),1,0)</x:f>
        <x:v>1</x:v>
      </x:c>
      <x:c r="N919" s="16" t="n">
        <x:f>IF(M919=1,G919-E919,"")</x:f>
        <x:v>14.041666666664241</x:v>
      </x:c>
      <x:c r="O919" s="1" t="str">
        <x:f>IF(E919&gt;=Reporting!$B$4,"Outside cutoff",IF(M919=1,"Closed",IF(J919=1,"Overdue","Open - within SLA")))</x:f>
        <x:v>Closed</x:v>
      </x:c>
    </x:row>
    <x:row r="920">
      <x:c r="A920" s="14" t="str">
        <x:v>CASE-00915</x:v>
      </x:c>
      <x:c r="B920" s="14" t="str">
        <x:v>Customer Services</x:v>
      </x:c>
      <x:c r="C920" s="14" t="str">
        <x:v>Late review</x:v>
      </x:c>
      <x:c r="D920" s="14" t="str">
        <x:v>Low</x:v>
      </x:c>
      <x:c r="E920" s="15" t="n">
        <x:v>46275.541666666664</x:v>
      </x:c>
      <x:c r="F920" s="15" t="n">
        <x:v>46289.541666666664</x:v>
      </x:c>
      <x:c r="G920" s="15"/>
      <x:c r="H920" s="14" t="n">
        <x:v>1</x:v>
      </x:c>
      <x:c r="I920" s="1" t="n">
        <x:f>IF(AND(E920&lt;Reporting!$B$4,OR(G920="",G920&gt;=Reporting!$B$4)),1,0)</x:f>
        <x:v>1</x:v>
      </x:c>
      <x:c r="J920" s="1" t="n">
        <x:f>IF(AND(I920=1,F920&lt;Reporting!$B$4),1,0)</x:f>
        <x:v>0</x:v>
      </x:c>
      <x:c r="K920" s="1" t="n">
        <x:f>IF(F920&lt;Reporting!$B$4,1,0)</x:f>
        <x:v>0</x:v>
      </x:c>
      <x:c r="L920" s="1" t="n">
        <x:f>IF(AND(K920=1,G920&lt;&gt;"",G920&lt;=F920),1,0)</x:f>
        <x:v>0</x:v>
      </x:c>
      <x:c r="M920" s="1" t="n">
        <x:f>IF(AND(G920&lt;&gt;"",G920&lt;Reporting!$B$4),1,0)</x:f>
        <x:v>0</x:v>
      </x:c>
      <x:c r="N920" s="16" t="str">
        <x:f>IF(M920=1,G920-E920,"")</x:f>
      </x:c>
      <x:c r="O920" s="1" t="str">
        <x:f>IF(E920&gt;=Reporting!$B$4,"Outside cutoff",IF(M920=1,"Closed",IF(J920=1,"Overdue","Open - within SLA")))</x:f>
        <x:v>Open - within SLA</x:v>
      </x:c>
    </x:row>
    <x:row r="921">
      <x:c r="A921" s="14" t="str">
        <x:v>CASE-00916</x:v>
      </x:c>
      <x:c r="B921" s="14" t="str">
        <x:v>Customer Services</x:v>
      </x:c>
      <x:c r="C921" s="14" t="str">
        <x:v>Missing evidence</x:v>
      </x:c>
      <x:c r="D921" s="14" t="str">
        <x:v>Low</x:v>
      </x:c>
      <x:c r="E921" s="15" t="n">
        <x:v>46265.375</x:v>
      </x:c>
      <x:c r="F921" s="15" t="n">
        <x:v>46279.375</x:v>
      </x:c>
      <x:c r="G921" s="15" t="n">
        <x:v>46273.458333333336</x:v>
      </x:c>
      <x:c r="H921" s="14" t="n">
        <x:v>1</x:v>
      </x:c>
      <x:c r="I921" s="1" t="n">
        <x:f>IF(AND(E921&lt;Reporting!$B$4,OR(G921="",G921&gt;=Reporting!$B$4)),1,0)</x:f>
        <x:v>0</x:v>
      </x:c>
      <x:c r="J921" s="1" t="n">
        <x:f>IF(AND(I921=1,F921&lt;Reporting!$B$4),1,0)</x:f>
        <x:v>0</x:v>
      </x:c>
      <x:c r="K921" s="1" t="n">
        <x:f>IF(F921&lt;Reporting!$B$4,1,0)</x:f>
        <x:v>1</x:v>
      </x:c>
      <x:c r="L921" s="1" t="n">
        <x:f>IF(AND(K921=1,G921&lt;&gt;"",G921&lt;=F921),1,0)</x:f>
        <x:v>1</x:v>
      </x:c>
      <x:c r="M921" s="1" t="n">
        <x:f>IF(AND(G921&lt;&gt;"",G921&lt;Reporting!$B$4),1,0)</x:f>
        <x:v>1</x:v>
      </x:c>
      <x:c r="N921" s="16" t="n">
        <x:f>IF(M921=1,G921-E921,"")</x:f>
        <x:v>8.083333333335759</x:v>
      </x:c>
      <x:c r="O921" s="1" t="str">
        <x:f>IF(E921&gt;=Reporting!$B$4,"Outside cutoff",IF(M921=1,"Closed",IF(J921=1,"Overdue","Open - within SLA")))</x:f>
        <x:v>Closed</x:v>
      </x:c>
    </x:row>
    <x:row r="922">
      <x:c r="A922" s="14" t="str">
        <x:v>CASE-00917</x:v>
      </x:c>
      <x:c r="B922" s="14" t="str">
        <x:v>Warehouse</x:v>
      </x:c>
      <x:c r="C922" s="14" t="str">
        <x:v>Late review</x:v>
      </x:c>
      <x:c r="D922" s="14" t="str">
        <x:v>Medium</x:v>
      </x:c>
      <x:c r="E922" s="15" t="n">
        <x:v>46265.416666666664</x:v>
      </x:c>
      <x:c r="F922" s="15" t="n">
        <x:v>46272.416666666664</x:v>
      </x:c>
      <x:c r="G922" s="15" t="n">
        <x:v>46277.458333333336</x:v>
      </x:c>
      <x:c r="H922" s="14" t="n">
        <x:v>2</x:v>
      </x:c>
      <x:c r="I922" s="1" t="n">
        <x:f>IF(AND(E922&lt;Reporting!$B$4,OR(G922="",G922&gt;=Reporting!$B$4)),1,0)</x:f>
        <x:v>0</x:v>
      </x:c>
      <x:c r="J922" s="1" t="n">
        <x:f>IF(AND(I922=1,F922&lt;Reporting!$B$4),1,0)</x:f>
        <x:v>0</x:v>
      </x:c>
      <x:c r="K922" s="1" t="n">
        <x:f>IF(F922&lt;Reporting!$B$4,1,0)</x:f>
        <x:v>1</x:v>
      </x:c>
      <x:c r="L922" s="1" t="n">
        <x:f>IF(AND(K922=1,G922&lt;&gt;"",G922&lt;=F922),1,0)</x:f>
        <x:v>0</x:v>
      </x:c>
      <x:c r="M922" s="1" t="n">
        <x:f>IF(AND(G922&lt;&gt;"",G922&lt;Reporting!$B$4),1,0)</x:f>
        <x:v>1</x:v>
      </x:c>
      <x:c r="N922" s="16" t="n">
        <x:f>IF(M922=1,G922-E922,"")</x:f>
        <x:v>12.041666666671517</x:v>
      </x:c>
      <x:c r="O922" s="1" t="str">
        <x:f>IF(E922&gt;=Reporting!$B$4,"Outside cutoff",IF(M922=1,"Closed",IF(J922=1,"Overdue","Open - within SLA")))</x:f>
        <x:v>Closed</x:v>
      </x:c>
    </x:row>
    <x:row r="923">
      <x:c r="A923" s="14" t="str">
        <x:v>CASE-00918</x:v>
      </x:c>
      <x:c r="B923" s="14" t="str">
        <x:v>Customer Services</x:v>
      </x:c>
      <x:c r="C923" s="14" t="str">
        <x:v>Late review</x:v>
      </x:c>
      <x:c r="D923" s="14" t="str">
        <x:v>Low</x:v>
      </x:c>
      <x:c r="E923" s="15" t="n">
        <x:v>46204.666666666664</x:v>
      </x:c>
      <x:c r="F923" s="15" t="n">
        <x:v>46218.666666666664</x:v>
      </x:c>
      <x:c r="G923" s="15" t="n">
        <x:v>46218.75</x:v>
      </x:c>
      <x:c r="H923" s="14" t="n">
        <x:v>1</x:v>
      </x:c>
      <x:c r="I923" s="1" t="n">
        <x:f>IF(AND(E923&lt;Reporting!$B$4,OR(G923="",G923&gt;=Reporting!$B$4)),1,0)</x:f>
        <x:v>0</x:v>
      </x:c>
      <x:c r="J923" s="1" t="n">
        <x:f>IF(AND(I923=1,F923&lt;Reporting!$B$4),1,0)</x:f>
        <x:v>0</x:v>
      </x:c>
      <x:c r="K923" s="1" t="n">
        <x:f>IF(F923&lt;Reporting!$B$4,1,0)</x:f>
        <x:v>1</x:v>
      </x:c>
      <x:c r="L923" s="1" t="n">
        <x:f>IF(AND(K923=1,G923&lt;&gt;"",G923&lt;=F923),1,0)</x:f>
        <x:v>0</x:v>
      </x:c>
      <x:c r="M923" s="1" t="n">
        <x:f>IF(AND(G923&lt;&gt;"",G923&lt;Reporting!$B$4),1,0)</x:f>
        <x:v>1</x:v>
      </x:c>
      <x:c r="N923" s="16" t="n">
        <x:f>IF(M923=1,G923-E923,"")</x:f>
        <x:v>14.083333333335759</x:v>
      </x:c>
      <x:c r="O923" s="1" t="str">
        <x:f>IF(E923&gt;=Reporting!$B$4,"Outside cutoff",IF(M923=1,"Closed",IF(J923=1,"Overdue","Open - within SLA")))</x:f>
        <x:v>Closed</x:v>
      </x:c>
    </x:row>
    <x:row r="924">
      <x:c r="A924" s="14" t="str">
        <x:v>CASE-00919</x:v>
      </x:c>
      <x:c r="B924" s="14" t="str">
        <x:v>Warehouse</x:v>
      </x:c>
      <x:c r="C924" s="14" t="str">
        <x:v>Record mismatch</x:v>
      </x:c>
      <x:c r="D924" s="14" t="str">
        <x:v>High</x:v>
      </x:c>
      <x:c r="E924" s="15" t="n">
        <x:v>46224.458333333336</x:v>
      </x:c>
      <x:c r="F924" s="15" t="n">
        <x:v>46227.458333333336</x:v>
      </x:c>
      <x:c r="G924" s="15" t="n">
        <x:v>46233.458333333336</x:v>
      </x:c>
      <x:c r="H924" s="14" t="n">
        <x:v>2</x:v>
      </x:c>
      <x:c r="I924" s="1" t="n">
        <x:f>IF(AND(E924&lt;Reporting!$B$4,OR(G924="",G924&gt;=Reporting!$B$4)),1,0)</x:f>
        <x:v>0</x:v>
      </x:c>
      <x:c r="J924" s="1" t="n">
        <x:f>IF(AND(I924=1,F924&lt;Reporting!$B$4),1,0)</x:f>
        <x:v>0</x:v>
      </x:c>
      <x:c r="K924" s="1" t="n">
        <x:f>IF(F924&lt;Reporting!$B$4,1,0)</x:f>
        <x:v>1</x:v>
      </x:c>
      <x:c r="L924" s="1" t="n">
        <x:f>IF(AND(K924=1,G924&lt;&gt;"",G924&lt;=F924),1,0)</x:f>
        <x:v>0</x:v>
      </x:c>
      <x:c r="M924" s="1" t="n">
        <x:f>IF(AND(G924&lt;&gt;"",G924&lt;Reporting!$B$4),1,0)</x:f>
        <x:v>1</x:v>
      </x:c>
      <x:c r="N924" s="16" t="n">
        <x:f>IF(M924=1,G924-E924,"")</x:f>
        <x:v>9</x:v>
      </x:c>
      <x:c r="O924" s="1" t="str">
        <x:f>IF(E924&gt;=Reporting!$B$4,"Outside cutoff",IF(M924=1,"Closed",IF(J924=1,"Overdue","Open - within SLA")))</x:f>
        <x:v>Closed</x:v>
      </x:c>
    </x:row>
    <x:row r="925">
      <x:c r="A925" s="14" t="str">
        <x:v>CASE-00920</x:v>
      </x:c>
      <x:c r="B925" s="14" t="str">
        <x:v>Customer Services</x:v>
      </x:c>
      <x:c r="C925" s="14" t="str">
        <x:v>Record mismatch</x:v>
      </x:c>
      <x:c r="D925" s="14" t="str">
        <x:v>High</x:v>
      </x:c>
      <x:c r="E925" s="15" t="n">
        <x:v>46223.541666666664</x:v>
      </x:c>
      <x:c r="F925" s="15" t="n">
        <x:v>46226.541666666664</x:v>
      </x:c>
      <x:c r="G925" s="15" t="n">
        <x:v>46238.541666666664</x:v>
      </x:c>
      <x:c r="H925" s="14" t="n">
        <x:v>1</x:v>
      </x:c>
      <x:c r="I925" s="1" t="n">
        <x:f>IF(AND(E925&lt;Reporting!$B$4,OR(G925="",G925&gt;=Reporting!$B$4)),1,0)</x:f>
        <x:v>0</x:v>
      </x:c>
      <x:c r="J925" s="1" t="n">
        <x:f>IF(AND(I925=1,F925&lt;Reporting!$B$4),1,0)</x:f>
        <x:v>0</x:v>
      </x:c>
      <x:c r="K925" s="1" t="n">
        <x:f>IF(F925&lt;Reporting!$B$4,1,0)</x:f>
        <x:v>1</x:v>
      </x:c>
      <x:c r="L925" s="1" t="n">
        <x:f>IF(AND(K925=1,G925&lt;&gt;"",G925&lt;=F925),1,0)</x:f>
        <x:v>0</x:v>
      </x:c>
      <x:c r="M925" s="1" t="n">
        <x:f>IF(AND(G925&lt;&gt;"",G925&lt;Reporting!$B$4),1,0)</x:f>
        <x:v>1</x:v>
      </x:c>
      <x:c r="N925" s="16" t="n">
        <x:f>IF(M925=1,G925-E925,"")</x:f>
        <x:v>15</x:v>
      </x:c>
      <x:c r="O925" s="1" t="str">
        <x:f>IF(E925&gt;=Reporting!$B$4,"Outside cutoff",IF(M925=1,"Closed",IF(J925=1,"Overdue","Open - within SLA")))</x:f>
        <x:v>Closed</x:v>
      </x:c>
    </x:row>
    <x:row r="926">
      <x:c r="A926" s="14" t="str">
        <x:v>CASE-00921</x:v>
      </x:c>
      <x:c r="B926" s="14" t="str">
        <x:v>Installation</x:v>
      </x:c>
      <x:c r="C926" s="14" t="str">
        <x:v>Record mismatch</x:v>
      </x:c>
      <x:c r="D926" s="14" t="str">
        <x:v>High</x:v>
      </x:c>
      <x:c r="E926" s="15" t="n">
        <x:v>46203.625</x:v>
      </x:c>
      <x:c r="F926" s="15" t="n">
        <x:v>46206.625</x:v>
      </x:c>
      <x:c r="G926" s="15" t="n">
        <x:v>46204.625</x:v>
      </x:c>
      <x:c r="H926" s="14" t="n">
        <x:v>3</x:v>
      </x:c>
      <x:c r="I926" s="1" t="n">
        <x:f>IF(AND(E926&lt;Reporting!$B$4,OR(G926="",G926&gt;=Reporting!$B$4)),1,0)</x:f>
        <x:v>0</x:v>
      </x:c>
      <x:c r="J926" s="1" t="n">
        <x:f>IF(AND(I926=1,F926&lt;Reporting!$B$4),1,0)</x:f>
        <x:v>0</x:v>
      </x:c>
      <x:c r="K926" s="1" t="n">
        <x:f>IF(F926&lt;Reporting!$B$4,1,0)</x:f>
        <x:v>1</x:v>
      </x:c>
      <x:c r="L926" s="1" t="n">
        <x:f>IF(AND(K926=1,G926&lt;&gt;"",G926&lt;=F926),1,0)</x:f>
        <x:v>1</x:v>
      </x:c>
      <x:c r="M926" s="1" t="n">
        <x:f>IF(AND(G926&lt;&gt;"",G926&lt;Reporting!$B$4),1,0)</x:f>
        <x:v>1</x:v>
      </x:c>
      <x:c r="N926" s="16" t="n">
        <x:f>IF(M926=1,G926-E926,"")</x:f>
        <x:v>1</x:v>
      </x:c>
      <x:c r="O926" s="1" t="str">
        <x:f>IF(E926&gt;=Reporting!$B$4,"Outside cutoff",IF(M926=1,"Closed",IF(J926=1,"Overdue","Open - within SLA")))</x:f>
        <x:v>Closed</x:v>
      </x:c>
    </x:row>
    <x:row r="927">
      <x:c r="A927" s="14" t="str">
        <x:v>CASE-00922</x:v>
      </x:c>
      <x:c r="B927" s="14" t="str">
        <x:v>Warehouse</x:v>
      </x:c>
      <x:c r="C927" s="14" t="str">
        <x:v>Process deviation</x:v>
      </x:c>
      <x:c r="D927" s="14" t="str">
        <x:v>Medium</x:v>
      </x:c>
      <x:c r="E927" s="15" t="n">
        <x:v>46218.458333333336</x:v>
      </x:c>
      <x:c r="F927" s="15" t="n">
        <x:v>46225.458333333336</x:v>
      </x:c>
      <x:c r="G927" s="15" t="n">
        <x:v>46235.541666666664</x:v>
      </x:c>
      <x:c r="H927" s="14" t="n">
        <x:v>2</x:v>
      </x:c>
      <x:c r="I927" s="1" t="n">
        <x:f>IF(AND(E927&lt;Reporting!$B$4,OR(G927="",G927&gt;=Reporting!$B$4)),1,0)</x:f>
        <x:v>0</x:v>
      </x:c>
      <x:c r="J927" s="1" t="n">
        <x:f>IF(AND(I927=1,F927&lt;Reporting!$B$4),1,0)</x:f>
        <x:v>0</x:v>
      </x:c>
      <x:c r="K927" s="1" t="n">
        <x:f>IF(F927&lt;Reporting!$B$4,1,0)</x:f>
        <x:v>1</x:v>
      </x:c>
      <x:c r="L927" s="1" t="n">
        <x:f>IF(AND(K927=1,G927&lt;&gt;"",G927&lt;=F927),1,0)</x:f>
        <x:v>0</x:v>
      </x:c>
      <x:c r="M927" s="1" t="n">
        <x:f>IF(AND(G927&lt;&gt;"",G927&lt;Reporting!$B$4),1,0)</x:f>
        <x:v>1</x:v>
      </x:c>
      <x:c r="N927" s="16" t="n">
        <x:f>IF(M927=1,G927-E927,"")</x:f>
        <x:v>17.083333333328483</x:v>
      </x:c>
      <x:c r="O927" s="1" t="str">
        <x:f>IF(E927&gt;=Reporting!$B$4,"Outside cutoff",IF(M927=1,"Closed",IF(J927=1,"Overdue","Open - within SLA")))</x:f>
        <x:v>Closed</x:v>
      </x:c>
    </x:row>
    <x:row r="928">
      <x:c r="A928" s="14" t="str">
        <x:v>CASE-00923</x:v>
      </x:c>
      <x:c r="B928" s="14" t="str">
        <x:v>Customer Services</x:v>
      </x:c>
      <x:c r="C928" s="14" t="str">
        <x:v>Record mismatch</x:v>
      </x:c>
      <x:c r="D928" s="14" t="str">
        <x:v>Medium</x:v>
      </x:c>
      <x:c r="E928" s="15" t="n">
        <x:v>46267.375</x:v>
      </x:c>
      <x:c r="F928" s="15" t="n">
        <x:v>46274.375</x:v>
      </x:c>
      <x:c r="G928" s="15" t="n">
        <x:v>46284.375</x:v>
      </x:c>
      <x:c r="H928" s="14" t="n">
        <x:v>1</x:v>
      </x:c>
      <x:c r="I928" s="1" t="n">
        <x:f>IF(AND(E928&lt;Reporting!$B$4,OR(G928="",G928&gt;=Reporting!$B$4)),1,0)</x:f>
        <x:v>0</x:v>
      </x:c>
      <x:c r="J928" s="1" t="n">
        <x:f>IF(AND(I928=1,F928&lt;Reporting!$B$4),1,0)</x:f>
        <x:v>0</x:v>
      </x:c>
      <x:c r="K928" s="1" t="n">
        <x:f>IF(F928&lt;Reporting!$B$4,1,0)</x:f>
        <x:v>1</x:v>
      </x:c>
      <x:c r="L928" s="1" t="n">
        <x:f>IF(AND(K928=1,G928&lt;&gt;"",G928&lt;=F928),1,0)</x:f>
        <x:v>0</x:v>
      </x:c>
      <x:c r="M928" s="1" t="n">
        <x:f>IF(AND(G928&lt;&gt;"",G928&lt;Reporting!$B$4),1,0)</x:f>
        <x:v>1</x:v>
      </x:c>
      <x:c r="N928" s="16" t="n">
        <x:f>IF(M928=1,G928-E928,"")</x:f>
        <x:v>17</x:v>
      </x:c>
      <x:c r="O928" s="1" t="str">
        <x:f>IF(E928&gt;=Reporting!$B$4,"Outside cutoff",IF(M928=1,"Closed",IF(J928=1,"Overdue","Open - within SLA")))</x:f>
        <x:v>Closed</x:v>
      </x:c>
    </x:row>
    <x:row r="929">
      <x:c r="A929" s="14" t="str">
        <x:v>CASE-00924</x:v>
      </x:c>
      <x:c r="B929" s="14" t="str">
        <x:v>Customer Services</x:v>
      </x:c>
      <x:c r="C929" s="14" t="str">
        <x:v>Late review</x:v>
      </x:c>
      <x:c r="D929" s="14" t="str">
        <x:v>Medium</x:v>
      </x:c>
      <x:c r="E929" s="15" t="n">
        <x:v>46244.666666666664</x:v>
      </x:c>
      <x:c r="F929" s="15" t="n">
        <x:v>46251.666666666664</x:v>
      </x:c>
      <x:c r="G929" s="15"/>
      <x:c r="H929" s="14" t="n">
        <x:v>1</x:v>
      </x:c>
      <x:c r="I929" s="1" t="n">
        <x:f>IF(AND(E929&lt;Reporting!$B$4,OR(G929="",G929&gt;=Reporting!$B$4)),1,0)</x:f>
        <x:v>1</x:v>
      </x:c>
      <x:c r="J929" s="1" t="n">
        <x:f>IF(AND(I929=1,F929&lt;Reporting!$B$4),1,0)</x:f>
        <x:v>1</x:v>
      </x:c>
      <x:c r="K929" s="1" t="n">
        <x:f>IF(F929&lt;Reporting!$B$4,1,0)</x:f>
        <x:v>1</x:v>
      </x:c>
      <x:c r="L929" s="1" t="n">
        <x:f>IF(AND(K929=1,G929&lt;&gt;"",G929&lt;=F929),1,0)</x:f>
        <x:v>0</x:v>
      </x:c>
      <x:c r="M929" s="1" t="n">
        <x:f>IF(AND(G929&lt;&gt;"",G929&lt;Reporting!$B$4),1,0)</x:f>
        <x:v>0</x:v>
      </x:c>
      <x:c r="N929" s="16" t="str">
        <x:f>IF(M929=1,G929-E929,"")</x:f>
      </x:c>
      <x:c r="O929" s="1" t="str">
        <x:f>IF(E929&gt;=Reporting!$B$4,"Outside cutoff",IF(M929=1,"Closed",IF(J929=1,"Overdue","Open - within SLA")))</x:f>
        <x:v>Overdue</x:v>
      </x:c>
    </x:row>
    <x:row r="930">
      <x:c r="A930" s="14" t="str">
        <x:v>CASE-00925</x:v>
      </x:c>
      <x:c r="B930" s="14" t="str">
        <x:v>Customer Services</x:v>
      </x:c>
      <x:c r="C930" s="14" t="str">
        <x:v>Late review</x:v>
      </x:c>
      <x:c r="D930" s="14" t="str">
        <x:v>Medium</x:v>
      </x:c>
      <x:c r="E930" s="15" t="n">
        <x:v>46259.625</x:v>
      </x:c>
      <x:c r="F930" s="15" t="n">
        <x:v>46266.625</x:v>
      </x:c>
      <x:c r="G930" s="15"/>
      <x:c r="H930" s="14" t="n">
        <x:v>1</x:v>
      </x:c>
      <x:c r="I930" s="1" t="n">
        <x:f>IF(AND(E930&lt;Reporting!$B$4,OR(G930="",G930&gt;=Reporting!$B$4)),1,0)</x:f>
        <x:v>1</x:v>
      </x:c>
      <x:c r="J930" s="1" t="n">
        <x:f>IF(AND(I930=1,F930&lt;Reporting!$B$4),1,0)</x:f>
        <x:v>1</x:v>
      </x:c>
      <x:c r="K930" s="1" t="n">
        <x:f>IF(F930&lt;Reporting!$B$4,1,0)</x:f>
        <x:v>1</x:v>
      </x:c>
      <x:c r="L930" s="1" t="n">
        <x:f>IF(AND(K930=1,G930&lt;&gt;"",G930&lt;=F930),1,0)</x:f>
        <x:v>0</x:v>
      </x:c>
      <x:c r="M930" s="1" t="n">
        <x:f>IF(AND(G930&lt;&gt;"",G930&lt;Reporting!$B$4),1,0)</x:f>
        <x:v>0</x:v>
      </x:c>
      <x:c r="N930" s="16" t="str">
        <x:f>IF(M930=1,G930-E930,"")</x:f>
      </x:c>
      <x:c r="O930" s="1" t="str">
        <x:f>IF(E930&gt;=Reporting!$B$4,"Outside cutoff",IF(M930=1,"Closed",IF(J930=1,"Overdue","Open - within SLA")))</x:f>
        <x:v>Overdue</x:v>
      </x:c>
    </x:row>
    <x:row r="931">
      <x:c r="A931" s="14" t="str">
        <x:v>CASE-00926</x:v>
      </x:c>
      <x:c r="B931" s="14" t="str">
        <x:v>Installation</x:v>
      </x:c>
      <x:c r="C931" s="14" t="str">
        <x:v>Late review</x:v>
      </x:c>
      <x:c r="D931" s="14" t="str">
        <x:v>Low</x:v>
      </x:c>
      <x:c r="E931" s="15" t="n">
        <x:v>46214.333333333336</x:v>
      </x:c>
      <x:c r="F931" s="15" t="n">
        <x:v>46228.333333333336</x:v>
      </x:c>
      <x:c r="G931" s="15"/>
      <x:c r="H931" s="14" t="n">
        <x:v>3</x:v>
      </x:c>
      <x:c r="I931" s="1" t="n">
        <x:f>IF(AND(E931&lt;Reporting!$B$4,OR(G931="",G931&gt;=Reporting!$B$4)),1,0)</x:f>
        <x:v>1</x:v>
      </x:c>
      <x:c r="J931" s="1" t="n">
        <x:f>IF(AND(I931=1,F931&lt;Reporting!$B$4),1,0)</x:f>
        <x:v>1</x:v>
      </x:c>
      <x:c r="K931" s="1" t="n">
        <x:f>IF(F931&lt;Reporting!$B$4,1,0)</x:f>
        <x:v>1</x:v>
      </x:c>
      <x:c r="L931" s="1" t="n">
        <x:f>IF(AND(K931=1,G931&lt;&gt;"",G931&lt;=F931),1,0)</x:f>
        <x:v>0</x:v>
      </x:c>
      <x:c r="M931" s="1" t="n">
        <x:f>IF(AND(G931&lt;&gt;"",G931&lt;Reporting!$B$4),1,0)</x:f>
        <x:v>0</x:v>
      </x:c>
      <x:c r="N931" s="16" t="str">
        <x:f>IF(M931=1,G931-E931,"")</x:f>
      </x:c>
      <x:c r="O931" s="1" t="str">
        <x:f>IF(E931&gt;=Reporting!$B$4,"Outside cutoff",IF(M931=1,"Closed",IF(J931=1,"Overdue","Open - within SLA")))</x:f>
        <x:v>Overdue</x:v>
      </x:c>
    </x:row>
    <x:row r="932">
      <x:c r="A932" s="14" t="str">
        <x:v>CASE-00927</x:v>
      </x:c>
      <x:c r="B932" s="14" t="str">
        <x:v>Warehouse</x:v>
      </x:c>
      <x:c r="C932" s="14" t="str">
        <x:v>Record mismatch</x:v>
      </x:c>
      <x:c r="D932" s="14" t="str">
        <x:v>Low</x:v>
      </x:c>
      <x:c r="E932" s="15" t="n">
        <x:v>46226.333333333336</x:v>
      </x:c>
      <x:c r="F932" s="15" t="n">
        <x:v>46240.333333333336</x:v>
      </x:c>
      <x:c r="G932" s="15" t="n">
        <x:v>46239.416666666664</x:v>
      </x:c>
      <x:c r="H932" s="14" t="n">
        <x:v>2</x:v>
      </x:c>
      <x:c r="I932" s="1" t="n">
        <x:f>IF(AND(E932&lt;Reporting!$B$4,OR(G932="",G932&gt;=Reporting!$B$4)),1,0)</x:f>
        <x:v>0</x:v>
      </x:c>
      <x:c r="J932" s="1" t="n">
        <x:f>IF(AND(I932=1,F932&lt;Reporting!$B$4),1,0)</x:f>
        <x:v>0</x:v>
      </x:c>
      <x:c r="K932" s="1" t="n">
        <x:f>IF(F932&lt;Reporting!$B$4,1,0)</x:f>
        <x:v>1</x:v>
      </x:c>
      <x:c r="L932" s="1" t="n">
        <x:f>IF(AND(K932=1,G932&lt;&gt;"",G932&lt;=F932),1,0)</x:f>
        <x:v>1</x:v>
      </x:c>
      <x:c r="M932" s="1" t="n">
        <x:f>IF(AND(G932&lt;&gt;"",G932&lt;Reporting!$B$4),1,0)</x:f>
        <x:v>1</x:v>
      </x:c>
      <x:c r="N932" s="16" t="n">
        <x:f>IF(M932=1,G932-E932,"")</x:f>
        <x:v>13.083333333328483</x:v>
      </x:c>
      <x:c r="O932" s="1" t="str">
        <x:f>IF(E932&gt;=Reporting!$B$4,"Outside cutoff",IF(M932=1,"Closed",IF(J932=1,"Overdue","Open - within SLA")))</x:f>
        <x:v>Closed</x:v>
      </x:c>
    </x:row>
    <x:row r="933">
      <x:c r="A933" s="14" t="str">
        <x:v>CASE-00928</x:v>
      </x:c>
      <x:c r="B933" s="14" t="str">
        <x:v>Customer Services</x:v>
      </x:c>
      <x:c r="C933" s="14" t="str">
        <x:v>Late review</x:v>
      </x:c>
      <x:c r="D933" s="14" t="str">
        <x:v>High</x:v>
      </x:c>
      <x:c r="E933" s="15" t="n">
        <x:v>46251.458333333336</x:v>
      </x:c>
      <x:c r="F933" s="15" t="n">
        <x:v>46254.458333333336</x:v>
      </x:c>
      <x:c r="G933" s="15" t="n">
        <x:v>46261.541666666664</x:v>
      </x:c>
      <x:c r="H933" s="14" t="n">
        <x:v>1</x:v>
      </x:c>
      <x:c r="I933" s="1" t="n">
        <x:f>IF(AND(E933&lt;Reporting!$B$4,OR(G933="",G933&gt;=Reporting!$B$4)),1,0)</x:f>
        <x:v>0</x:v>
      </x:c>
      <x:c r="J933" s="1" t="n">
        <x:f>IF(AND(I933=1,F933&lt;Reporting!$B$4),1,0)</x:f>
        <x:v>0</x:v>
      </x:c>
      <x:c r="K933" s="1" t="n">
        <x:f>IF(F933&lt;Reporting!$B$4,1,0)</x:f>
        <x:v>1</x:v>
      </x:c>
      <x:c r="L933" s="1" t="n">
        <x:f>IF(AND(K933=1,G933&lt;&gt;"",G933&lt;=F933),1,0)</x:f>
        <x:v>0</x:v>
      </x:c>
      <x:c r="M933" s="1" t="n">
        <x:f>IF(AND(G933&lt;&gt;"",G933&lt;Reporting!$B$4),1,0)</x:f>
        <x:v>1</x:v>
      </x:c>
      <x:c r="N933" s="16" t="n">
        <x:f>IF(M933=1,G933-E933,"")</x:f>
        <x:v>10.083333333328483</x:v>
      </x:c>
      <x:c r="O933" s="1" t="str">
        <x:f>IF(E933&gt;=Reporting!$B$4,"Outside cutoff",IF(M933=1,"Closed",IF(J933=1,"Overdue","Open - within SLA")))</x:f>
        <x:v>Closed</x:v>
      </x:c>
    </x:row>
    <x:row r="934">
      <x:c r="A934" s="14" t="str">
        <x:v>CASE-00929</x:v>
      </x:c>
      <x:c r="B934" s="14" t="str">
        <x:v>Installation</x:v>
      </x:c>
      <x:c r="C934" s="14" t="str">
        <x:v>Late review</x:v>
      </x:c>
      <x:c r="D934" s="14" t="str">
        <x:v>Medium</x:v>
      </x:c>
      <x:c r="E934" s="15" t="n">
        <x:v>46236.458333333336</x:v>
      </x:c>
      <x:c r="F934" s="15" t="n">
        <x:v>46243.458333333336</x:v>
      </x:c>
      <x:c r="G934" s="15" t="n">
        <x:v>46245.541666666664</x:v>
      </x:c>
      <x:c r="H934" s="14" t="n">
        <x:v>3</x:v>
      </x:c>
      <x:c r="I934" s="1" t="n">
        <x:f>IF(AND(E934&lt;Reporting!$B$4,OR(G934="",G934&gt;=Reporting!$B$4)),1,0)</x:f>
        <x:v>0</x:v>
      </x:c>
      <x:c r="J934" s="1" t="n">
        <x:f>IF(AND(I934=1,F934&lt;Reporting!$B$4),1,0)</x:f>
        <x:v>0</x:v>
      </x:c>
      <x:c r="K934" s="1" t="n">
        <x:f>IF(F934&lt;Reporting!$B$4,1,0)</x:f>
        <x:v>1</x:v>
      </x:c>
      <x:c r="L934" s="1" t="n">
        <x:f>IF(AND(K934=1,G934&lt;&gt;"",G934&lt;=F934),1,0)</x:f>
        <x:v>0</x:v>
      </x:c>
      <x:c r="M934" s="1" t="n">
        <x:f>IF(AND(G934&lt;&gt;"",G934&lt;Reporting!$B$4),1,0)</x:f>
        <x:v>1</x:v>
      </x:c>
      <x:c r="N934" s="16" t="n">
        <x:f>IF(M934=1,G934-E934,"")</x:f>
        <x:v>9.083333333328483</x:v>
      </x:c>
      <x:c r="O934" s="1" t="str">
        <x:f>IF(E934&gt;=Reporting!$B$4,"Outside cutoff",IF(M934=1,"Closed",IF(J934=1,"Overdue","Open - within SLA")))</x:f>
        <x:v>Closed</x:v>
      </x:c>
    </x:row>
    <x:row r="935">
      <x:c r="A935" s="14" t="str">
        <x:v>CASE-00930</x:v>
      </x:c>
      <x:c r="B935" s="14" t="str">
        <x:v>Warehouse</x:v>
      </x:c>
      <x:c r="C935" s="14" t="str">
        <x:v>Process deviation</x:v>
      </x:c>
      <x:c r="D935" s="14" t="str">
        <x:v>Medium</x:v>
      </x:c>
      <x:c r="E935" s="15" t="n">
        <x:v>46283.375</x:v>
      </x:c>
      <x:c r="F935" s="15" t="n">
        <x:v>46290.375</x:v>
      </x:c>
      <x:c r="G935" s="15"/>
      <x:c r="H935" s="14" t="n">
        <x:v>2</x:v>
      </x:c>
      <x:c r="I935" s="1" t="n">
        <x:f>IF(AND(E935&lt;Reporting!$B$4,OR(G935="",G935&gt;=Reporting!$B$4)),1,0)</x:f>
        <x:v>1</x:v>
      </x:c>
      <x:c r="J935" s="1" t="n">
        <x:f>IF(AND(I935=1,F935&lt;Reporting!$B$4),1,0)</x:f>
        <x:v>0</x:v>
      </x:c>
      <x:c r="K935" s="1" t="n">
        <x:f>IF(F935&lt;Reporting!$B$4,1,0)</x:f>
        <x:v>0</x:v>
      </x:c>
      <x:c r="L935" s="1" t="n">
        <x:f>IF(AND(K935=1,G935&lt;&gt;"",G935&lt;=F935),1,0)</x:f>
        <x:v>0</x:v>
      </x:c>
      <x:c r="M935" s="1" t="n">
        <x:f>IF(AND(G935&lt;&gt;"",G935&lt;Reporting!$B$4),1,0)</x:f>
        <x:v>0</x:v>
      </x:c>
      <x:c r="N935" s="16" t="str">
        <x:f>IF(M935=1,G935-E935,"")</x:f>
      </x:c>
      <x:c r="O935" s="1" t="str">
        <x:f>IF(E935&gt;=Reporting!$B$4,"Outside cutoff",IF(M935=1,"Closed",IF(J935=1,"Overdue","Open - within SLA")))</x:f>
        <x:v>Open - within SLA</x:v>
      </x:c>
    </x:row>
    <x:row r="936">
      <x:c r="A936" s="14" t="str">
        <x:v>CASE-00931</x:v>
      </x:c>
      <x:c r="B936" s="14" t="str">
        <x:v>Installation</x:v>
      </x:c>
      <x:c r="C936" s="14" t="str">
        <x:v>Missing evidence</x:v>
      </x:c>
      <x:c r="D936" s="14" t="str">
        <x:v>Low</x:v>
      </x:c>
      <x:c r="E936" s="15" t="n">
        <x:v>46241.458333333336</x:v>
      </x:c>
      <x:c r="F936" s="15" t="n">
        <x:v>46255.458333333336</x:v>
      </x:c>
      <x:c r="G936" s="15" t="n">
        <x:v>46243.5</x:v>
      </x:c>
      <x:c r="H936" s="14" t="n">
        <x:v>3</x:v>
      </x:c>
      <x:c r="I936" s="1" t="n">
        <x:f>IF(AND(E936&lt;Reporting!$B$4,OR(G936="",G936&gt;=Reporting!$B$4)),1,0)</x:f>
        <x:v>0</x:v>
      </x:c>
      <x:c r="J936" s="1" t="n">
        <x:f>IF(AND(I936=1,F936&lt;Reporting!$B$4),1,0)</x:f>
        <x:v>0</x:v>
      </x:c>
      <x:c r="K936" s="1" t="n">
        <x:f>IF(F936&lt;Reporting!$B$4,1,0)</x:f>
        <x:v>1</x:v>
      </x:c>
      <x:c r="L936" s="1" t="n">
        <x:f>IF(AND(K936=1,G936&lt;&gt;"",G936&lt;=F936),1,0)</x:f>
        <x:v>1</x:v>
      </x:c>
      <x:c r="M936" s="1" t="n">
        <x:f>IF(AND(G936&lt;&gt;"",G936&lt;Reporting!$B$4),1,0)</x:f>
        <x:v>1</x:v>
      </x:c>
      <x:c r="N936" s="16" t="n">
        <x:f>IF(M936=1,G936-E936,"")</x:f>
        <x:v>2.0416666666642413</x:v>
      </x:c>
      <x:c r="O936" s="1" t="str">
        <x:f>IF(E936&gt;=Reporting!$B$4,"Outside cutoff",IF(M936=1,"Closed",IF(J936=1,"Overdue","Open - within SLA")))</x:f>
        <x:v>Closed</x:v>
      </x:c>
    </x:row>
    <x:row r="937">
      <x:c r="A937" s="14" t="str">
        <x:v>CASE-00932</x:v>
      </x:c>
      <x:c r="B937" s="14" t="str">
        <x:v>Installation</x:v>
      </x:c>
      <x:c r="C937" s="14" t="str">
        <x:v>Record mismatch</x:v>
      </x:c>
      <x:c r="D937" s="14" t="str">
        <x:v>Low</x:v>
      </x:c>
      <x:c r="E937" s="15" t="n">
        <x:v>46248.583333333336</x:v>
      </x:c>
      <x:c r="F937" s="15" t="n">
        <x:v>46262.583333333336</x:v>
      </x:c>
      <x:c r="G937" s="15" t="n">
        <x:v>46255.666666666664</x:v>
      </x:c>
      <x:c r="H937" s="14" t="n">
        <x:v>3</x:v>
      </x:c>
      <x:c r="I937" s="1" t="n">
        <x:f>IF(AND(E937&lt;Reporting!$B$4,OR(G937="",G937&gt;=Reporting!$B$4)),1,0)</x:f>
        <x:v>0</x:v>
      </x:c>
      <x:c r="J937" s="1" t="n">
        <x:f>IF(AND(I937=1,F937&lt;Reporting!$B$4),1,0)</x:f>
        <x:v>0</x:v>
      </x:c>
      <x:c r="K937" s="1" t="n">
        <x:f>IF(F937&lt;Reporting!$B$4,1,0)</x:f>
        <x:v>1</x:v>
      </x:c>
      <x:c r="L937" s="1" t="n">
        <x:f>IF(AND(K937=1,G937&lt;&gt;"",G937&lt;=F937),1,0)</x:f>
        <x:v>1</x:v>
      </x:c>
      <x:c r="M937" s="1" t="n">
        <x:f>IF(AND(G937&lt;&gt;"",G937&lt;Reporting!$B$4),1,0)</x:f>
        <x:v>1</x:v>
      </x:c>
      <x:c r="N937" s="16" t="n">
        <x:f>IF(M937=1,G937-E937,"")</x:f>
        <x:v>7.083333333328483</x:v>
      </x:c>
      <x:c r="O937" s="1" t="str">
        <x:f>IF(E937&gt;=Reporting!$B$4,"Outside cutoff",IF(M937=1,"Closed",IF(J937=1,"Overdue","Open - within SLA")))</x:f>
        <x:v>Closed</x:v>
      </x:c>
    </x:row>
    <x:row r="938">
      <x:c r="A938" s="14" t="str">
        <x:v>CASE-00933</x:v>
      </x:c>
      <x:c r="B938" s="14" t="str">
        <x:v>Customer Services</x:v>
      </x:c>
      <x:c r="C938" s="14" t="str">
        <x:v>Missing evidence</x:v>
      </x:c>
      <x:c r="D938" s="14" t="str">
        <x:v>High</x:v>
      </x:c>
      <x:c r="E938" s="15" t="n">
        <x:v>46220.375</x:v>
      </x:c>
      <x:c r="F938" s="15" t="n">
        <x:v>46223.375</x:v>
      </x:c>
      <x:c r="G938" s="15" t="n">
        <x:v>46225.416666666664</x:v>
      </x:c>
      <x:c r="H938" s="14" t="n">
        <x:v>1</x:v>
      </x:c>
      <x:c r="I938" s="1" t="n">
        <x:f>IF(AND(E938&lt;Reporting!$B$4,OR(G938="",G938&gt;=Reporting!$B$4)),1,0)</x:f>
        <x:v>0</x:v>
      </x:c>
      <x:c r="J938" s="1" t="n">
        <x:f>IF(AND(I938=1,F938&lt;Reporting!$B$4),1,0)</x:f>
        <x:v>0</x:v>
      </x:c>
      <x:c r="K938" s="1" t="n">
        <x:f>IF(F938&lt;Reporting!$B$4,1,0)</x:f>
        <x:v>1</x:v>
      </x:c>
      <x:c r="L938" s="1" t="n">
        <x:f>IF(AND(K938=1,G938&lt;&gt;"",G938&lt;=F938),1,0)</x:f>
        <x:v>0</x:v>
      </x:c>
      <x:c r="M938" s="1" t="n">
        <x:f>IF(AND(G938&lt;&gt;"",G938&lt;Reporting!$B$4),1,0)</x:f>
        <x:v>1</x:v>
      </x:c>
      <x:c r="N938" s="16" t="n">
        <x:f>IF(M938=1,G938-E938,"")</x:f>
        <x:v>5.041666666664241</x:v>
      </x:c>
      <x:c r="O938" s="1" t="str">
        <x:f>IF(E938&gt;=Reporting!$B$4,"Outside cutoff",IF(M938=1,"Closed",IF(J938=1,"Overdue","Open - within SLA")))</x:f>
        <x:v>Closed</x:v>
      </x:c>
    </x:row>
    <x:row r="939">
      <x:c r="A939" s="14" t="str">
        <x:v>CASE-00934</x:v>
      </x:c>
      <x:c r="B939" s="14" t="str">
        <x:v>Installation</x:v>
      </x:c>
      <x:c r="C939" s="14" t="str">
        <x:v>Process deviation</x:v>
      </x:c>
      <x:c r="D939" s="14" t="str">
        <x:v>Medium</x:v>
      </x:c>
      <x:c r="E939" s="15" t="n">
        <x:v>46222.416666666664</x:v>
      </x:c>
      <x:c r="F939" s="15" t="n">
        <x:v>46229.416666666664</x:v>
      </x:c>
      <x:c r="G939" s="15" t="n">
        <x:v>46233.416666666664</x:v>
      </x:c>
      <x:c r="H939" s="14" t="n">
        <x:v>3</x:v>
      </x:c>
      <x:c r="I939" s="1" t="n">
        <x:f>IF(AND(E939&lt;Reporting!$B$4,OR(G939="",G939&gt;=Reporting!$B$4)),1,0)</x:f>
        <x:v>0</x:v>
      </x:c>
      <x:c r="J939" s="1" t="n">
        <x:f>IF(AND(I939=1,F939&lt;Reporting!$B$4),1,0)</x:f>
        <x:v>0</x:v>
      </x:c>
      <x:c r="K939" s="1" t="n">
        <x:f>IF(F939&lt;Reporting!$B$4,1,0)</x:f>
        <x:v>1</x:v>
      </x:c>
      <x:c r="L939" s="1" t="n">
        <x:f>IF(AND(K939=1,G939&lt;&gt;"",G939&lt;=F939),1,0)</x:f>
        <x:v>0</x:v>
      </x:c>
      <x:c r="M939" s="1" t="n">
        <x:f>IF(AND(G939&lt;&gt;"",G939&lt;Reporting!$B$4),1,0)</x:f>
        <x:v>1</x:v>
      </x:c>
      <x:c r="N939" s="16" t="n">
        <x:f>IF(M939=1,G939-E939,"")</x:f>
        <x:v>11</x:v>
      </x:c>
      <x:c r="O939" s="1" t="str">
        <x:f>IF(E939&gt;=Reporting!$B$4,"Outside cutoff",IF(M939=1,"Closed",IF(J939=1,"Overdue","Open - within SLA")))</x:f>
        <x:v>Closed</x:v>
      </x:c>
    </x:row>
    <x:row r="940">
      <x:c r="A940" s="14" t="str">
        <x:v>CASE-00935</x:v>
      </x:c>
      <x:c r="B940" s="14" t="str">
        <x:v>Installation</x:v>
      </x:c>
      <x:c r="C940" s="14" t="str">
        <x:v>Missing evidence</x:v>
      </x:c>
      <x:c r="D940" s="14" t="str">
        <x:v>Medium</x:v>
      </x:c>
      <x:c r="E940" s="15" t="n">
        <x:v>46251.666666666664</x:v>
      </x:c>
      <x:c r="F940" s="15" t="n">
        <x:v>46258.666666666664</x:v>
      </x:c>
      <x:c r="G940" s="15" t="n">
        <x:v>46269.666666666664</x:v>
      </x:c>
      <x:c r="H940" s="14" t="n">
        <x:v>3</x:v>
      </x:c>
      <x:c r="I940" s="1" t="n">
        <x:f>IF(AND(E940&lt;Reporting!$B$4,OR(G940="",G940&gt;=Reporting!$B$4)),1,0)</x:f>
        <x:v>0</x:v>
      </x:c>
      <x:c r="J940" s="1" t="n">
        <x:f>IF(AND(I940=1,F940&lt;Reporting!$B$4),1,0)</x:f>
        <x:v>0</x:v>
      </x:c>
      <x:c r="K940" s="1" t="n">
        <x:f>IF(F940&lt;Reporting!$B$4,1,0)</x:f>
        <x:v>1</x:v>
      </x:c>
      <x:c r="L940" s="1" t="n">
        <x:f>IF(AND(K940=1,G940&lt;&gt;"",G940&lt;=F940),1,0)</x:f>
        <x:v>0</x:v>
      </x:c>
      <x:c r="M940" s="1" t="n">
        <x:f>IF(AND(G940&lt;&gt;"",G940&lt;Reporting!$B$4),1,0)</x:f>
        <x:v>1</x:v>
      </x:c>
      <x:c r="N940" s="16" t="n">
        <x:f>IF(M940=1,G940-E940,"")</x:f>
        <x:v>18</x:v>
      </x:c>
      <x:c r="O940" s="1" t="str">
        <x:f>IF(E940&gt;=Reporting!$B$4,"Outside cutoff",IF(M940=1,"Closed",IF(J940=1,"Overdue","Open - within SLA")))</x:f>
        <x:v>Closed</x:v>
      </x:c>
    </x:row>
    <x:row r="941">
      <x:c r="A941" s="14" t="str">
        <x:v>CASE-00936</x:v>
      </x:c>
      <x:c r="B941" s="14" t="str">
        <x:v>Customer Services</x:v>
      </x:c>
      <x:c r="C941" s="14" t="str">
        <x:v>Late review</x:v>
      </x:c>
      <x:c r="D941" s="14" t="str">
        <x:v>Medium</x:v>
      </x:c>
      <x:c r="E941" s="15" t="n">
        <x:v>46237.666666666664</x:v>
      </x:c>
      <x:c r="F941" s="15" t="n">
        <x:v>46244.666666666664</x:v>
      </x:c>
      <x:c r="G941" s="15" t="n">
        <x:v>46253.75</x:v>
      </x:c>
      <x:c r="H941" s="14" t="n">
        <x:v>1</x:v>
      </x:c>
      <x:c r="I941" s="1" t="n">
        <x:f>IF(AND(E941&lt;Reporting!$B$4,OR(G941="",G941&gt;=Reporting!$B$4)),1,0)</x:f>
        <x:v>0</x:v>
      </x:c>
      <x:c r="J941" s="1" t="n">
        <x:f>IF(AND(I941=1,F941&lt;Reporting!$B$4),1,0)</x:f>
        <x:v>0</x:v>
      </x:c>
      <x:c r="K941" s="1" t="n">
        <x:f>IF(F941&lt;Reporting!$B$4,1,0)</x:f>
        <x:v>1</x:v>
      </x:c>
      <x:c r="L941" s="1" t="n">
        <x:f>IF(AND(K941=1,G941&lt;&gt;"",G941&lt;=F941),1,0)</x:f>
        <x:v>0</x:v>
      </x:c>
      <x:c r="M941" s="1" t="n">
        <x:f>IF(AND(G941&lt;&gt;"",G941&lt;Reporting!$B$4),1,0)</x:f>
        <x:v>1</x:v>
      </x:c>
      <x:c r="N941" s="16" t="n">
        <x:f>IF(M941=1,G941-E941,"")</x:f>
        <x:v>16.08333333333576</x:v>
      </x:c>
      <x:c r="O941" s="1" t="str">
        <x:f>IF(E941&gt;=Reporting!$B$4,"Outside cutoff",IF(M941=1,"Closed",IF(J941=1,"Overdue","Open - within SLA")))</x:f>
        <x:v>Closed</x:v>
      </x:c>
    </x:row>
    <x:row r="942">
      <x:c r="A942" s="14" t="str">
        <x:v>CASE-00937</x:v>
      </x:c>
      <x:c r="B942" s="14" t="str">
        <x:v>Customer Services</x:v>
      </x:c>
      <x:c r="C942" s="14" t="str">
        <x:v>Process deviation</x:v>
      </x:c>
      <x:c r="D942" s="14" t="str">
        <x:v>Low</x:v>
      </x:c>
      <x:c r="E942" s="15" t="n">
        <x:v>46248.416666666664</x:v>
      </x:c>
      <x:c r="F942" s="15" t="n">
        <x:v>46262.416666666664</x:v>
      </x:c>
      <x:c r="G942" s="15" t="n">
        <x:v>46256.458333333336</x:v>
      </x:c>
      <x:c r="H942" s="14" t="n">
        <x:v>1</x:v>
      </x:c>
      <x:c r="I942" s="1" t="n">
        <x:f>IF(AND(E942&lt;Reporting!$B$4,OR(G942="",G942&gt;=Reporting!$B$4)),1,0)</x:f>
        <x:v>0</x:v>
      </x:c>
      <x:c r="J942" s="1" t="n">
        <x:f>IF(AND(I942=1,F942&lt;Reporting!$B$4),1,0)</x:f>
        <x:v>0</x:v>
      </x:c>
      <x:c r="K942" s="1" t="n">
        <x:f>IF(F942&lt;Reporting!$B$4,1,0)</x:f>
        <x:v>1</x:v>
      </x:c>
      <x:c r="L942" s="1" t="n">
        <x:f>IF(AND(K942=1,G942&lt;&gt;"",G942&lt;=F942),1,0)</x:f>
        <x:v>1</x:v>
      </x:c>
      <x:c r="M942" s="1" t="n">
        <x:f>IF(AND(G942&lt;&gt;"",G942&lt;Reporting!$B$4),1,0)</x:f>
        <x:v>1</x:v>
      </x:c>
      <x:c r="N942" s="16" t="n">
        <x:f>IF(M942=1,G942-E942,"")</x:f>
        <x:v>8.041666666671517</x:v>
      </x:c>
      <x:c r="O942" s="1" t="str">
        <x:f>IF(E942&gt;=Reporting!$B$4,"Outside cutoff",IF(M942=1,"Closed",IF(J942=1,"Overdue","Open - within SLA")))</x:f>
        <x:v>Closed</x:v>
      </x:c>
    </x:row>
    <x:row r="943">
      <x:c r="A943" s="14" t="str">
        <x:v>CASE-00938</x:v>
      </x:c>
      <x:c r="B943" s="14" t="str">
        <x:v>Customer Services</x:v>
      </x:c>
      <x:c r="C943" s="14" t="str">
        <x:v>Record mismatch</x:v>
      </x:c>
      <x:c r="D943" s="14" t="str">
        <x:v>Medium</x:v>
      </x:c>
      <x:c r="E943" s="15" t="n">
        <x:v>46206.375</x:v>
      </x:c>
      <x:c r="F943" s="15" t="n">
        <x:v>46213.375</x:v>
      </x:c>
      <x:c r="G943" s="15" t="n">
        <x:v>46216.458333333336</x:v>
      </x:c>
      <x:c r="H943" s="14" t="n">
        <x:v>1</x:v>
      </x:c>
      <x:c r="I943" s="1" t="n">
        <x:f>IF(AND(E943&lt;Reporting!$B$4,OR(G943="",G943&gt;=Reporting!$B$4)),1,0)</x:f>
        <x:v>0</x:v>
      </x:c>
      <x:c r="J943" s="1" t="n">
        <x:f>IF(AND(I943=1,F943&lt;Reporting!$B$4),1,0)</x:f>
        <x:v>0</x:v>
      </x:c>
      <x:c r="K943" s="1" t="n">
        <x:f>IF(F943&lt;Reporting!$B$4,1,0)</x:f>
        <x:v>1</x:v>
      </x:c>
      <x:c r="L943" s="1" t="n">
        <x:f>IF(AND(K943=1,G943&lt;&gt;"",G943&lt;=F943),1,0)</x:f>
        <x:v>0</x:v>
      </x:c>
      <x:c r="M943" s="1" t="n">
        <x:f>IF(AND(G943&lt;&gt;"",G943&lt;Reporting!$B$4),1,0)</x:f>
        <x:v>1</x:v>
      </x:c>
      <x:c r="N943" s="16" t="n">
        <x:f>IF(M943=1,G943-E943,"")</x:f>
        <x:v>10.083333333335759</x:v>
      </x:c>
      <x:c r="O943" s="1" t="str">
        <x:f>IF(E943&gt;=Reporting!$B$4,"Outside cutoff",IF(M943=1,"Closed",IF(J943=1,"Overdue","Open - within SLA")))</x:f>
        <x:v>Closed</x:v>
      </x:c>
    </x:row>
    <x:row r="944">
      <x:c r="A944" s="14" t="str">
        <x:v>CASE-00939</x:v>
      </x:c>
      <x:c r="B944" s="14" t="str">
        <x:v>Warehouse</x:v>
      </x:c>
      <x:c r="C944" s="14" t="str">
        <x:v>Late review</x:v>
      </x:c>
      <x:c r="D944" s="14" t="str">
        <x:v>Medium</x:v>
      </x:c>
      <x:c r="E944" s="15" t="n">
        <x:v>46208.375</x:v>
      </x:c>
      <x:c r="F944" s="15" t="n">
        <x:v>46215.375</x:v>
      </x:c>
      <x:c r="G944" s="15" t="n">
        <x:v>46219.458333333336</x:v>
      </x:c>
      <x:c r="H944" s="14" t="n">
        <x:v>2</x:v>
      </x:c>
      <x:c r="I944" s="1" t="n">
        <x:f>IF(AND(E944&lt;Reporting!$B$4,OR(G944="",G944&gt;=Reporting!$B$4)),1,0)</x:f>
        <x:v>0</x:v>
      </x:c>
      <x:c r="J944" s="1" t="n">
        <x:f>IF(AND(I944=1,F944&lt;Reporting!$B$4),1,0)</x:f>
        <x:v>0</x:v>
      </x:c>
      <x:c r="K944" s="1" t="n">
        <x:f>IF(F944&lt;Reporting!$B$4,1,0)</x:f>
        <x:v>1</x:v>
      </x:c>
      <x:c r="L944" s="1" t="n">
        <x:f>IF(AND(K944=1,G944&lt;&gt;"",G944&lt;=F944),1,0)</x:f>
        <x:v>0</x:v>
      </x:c>
      <x:c r="M944" s="1" t="n">
        <x:f>IF(AND(G944&lt;&gt;"",G944&lt;Reporting!$B$4),1,0)</x:f>
        <x:v>1</x:v>
      </x:c>
      <x:c r="N944" s="16" t="n">
        <x:f>IF(M944=1,G944-E944,"")</x:f>
        <x:v>11.083333333335759</x:v>
      </x:c>
      <x:c r="O944" s="1" t="str">
        <x:f>IF(E944&gt;=Reporting!$B$4,"Outside cutoff",IF(M944=1,"Closed",IF(J944=1,"Overdue","Open - within SLA")))</x:f>
        <x:v>Closed</x:v>
      </x:c>
    </x:row>
    <x:row r="945">
      <x:c r="A945" s="14" t="str">
        <x:v>CASE-00940</x:v>
      </x:c>
      <x:c r="B945" s="14" t="str">
        <x:v>Customer Services</x:v>
      </x:c>
      <x:c r="C945" s="14" t="str">
        <x:v>Missing evidence</x:v>
      </x:c>
      <x:c r="D945" s="14" t="str">
        <x:v>Low</x:v>
      </x:c>
      <x:c r="E945" s="15" t="n">
        <x:v>46215.333333333336</x:v>
      </x:c>
      <x:c r="F945" s="15" t="n">
        <x:v>46229.333333333336</x:v>
      </x:c>
      <x:c r="G945" s="15" t="n">
        <x:v>46229.416666666664</x:v>
      </x:c>
      <x:c r="H945" s="14" t="n">
        <x:v>1</x:v>
      </x:c>
      <x:c r="I945" s="1" t="n">
        <x:f>IF(AND(E945&lt;Reporting!$B$4,OR(G945="",G945&gt;=Reporting!$B$4)),1,0)</x:f>
        <x:v>0</x:v>
      </x:c>
      <x:c r="J945" s="1" t="n">
        <x:f>IF(AND(I945=1,F945&lt;Reporting!$B$4),1,0)</x:f>
        <x:v>0</x:v>
      </x:c>
      <x:c r="K945" s="1" t="n">
        <x:f>IF(F945&lt;Reporting!$B$4,1,0)</x:f>
        <x:v>1</x:v>
      </x:c>
      <x:c r="L945" s="1" t="n">
        <x:f>IF(AND(K945=1,G945&lt;&gt;"",G945&lt;=F945),1,0)</x:f>
        <x:v>0</x:v>
      </x:c>
      <x:c r="M945" s="1" t="n">
        <x:f>IF(AND(G945&lt;&gt;"",G945&lt;Reporting!$B$4),1,0)</x:f>
        <x:v>1</x:v>
      </x:c>
      <x:c r="N945" s="16" t="n">
        <x:f>IF(M945=1,G945-E945,"")</x:f>
        <x:v>14.083333333328483</x:v>
      </x:c>
      <x:c r="O945" s="1" t="str">
        <x:f>IF(E945&gt;=Reporting!$B$4,"Outside cutoff",IF(M945=1,"Closed",IF(J945=1,"Overdue","Open - within SLA")))</x:f>
        <x:v>Closed</x:v>
      </x:c>
    </x:row>
    <x:row r="946">
      <x:c r="A946" s="14" t="str">
        <x:v>CASE-00941</x:v>
      </x:c>
      <x:c r="B946" s="14" t="str">
        <x:v>Customer Services</x:v>
      </x:c>
      <x:c r="C946" s="14" t="str">
        <x:v>Missing evidence</x:v>
      </x:c>
      <x:c r="D946" s="14" t="str">
        <x:v>Medium</x:v>
      </x:c>
      <x:c r="E946" s="15" t="n">
        <x:v>46259.625</x:v>
      </x:c>
      <x:c r="F946" s="15" t="n">
        <x:v>46266.625</x:v>
      </x:c>
      <x:c r="G946" s="15" t="n">
        <x:v>46271.666666666664</x:v>
      </x:c>
      <x:c r="H946" s="14" t="n">
        <x:v>1</x:v>
      </x:c>
      <x:c r="I946" s="1" t="n">
        <x:f>IF(AND(E946&lt;Reporting!$B$4,OR(G946="",G946&gt;=Reporting!$B$4)),1,0)</x:f>
        <x:v>0</x:v>
      </x:c>
      <x:c r="J946" s="1" t="n">
        <x:f>IF(AND(I946=1,F946&lt;Reporting!$B$4),1,0)</x:f>
        <x:v>0</x:v>
      </x:c>
      <x:c r="K946" s="1" t="n">
        <x:f>IF(F946&lt;Reporting!$B$4,1,0)</x:f>
        <x:v>1</x:v>
      </x:c>
      <x:c r="L946" s="1" t="n">
        <x:f>IF(AND(K946=1,G946&lt;&gt;"",G946&lt;=F946),1,0)</x:f>
        <x:v>0</x:v>
      </x:c>
      <x:c r="M946" s="1" t="n">
        <x:f>IF(AND(G946&lt;&gt;"",G946&lt;Reporting!$B$4),1,0)</x:f>
        <x:v>1</x:v>
      </x:c>
      <x:c r="N946" s="16" t="n">
        <x:f>IF(M946=1,G946-E946,"")</x:f>
        <x:v>12.041666666664241</x:v>
      </x:c>
      <x:c r="O946" s="1" t="str">
        <x:f>IF(E946&gt;=Reporting!$B$4,"Outside cutoff",IF(M946=1,"Closed",IF(J946=1,"Overdue","Open - within SLA")))</x:f>
        <x:v>Closed</x:v>
      </x:c>
    </x:row>
    <x:row r="947">
      <x:c r="A947" s="14" t="str">
        <x:v>CASE-00942</x:v>
      </x:c>
      <x:c r="B947" s="14" t="str">
        <x:v>Customer Services</x:v>
      </x:c>
      <x:c r="C947" s="14" t="str">
        <x:v>Missing evidence</x:v>
      </x:c>
      <x:c r="D947" s="14" t="str">
        <x:v>High</x:v>
      </x:c>
      <x:c r="E947" s="15" t="n">
        <x:v>46277.416666666664</x:v>
      </x:c>
      <x:c r="F947" s="15" t="n">
        <x:v>46280.416666666664</x:v>
      </x:c>
      <x:c r="G947" s="15" t="n">
        <x:v>46281.5</x:v>
      </x:c>
      <x:c r="H947" s="14" t="n">
        <x:v>1</x:v>
      </x:c>
      <x:c r="I947" s="1" t="n">
        <x:f>IF(AND(E947&lt;Reporting!$B$4,OR(G947="",G947&gt;=Reporting!$B$4)),1,0)</x:f>
        <x:v>0</x:v>
      </x:c>
      <x:c r="J947" s="1" t="n">
        <x:f>IF(AND(I947=1,F947&lt;Reporting!$B$4),1,0)</x:f>
        <x:v>0</x:v>
      </x:c>
      <x:c r="K947" s="1" t="n">
        <x:f>IF(F947&lt;Reporting!$B$4,1,0)</x:f>
        <x:v>1</x:v>
      </x:c>
      <x:c r="L947" s="1" t="n">
        <x:f>IF(AND(K947=1,G947&lt;&gt;"",G947&lt;=F947),1,0)</x:f>
        <x:v>0</x:v>
      </x:c>
      <x:c r="M947" s="1" t="n">
        <x:f>IF(AND(G947&lt;&gt;"",G947&lt;Reporting!$B$4),1,0)</x:f>
        <x:v>1</x:v>
      </x:c>
      <x:c r="N947" s="16" t="n">
        <x:f>IF(M947=1,G947-E947,"")</x:f>
        <x:v>4.083333333335759</x:v>
      </x:c>
      <x:c r="O947" s="1" t="str">
        <x:f>IF(E947&gt;=Reporting!$B$4,"Outside cutoff",IF(M947=1,"Closed",IF(J947=1,"Overdue","Open - within SLA")))</x:f>
        <x:v>Closed</x:v>
      </x:c>
    </x:row>
    <x:row r="948">
      <x:c r="A948" s="14" t="str">
        <x:v>CASE-00943</x:v>
      </x:c>
      <x:c r="B948" s="14" t="str">
        <x:v>Installation</x:v>
      </x:c>
      <x:c r="C948" s="14" t="str">
        <x:v>Process deviation</x:v>
      </x:c>
      <x:c r="D948" s="14" t="str">
        <x:v>Medium</x:v>
      </x:c>
      <x:c r="E948" s="15" t="n">
        <x:v>46261.625</x:v>
      </x:c>
      <x:c r="F948" s="15" t="n">
        <x:v>46268.625</x:v>
      </x:c>
      <x:c r="G948" s="15" t="n">
        <x:v>46275.625</x:v>
      </x:c>
      <x:c r="H948" s="14" t="n">
        <x:v>3</x:v>
      </x:c>
      <x:c r="I948" s="1" t="n">
        <x:f>IF(AND(E948&lt;Reporting!$B$4,OR(G948="",G948&gt;=Reporting!$B$4)),1,0)</x:f>
        <x:v>0</x:v>
      </x:c>
      <x:c r="J948" s="1" t="n">
        <x:f>IF(AND(I948=1,F948&lt;Reporting!$B$4),1,0)</x:f>
        <x:v>0</x:v>
      </x:c>
      <x:c r="K948" s="1" t="n">
        <x:f>IF(F948&lt;Reporting!$B$4,1,0)</x:f>
        <x:v>1</x:v>
      </x:c>
      <x:c r="L948" s="1" t="n">
        <x:f>IF(AND(K948=1,G948&lt;&gt;"",G948&lt;=F948),1,0)</x:f>
        <x:v>0</x:v>
      </x:c>
      <x:c r="M948" s="1" t="n">
        <x:f>IF(AND(G948&lt;&gt;"",G948&lt;Reporting!$B$4),1,0)</x:f>
        <x:v>1</x:v>
      </x:c>
      <x:c r="N948" s="16" t="n">
        <x:f>IF(M948=1,G948-E948,"")</x:f>
        <x:v>14</x:v>
      </x:c>
      <x:c r="O948" s="1" t="str">
        <x:f>IF(E948&gt;=Reporting!$B$4,"Outside cutoff",IF(M948=1,"Closed",IF(J948=1,"Overdue","Open - within SLA")))</x:f>
        <x:v>Closed</x:v>
      </x:c>
    </x:row>
    <x:row r="949">
      <x:c r="A949" s="14" t="str">
        <x:v>CASE-00944</x:v>
      </x:c>
      <x:c r="B949" s="14" t="str">
        <x:v>Installation</x:v>
      </x:c>
      <x:c r="C949" s="14" t="str">
        <x:v>Late review</x:v>
      </x:c>
      <x:c r="D949" s="14" t="str">
        <x:v>Medium</x:v>
      </x:c>
      <x:c r="E949" s="15" t="n">
        <x:v>46268.333333333336</x:v>
      </x:c>
      <x:c r="F949" s="15" t="n">
        <x:v>46275.333333333336</x:v>
      </x:c>
      <x:c r="G949" s="15"/>
      <x:c r="H949" s="14" t="n">
        <x:v>3</x:v>
      </x:c>
      <x:c r="I949" s="1" t="n">
        <x:f>IF(AND(E949&lt;Reporting!$B$4,OR(G949="",G949&gt;=Reporting!$B$4)),1,0)</x:f>
        <x:v>1</x:v>
      </x:c>
      <x:c r="J949" s="1" t="n">
        <x:f>IF(AND(I949=1,F949&lt;Reporting!$B$4),1,0)</x:f>
        <x:v>1</x:v>
      </x:c>
      <x:c r="K949" s="1" t="n">
        <x:f>IF(F949&lt;Reporting!$B$4,1,0)</x:f>
        <x:v>1</x:v>
      </x:c>
      <x:c r="L949" s="1" t="n">
        <x:f>IF(AND(K949=1,G949&lt;&gt;"",G949&lt;=F949),1,0)</x:f>
        <x:v>0</x:v>
      </x:c>
      <x:c r="M949" s="1" t="n">
        <x:f>IF(AND(G949&lt;&gt;"",G949&lt;Reporting!$B$4),1,0)</x:f>
        <x:v>0</x:v>
      </x:c>
      <x:c r="N949" s="16" t="str">
        <x:f>IF(M949=1,G949-E949,"")</x:f>
      </x:c>
      <x:c r="O949" s="1" t="str">
        <x:f>IF(E949&gt;=Reporting!$B$4,"Outside cutoff",IF(M949=1,"Closed",IF(J949=1,"Overdue","Open - within SLA")))</x:f>
        <x:v>Overdue</x:v>
      </x:c>
    </x:row>
    <x:row r="950">
      <x:c r="A950" s="14" t="str">
        <x:v>CASE-00945</x:v>
      </x:c>
      <x:c r="B950" s="14" t="str">
        <x:v>Warehouse</x:v>
      </x:c>
      <x:c r="C950" s="14" t="str">
        <x:v>Record mismatch</x:v>
      </x:c>
      <x:c r="D950" s="14" t="str">
        <x:v>Low</x:v>
      </x:c>
      <x:c r="E950" s="15" t="n">
        <x:v>46243.625</x:v>
      </x:c>
      <x:c r="F950" s="15" t="n">
        <x:v>46257.625</x:v>
      </x:c>
      <x:c r="G950" s="15" t="n">
        <x:v>46246.708333333336</x:v>
      </x:c>
      <x:c r="H950" s="14" t="n">
        <x:v>2</x:v>
      </x:c>
      <x:c r="I950" s="1" t="n">
        <x:f>IF(AND(E950&lt;Reporting!$B$4,OR(G950="",G950&gt;=Reporting!$B$4)),1,0)</x:f>
        <x:v>0</x:v>
      </x:c>
      <x:c r="J950" s="1" t="n">
        <x:f>IF(AND(I950=1,F950&lt;Reporting!$B$4),1,0)</x:f>
        <x:v>0</x:v>
      </x:c>
      <x:c r="K950" s="1" t="n">
        <x:f>IF(F950&lt;Reporting!$B$4,1,0)</x:f>
        <x:v>1</x:v>
      </x:c>
      <x:c r="L950" s="1" t="n">
        <x:f>IF(AND(K950=1,G950&lt;&gt;"",G950&lt;=F950),1,0)</x:f>
        <x:v>1</x:v>
      </x:c>
      <x:c r="M950" s="1" t="n">
        <x:f>IF(AND(G950&lt;&gt;"",G950&lt;Reporting!$B$4),1,0)</x:f>
        <x:v>1</x:v>
      </x:c>
      <x:c r="N950" s="16" t="n">
        <x:f>IF(M950=1,G950-E950,"")</x:f>
        <x:v>3.0833333333357587</x:v>
      </x:c>
      <x:c r="O950" s="1" t="str">
        <x:f>IF(E950&gt;=Reporting!$B$4,"Outside cutoff",IF(M950=1,"Closed",IF(J950=1,"Overdue","Open - within SLA")))</x:f>
        <x:v>Closed</x:v>
      </x:c>
    </x:row>
    <x:row r="951">
      <x:c r="A951" s="14" t="str">
        <x:v>CASE-00946</x:v>
      </x:c>
      <x:c r="B951" s="14" t="str">
        <x:v>Installation</x:v>
      </x:c>
      <x:c r="C951" s="14" t="str">
        <x:v>Missing evidence</x:v>
      </x:c>
      <x:c r="D951" s="14" t="str">
        <x:v>Medium</x:v>
      </x:c>
      <x:c r="E951" s="15" t="n">
        <x:v>46261.375</x:v>
      </x:c>
      <x:c r="F951" s="15" t="n">
        <x:v>46268.375</x:v>
      </x:c>
      <x:c r="G951" s="15" t="n">
        <x:v>46279.458333333336</x:v>
      </x:c>
      <x:c r="H951" s="14" t="n">
        <x:v>3</x:v>
      </x:c>
      <x:c r="I951" s="1" t="n">
        <x:f>IF(AND(E951&lt;Reporting!$B$4,OR(G951="",G951&gt;=Reporting!$B$4)),1,0)</x:f>
        <x:v>0</x:v>
      </x:c>
      <x:c r="J951" s="1" t="n">
        <x:f>IF(AND(I951=1,F951&lt;Reporting!$B$4),1,0)</x:f>
        <x:v>0</x:v>
      </x:c>
      <x:c r="K951" s="1" t="n">
        <x:f>IF(F951&lt;Reporting!$B$4,1,0)</x:f>
        <x:v>1</x:v>
      </x:c>
      <x:c r="L951" s="1" t="n">
        <x:f>IF(AND(K951=1,G951&lt;&gt;"",G951&lt;=F951),1,0)</x:f>
        <x:v>0</x:v>
      </x:c>
      <x:c r="M951" s="1" t="n">
        <x:f>IF(AND(G951&lt;&gt;"",G951&lt;Reporting!$B$4),1,0)</x:f>
        <x:v>1</x:v>
      </x:c>
      <x:c r="N951" s="16" t="n">
        <x:f>IF(M951=1,G951-E951,"")</x:f>
        <x:v>18.08333333333576</x:v>
      </x:c>
      <x:c r="O951" s="1" t="str">
        <x:f>IF(E951&gt;=Reporting!$B$4,"Outside cutoff",IF(M951=1,"Closed",IF(J951=1,"Overdue","Open - within SLA")))</x:f>
        <x:v>Closed</x:v>
      </x:c>
    </x:row>
    <x:row r="952">
      <x:c r="A952" s="14" t="str">
        <x:v>CASE-00947</x:v>
      </x:c>
      <x:c r="B952" s="14" t="str">
        <x:v>Customer Services</x:v>
      </x:c>
      <x:c r="C952" s="14" t="str">
        <x:v>Record mismatch</x:v>
      </x:c>
      <x:c r="D952" s="14" t="str">
        <x:v>Low</x:v>
      </x:c>
      <x:c r="E952" s="15" t="n">
        <x:v>46226.583333333336</x:v>
      </x:c>
      <x:c r="F952" s="15" t="n">
        <x:v>46240.583333333336</x:v>
      </x:c>
      <x:c r="G952" s="15" t="n">
        <x:v>46229.583333333336</x:v>
      </x:c>
      <x:c r="H952" s="14" t="n">
        <x:v>1</x:v>
      </x:c>
      <x:c r="I952" s="1" t="n">
        <x:f>IF(AND(E952&lt;Reporting!$B$4,OR(G952="",G952&gt;=Reporting!$B$4)),1,0)</x:f>
        <x:v>0</x:v>
      </x:c>
      <x:c r="J952" s="1" t="n">
        <x:f>IF(AND(I952=1,F952&lt;Reporting!$B$4),1,0)</x:f>
        <x:v>0</x:v>
      </x:c>
      <x:c r="K952" s="1" t="n">
        <x:f>IF(F952&lt;Reporting!$B$4,1,0)</x:f>
        <x:v>1</x:v>
      </x:c>
      <x:c r="L952" s="1" t="n">
        <x:f>IF(AND(K952=1,G952&lt;&gt;"",G952&lt;=F952),1,0)</x:f>
        <x:v>1</x:v>
      </x:c>
      <x:c r="M952" s="1" t="n">
        <x:f>IF(AND(G952&lt;&gt;"",G952&lt;Reporting!$B$4),1,0)</x:f>
        <x:v>1</x:v>
      </x:c>
      <x:c r="N952" s="16" t="n">
        <x:f>IF(M952=1,G952-E952,"")</x:f>
        <x:v>3</x:v>
      </x:c>
      <x:c r="O952" s="1" t="str">
        <x:f>IF(E952&gt;=Reporting!$B$4,"Outside cutoff",IF(M952=1,"Closed",IF(J952=1,"Overdue","Open - within SLA")))</x:f>
        <x:v>Closed</x:v>
      </x:c>
    </x:row>
    <x:row r="953">
      <x:c r="A953" s="14" t="str">
        <x:v>CASE-00948</x:v>
      </x:c>
      <x:c r="B953" s="14" t="str">
        <x:v>Customer Services</x:v>
      </x:c>
      <x:c r="C953" s="14" t="str">
        <x:v>Missing evidence</x:v>
      </x:c>
      <x:c r="D953" s="14" t="str">
        <x:v>Medium</x:v>
      </x:c>
      <x:c r="E953" s="15" t="n">
        <x:v>46226.583333333336</x:v>
      </x:c>
      <x:c r="F953" s="15" t="n">
        <x:v>46233.583333333336</x:v>
      </x:c>
      <x:c r="G953" s="15" t="n">
        <x:v>46242.666666666664</x:v>
      </x:c>
      <x:c r="H953" s="14" t="n">
        <x:v>1</x:v>
      </x:c>
      <x:c r="I953" s="1" t="n">
        <x:f>IF(AND(E953&lt;Reporting!$B$4,OR(G953="",G953&gt;=Reporting!$B$4)),1,0)</x:f>
        <x:v>0</x:v>
      </x:c>
      <x:c r="J953" s="1" t="n">
        <x:f>IF(AND(I953=1,F953&lt;Reporting!$B$4),1,0)</x:f>
        <x:v>0</x:v>
      </x:c>
      <x:c r="K953" s="1" t="n">
        <x:f>IF(F953&lt;Reporting!$B$4,1,0)</x:f>
        <x:v>1</x:v>
      </x:c>
      <x:c r="L953" s="1" t="n">
        <x:f>IF(AND(K953=1,G953&lt;&gt;"",G953&lt;=F953),1,0)</x:f>
        <x:v>0</x:v>
      </x:c>
      <x:c r="M953" s="1" t="n">
        <x:f>IF(AND(G953&lt;&gt;"",G953&lt;Reporting!$B$4),1,0)</x:f>
        <x:v>1</x:v>
      </x:c>
      <x:c r="N953" s="16" t="n">
        <x:f>IF(M953=1,G953-E953,"")</x:f>
        <x:v>16.083333333328483</x:v>
      </x:c>
      <x:c r="O953" s="1" t="str">
        <x:f>IF(E953&gt;=Reporting!$B$4,"Outside cutoff",IF(M953=1,"Closed",IF(J953=1,"Overdue","Open - within SLA")))</x:f>
        <x:v>Closed</x:v>
      </x:c>
    </x:row>
    <x:row r="954">
      <x:c r="A954" s="14" t="str">
        <x:v>CASE-00949</x:v>
      </x:c>
      <x:c r="B954" s="14" t="str">
        <x:v>Installation</x:v>
      </x:c>
      <x:c r="C954" s="14" t="str">
        <x:v>Late review</x:v>
      </x:c>
      <x:c r="D954" s="14" t="str">
        <x:v>Low</x:v>
      </x:c>
      <x:c r="E954" s="15" t="n">
        <x:v>46239.541666666664</x:v>
      </x:c>
      <x:c r="F954" s="15" t="n">
        <x:v>46253.541666666664</x:v>
      </x:c>
      <x:c r="G954" s="15"/>
      <x:c r="H954" s="14" t="n">
        <x:v>3</x:v>
      </x:c>
      <x:c r="I954" s="1" t="n">
        <x:f>IF(AND(E954&lt;Reporting!$B$4,OR(G954="",G954&gt;=Reporting!$B$4)),1,0)</x:f>
        <x:v>1</x:v>
      </x:c>
      <x:c r="J954" s="1" t="n">
        <x:f>IF(AND(I954=1,F954&lt;Reporting!$B$4),1,0)</x:f>
        <x:v>1</x:v>
      </x:c>
      <x:c r="K954" s="1" t="n">
        <x:f>IF(F954&lt;Reporting!$B$4,1,0)</x:f>
        <x:v>1</x:v>
      </x:c>
      <x:c r="L954" s="1" t="n">
        <x:f>IF(AND(K954=1,G954&lt;&gt;"",G954&lt;=F954),1,0)</x:f>
        <x:v>0</x:v>
      </x:c>
      <x:c r="M954" s="1" t="n">
        <x:f>IF(AND(G954&lt;&gt;"",G954&lt;Reporting!$B$4),1,0)</x:f>
        <x:v>0</x:v>
      </x:c>
      <x:c r="N954" s="16" t="str">
        <x:f>IF(M954=1,G954-E954,"")</x:f>
      </x:c>
      <x:c r="O954" s="1" t="str">
        <x:f>IF(E954&gt;=Reporting!$B$4,"Outside cutoff",IF(M954=1,"Closed",IF(J954=1,"Overdue","Open - within SLA")))</x:f>
        <x:v>Overdue</x:v>
      </x:c>
    </x:row>
    <x:row r="955">
      <x:c r="A955" s="14" t="str">
        <x:v>CASE-00950</x:v>
      </x:c>
      <x:c r="B955" s="14" t="str">
        <x:v>Customer Services</x:v>
      </x:c>
      <x:c r="C955" s="14" t="str">
        <x:v>Missing evidence</x:v>
      </x:c>
      <x:c r="D955" s="14" t="str">
        <x:v>Low</x:v>
      </x:c>
      <x:c r="E955" s="15" t="n">
        <x:v>46252.375</x:v>
      </x:c>
      <x:c r="F955" s="15" t="n">
        <x:v>46266.375</x:v>
      </x:c>
      <x:c r="G955" s="15" t="n">
        <x:v>46254.416666666664</x:v>
      </x:c>
      <x:c r="H955" s="14" t="n">
        <x:v>1</x:v>
      </x:c>
      <x:c r="I955" s="1" t="n">
        <x:f>IF(AND(E955&lt;Reporting!$B$4,OR(G955="",G955&gt;=Reporting!$B$4)),1,0)</x:f>
        <x:v>0</x:v>
      </x:c>
      <x:c r="J955" s="1" t="n">
        <x:f>IF(AND(I955=1,F955&lt;Reporting!$B$4),1,0)</x:f>
        <x:v>0</x:v>
      </x:c>
      <x:c r="K955" s="1" t="n">
        <x:f>IF(F955&lt;Reporting!$B$4,1,0)</x:f>
        <x:v>1</x:v>
      </x:c>
      <x:c r="L955" s="1" t="n">
        <x:f>IF(AND(K955=1,G955&lt;&gt;"",G955&lt;=F955),1,0)</x:f>
        <x:v>1</x:v>
      </x:c>
      <x:c r="M955" s="1" t="n">
        <x:f>IF(AND(G955&lt;&gt;"",G955&lt;Reporting!$B$4),1,0)</x:f>
        <x:v>1</x:v>
      </x:c>
      <x:c r="N955" s="16" t="n">
        <x:f>IF(M955=1,G955-E955,"")</x:f>
        <x:v>2.0416666666642413</x:v>
      </x:c>
      <x:c r="O955" s="1" t="str">
        <x:f>IF(E955&gt;=Reporting!$B$4,"Outside cutoff",IF(M955=1,"Closed",IF(J955=1,"Overdue","Open - within SLA")))</x:f>
        <x:v>Closed</x:v>
      </x:c>
    </x:row>
    <x:row r="956">
      <x:c r="A956" s="14" t="str">
        <x:v>CASE-00951</x:v>
      </x:c>
      <x:c r="B956" s="14" t="str">
        <x:v>Warehouse</x:v>
      </x:c>
      <x:c r="C956" s="14" t="str">
        <x:v>Record mismatch</x:v>
      </x:c>
      <x:c r="D956" s="14" t="str">
        <x:v>High</x:v>
      </x:c>
      <x:c r="E956" s="15" t="n">
        <x:v>46265.333333333336</x:v>
      </x:c>
      <x:c r="F956" s="15" t="n">
        <x:v>46268.333333333336</x:v>
      </x:c>
      <x:c r="G956" s="15"/>
      <x:c r="H956" s="14" t="n">
        <x:v>2</x:v>
      </x:c>
      <x:c r="I956" s="1" t="n">
        <x:f>IF(AND(E956&lt;Reporting!$B$4,OR(G956="",G956&gt;=Reporting!$B$4)),1,0)</x:f>
        <x:v>1</x:v>
      </x:c>
      <x:c r="J956" s="1" t="n">
        <x:f>IF(AND(I956=1,F956&lt;Reporting!$B$4),1,0)</x:f>
        <x:v>1</x:v>
      </x:c>
      <x:c r="K956" s="1" t="n">
        <x:f>IF(F956&lt;Reporting!$B$4,1,0)</x:f>
        <x:v>1</x:v>
      </x:c>
      <x:c r="L956" s="1" t="n">
        <x:f>IF(AND(K956=1,G956&lt;&gt;"",G956&lt;=F956),1,0)</x:f>
        <x:v>0</x:v>
      </x:c>
      <x:c r="M956" s="1" t="n">
        <x:f>IF(AND(G956&lt;&gt;"",G956&lt;Reporting!$B$4),1,0)</x:f>
        <x:v>0</x:v>
      </x:c>
      <x:c r="N956" s="16" t="str">
        <x:f>IF(M956=1,G956-E956,"")</x:f>
      </x:c>
      <x:c r="O956" s="1" t="str">
        <x:f>IF(E956&gt;=Reporting!$B$4,"Outside cutoff",IF(M956=1,"Closed",IF(J956=1,"Overdue","Open - within SLA")))</x:f>
        <x:v>Overdue</x:v>
      </x:c>
    </x:row>
    <x:row r="957">
      <x:c r="A957" s="14" t="str">
        <x:v>CASE-00952</x:v>
      </x:c>
      <x:c r="B957" s="14" t="str">
        <x:v>Installation</x:v>
      </x:c>
      <x:c r="C957" s="14" t="str">
        <x:v>Process deviation</x:v>
      </x:c>
      <x:c r="D957" s="14" t="str">
        <x:v>Medium</x:v>
      </x:c>
      <x:c r="E957" s="15" t="n">
        <x:v>46264.583333333336</x:v>
      </x:c>
      <x:c r="F957" s="15" t="n">
        <x:v>46271.583333333336</x:v>
      </x:c>
      <x:c r="G957" s="15" t="n">
        <x:v>46275.666666666664</x:v>
      </x:c>
      <x:c r="H957" s="14" t="n">
        <x:v>3</x:v>
      </x:c>
      <x:c r="I957" s="1" t="n">
        <x:f>IF(AND(E957&lt;Reporting!$B$4,OR(G957="",G957&gt;=Reporting!$B$4)),1,0)</x:f>
        <x:v>0</x:v>
      </x:c>
      <x:c r="J957" s="1" t="n">
        <x:f>IF(AND(I957=1,F957&lt;Reporting!$B$4),1,0)</x:f>
        <x:v>0</x:v>
      </x:c>
      <x:c r="K957" s="1" t="n">
        <x:f>IF(F957&lt;Reporting!$B$4,1,0)</x:f>
        <x:v>1</x:v>
      </x:c>
      <x:c r="L957" s="1" t="n">
        <x:f>IF(AND(K957=1,G957&lt;&gt;"",G957&lt;=F957),1,0)</x:f>
        <x:v>0</x:v>
      </x:c>
      <x:c r="M957" s="1" t="n">
        <x:f>IF(AND(G957&lt;&gt;"",G957&lt;Reporting!$B$4),1,0)</x:f>
        <x:v>1</x:v>
      </x:c>
      <x:c r="N957" s="16" t="n">
        <x:f>IF(M957=1,G957-E957,"")</x:f>
        <x:v>11.083333333328483</x:v>
      </x:c>
      <x:c r="O957" s="1" t="str">
        <x:f>IF(E957&gt;=Reporting!$B$4,"Outside cutoff",IF(M957=1,"Closed",IF(J957=1,"Overdue","Open - within SLA")))</x:f>
        <x:v>Closed</x:v>
      </x:c>
    </x:row>
    <x:row r="958">
      <x:c r="A958" s="14" t="str">
        <x:v>CASE-00953</x:v>
      </x:c>
      <x:c r="B958" s="14" t="str">
        <x:v>Warehouse</x:v>
      </x:c>
      <x:c r="C958" s="14" t="str">
        <x:v>Process deviation</x:v>
      </x:c>
      <x:c r="D958" s="14" t="str">
        <x:v>Low</x:v>
      </x:c>
      <x:c r="E958" s="15" t="n">
        <x:v>46247.625</x:v>
      </x:c>
      <x:c r="F958" s="15" t="n">
        <x:v>46261.625</x:v>
      </x:c>
      <x:c r="G958" s="15" t="n">
        <x:v>46260.708333333336</x:v>
      </x:c>
      <x:c r="H958" s="14" t="n">
        <x:v>2</x:v>
      </x:c>
      <x:c r="I958" s="1" t="n">
        <x:f>IF(AND(E958&lt;Reporting!$B$4,OR(G958="",G958&gt;=Reporting!$B$4)),1,0)</x:f>
        <x:v>0</x:v>
      </x:c>
      <x:c r="J958" s="1" t="n">
        <x:f>IF(AND(I958=1,F958&lt;Reporting!$B$4),1,0)</x:f>
        <x:v>0</x:v>
      </x:c>
      <x:c r="K958" s="1" t="n">
        <x:f>IF(F958&lt;Reporting!$B$4,1,0)</x:f>
        <x:v>1</x:v>
      </x:c>
      <x:c r="L958" s="1" t="n">
        <x:f>IF(AND(K958=1,G958&lt;&gt;"",G958&lt;=F958),1,0)</x:f>
        <x:v>1</x:v>
      </x:c>
      <x:c r="M958" s="1" t="n">
        <x:f>IF(AND(G958&lt;&gt;"",G958&lt;Reporting!$B$4),1,0)</x:f>
        <x:v>1</x:v>
      </x:c>
      <x:c r="N958" s="16" t="n">
        <x:f>IF(M958=1,G958-E958,"")</x:f>
        <x:v>13.083333333335759</x:v>
      </x:c>
      <x:c r="O958" s="1" t="str">
        <x:f>IF(E958&gt;=Reporting!$B$4,"Outside cutoff",IF(M958=1,"Closed",IF(J958=1,"Overdue","Open - within SLA")))</x:f>
        <x:v>Closed</x:v>
      </x:c>
    </x:row>
    <x:row r="959">
      <x:c r="A959" s="14" t="str">
        <x:v>CASE-00954</x:v>
      </x:c>
      <x:c r="B959" s="14" t="str">
        <x:v>Installation</x:v>
      </x:c>
      <x:c r="C959" s="14" t="str">
        <x:v>Process deviation</x:v>
      </x:c>
      <x:c r="D959" s="14" t="str">
        <x:v>High</x:v>
      </x:c>
      <x:c r="E959" s="15" t="n">
        <x:v>46222.625</x:v>
      </x:c>
      <x:c r="F959" s="15" t="n">
        <x:v>46225.625</x:v>
      </x:c>
      <x:c r="G959" s="15" t="n">
        <x:v>46228.666666666664</x:v>
      </x:c>
      <x:c r="H959" s="14" t="n">
        <x:v>3</x:v>
      </x:c>
      <x:c r="I959" s="1" t="n">
        <x:f>IF(AND(E959&lt;Reporting!$B$4,OR(G959="",G959&gt;=Reporting!$B$4)),1,0)</x:f>
        <x:v>0</x:v>
      </x:c>
      <x:c r="J959" s="1" t="n">
        <x:f>IF(AND(I959=1,F959&lt;Reporting!$B$4),1,0)</x:f>
        <x:v>0</x:v>
      </x:c>
      <x:c r="K959" s="1" t="n">
        <x:f>IF(F959&lt;Reporting!$B$4,1,0)</x:f>
        <x:v>1</x:v>
      </x:c>
      <x:c r="L959" s="1" t="n">
        <x:f>IF(AND(K959=1,G959&lt;&gt;"",G959&lt;=F959),1,0)</x:f>
        <x:v>0</x:v>
      </x:c>
      <x:c r="M959" s="1" t="n">
        <x:f>IF(AND(G959&lt;&gt;"",G959&lt;Reporting!$B$4),1,0)</x:f>
        <x:v>1</x:v>
      </x:c>
      <x:c r="N959" s="16" t="n">
        <x:f>IF(M959=1,G959-E959,"")</x:f>
        <x:v>6.041666666664241</x:v>
      </x:c>
      <x:c r="O959" s="1" t="str">
        <x:f>IF(E959&gt;=Reporting!$B$4,"Outside cutoff",IF(M959=1,"Closed",IF(J959=1,"Overdue","Open - within SLA")))</x:f>
        <x:v>Closed</x:v>
      </x:c>
    </x:row>
    <x:row r="960">
      <x:c r="A960" s="14" t="str">
        <x:v>CASE-00955</x:v>
      </x:c>
      <x:c r="B960" s="14" t="str">
        <x:v>Warehouse</x:v>
      </x:c>
      <x:c r="C960" s="14" t="str">
        <x:v>Process deviation</x:v>
      </x:c>
      <x:c r="D960" s="14" t="str">
        <x:v>Medium</x:v>
      </x:c>
      <x:c r="E960" s="15" t="n">
        <x:v>46241.541666666664</x:v>
      </x:c>
      <x:c r="F960" s="15" t="n">
        <x:v>46248.541666666664</x:v>
      </x:c>
      <x:c r="G960" s="15" t="n">
        <x:v>46257.625</x:v>
      </x:c>
      <x:c r="H960" s="14" t="n">
        <x:v>2</x:v>
      </x:c>
      <x:c r="I960" s="1" t="n">
        <x:f>IF(AND(E960&lt;Reporting!$B$4,OR(G960="",G960&gt;=Reporting!$B$4)),1,0)</x:f>
        <x:v>0</x:v>
      </x:c>
      <x:c r="J960" s="1" t="n">
        <x:f>IF(AND(I960=1,F960&lt;Reporting!$B$4),1,0)</x:f>
        <x:v>0</x:v>
      </x:c>
      <x:c r="K960" s="1" t="n">
        <x:f>IF(F960&lt;Reporting!$B$4,1,0)</x:f>
        <x:v>1</x:v>
      </x:c>
      <x:c r="L960" s="1" t="n">
        <x:f>IF(AND(K960=1,G960&lt;&gt;"",G960&lt;=F960),1,0)</x:f>
        <x:v>0</x:v>
      </x:c>
      <x:c r="M960" s="1" t="n">
        <x:f>IF(AND(G960&lt;&gt;"",G960&lt;Reporting!$B$4),1,0)</x:f>
        <x:v>1</x:v>
      </x:c>
      <x:c r="N960" s="16" t="n">
        <x:f>IF(M960=1,G960-E960,"")</x:f>
        <x:v>16.08333333333576</x:v>
      </x:c>
      <x:c r="O960" s="1" t="str">
        <x:f>IF(E960&gt;=Reporting!$B$4,"Outside cutoff",IF(M960=1,"Closed",IF(J960=1,"Overdue","Open - within SLA")))</x:f>
        <x:v>Closed</x:v>
      </x:c>
    </x:row>
    <x:row r="961">
      <x:c r="A961" s="14" t="str">
        <x:v>CASE-00956</x:v>
      </x:c>
      <x:c r="B961" s="14" t="str">
        <x:v>Warehouse</x:v>
      </x:c>
      <x:c r="C961" s="14" t="str">
        <x:v>Record mismatch</x:v>
      </x:c>
      <x:c r="D961" s="14" t="str">
        <x:v>Medium</x:v>
      </x:c>
      <x:c r="E961" s="15" t="n">
        <x:v>46272.458333333336</x:v>
      </x:c>
      <x:c r="F961" s="15" t="n">
        <x:v>46279.458333333336</x:v>
      </x:c>
      <x:c r="G961" s="15"/>
      <x:c r="H961" s="14" t="n">
        <x:v>2</x:v>
      </x:c>
      <x:c r="I961" s="1" t="n">
        <x:f>IF(AND(E961&lt;Reporting!$B$4,OR(G961="",G961&gt;=Reporting!$B$4)),1,0)</x:f>
        <x:v>1</x:v>
      </x:c>
      <x:c r="J961" s="1" t="n">
        <x:f>IF(AND(I961=1,F961&lt;Reporting!$B$4),1,0)</x:f>
        <x:v>1</x:v>
      </x:c>
      <x:c r="K961" s="1" t="n">
        <x:f>IF(F961&lt;Reporting!$B$4,1,0)</x:f>
        <x:v>1</x:v>
      </x:c>
      <x:c r="L961" s="1" t="n">
        <x:f>IF(AND(K961=1,G961&lt;&gt;"",G961&lt;=F961),1,0)</x:f>
        <x:v>0</x:v>
      </x:c>
      <x:c r="M961" s="1" t="n">
        <x:f>IF(AND(G961&lt;&gt;"",G961&lt;Reporting!$B$4),1,0)</x:f>
        <x:v>0</x:v>
      </x:c>
      <x:c r="N961" s="16" t="str">
        <x:f>IF(M961=1,G961-E961,"")</x:f>
      </x:c>
      <x:c r="O961" s="1" t="str">
        <x:f>IF(E961&gt;=Reporting!$B$4,"Outside cutoff",IF(M961=1,"Closed",IF(J961=1,"Overdue","Open - within SLA")))</x:f>
        <x:v>Overdue</x:v>
      </x:c>
    </x:row>
    <x:row r="962">
      <x:c r="A962" s="14" t="str">
        <x:v>CASE-00957</x:v>
      </x:c>
      <x:c r="B962" s="14" t="str">
        <x:v>Customer Services</x:v>
      </x:c>
      <x:c r="C962" s="14" t="str">
        <x:v>Record mismatch</x:v>
      </x:c>
      <x:c r="D962" s="14" t="str">
        <x:v>Medium</x:v>
      </x:c>
      <x:c r="E962" s="15" t="n">
        <x:v>46217.5</x:v>
      </x:c>
      <x:c r="F962" s="15" t="n">
        <x:v>46224.5</x:v>
      </x:c>
      <x:c r="G962" s="15" t="n">
        <x:v>46219.583333333336</x:v>
      </x:c>
      <x:c r="H962" s="14" t="n">
        <x:v>1</x:v>
      </x:c>
      <x:c r="I962" s="1" t="n">
        <x:f>IF(AND(E962&lt;Reporting!$B$4,OR(G962="",G962&gt;=Reporting!$B$4)),1,0)</x:f>
        <x:v>0</x:v>
      </x:c>
      <x:c r="J962" s="1" t="n">
        <x:f>IF(AND(I962=1,F962&lt;Reporting!$B$4),1,0)</x:f>
        <x:v>0</x:v>
      </x:c>
      <x:c r="K962" s="1" t="n">
        <x:f>IF(F962&lt;Reporting!$B$4,1,0)</x:f>
        <x:v>1</x:v>
      </x:c>
      <x:c r="L962" s="1" t="n">
        <x:f>IF(AND(K962=1,G962&lt;&gt;"",G962&lt;=F962),1,0)</x:f>
        <x:v>1</x:v>
      </x:c>
      <x:c r="M962" s="1" t="n">
        <x:f>IF(AND(G962&lt;&gt;"",G962&lt;Reporting!$B$4),1,0)</x:f>
        <x:v>1</x:v>
      </x:c>
      <x:c r="N962" s="16" t="n">
        <x:f>IF(M962=1,G962-E962,"")</x:f>
        <x:v>2.0833333333357587</x:v>
      </x:c>
      <x:c r="O962" s="1" t="str">
        <x:f>IF(E962&gt;=Reporting!$B$4,"Outside cutoff",IF(M962=1,"Closed",IF(J962=1,"Overdue","Open - within SLA")))</x:f>
        <x:v>Closed</x:v>
      </x:c>
    </x:row>
    <x:row r="963">
      <x:c r="A963" s="14" t="str">
        <x:v>CASE-00958</x:v>
      </x:c>
      <x:c r="B963" s="14" t="str">
        <x:v>Warehouse</x:v>
      </x:c>
      <x:c r="C963" s="14" t="str">
        <x:v>Missing evidence</x:v>
      </x:c>
      <x:c r="D963" s="14" t="str">
        <x:v>High</x:v>
      </x:c>
      <x:c r="E963" s="15" t="n">
        <x:v>46226.666666666664</x:v>
      </x:c>
      <x:c r="F963" s="15" t="n">
        <x:v>46229.666666666664</x:v>
      </x:c>
      <x:c r="G963" s="15"/>
      <x:c r="H963" s="14" t="n">
        <x:v>2</x:v>
      </x:c>
      <x:c r="I963" s="1" t="n">
        <x:f>IF(AND(E963&lt;Reporting!$B$4,OR(G963="",G963&gt;=Reporting!$B$4)),1,0)</x:f>
        <x:v>1</x:v>
      </x:c>
      <x:c r="J963" s="1" t="n">
        <x:f>IF(AND(I963=1,F963&lt;Reporting!$B$4),1,0)</x:f>
        <x:v>1</x:v>
      </x:c>
      <x:c r="K963" s="1" t="n">
        <x:f>IF(F963&lt;Reporting!$B$4,1,0)</x:f>
        <x:v>1</x:v>
      </x:c>
      <x:c r="L963" s="1" t="n">
        <x:f>IF(AND(K963=1,G963&lt;&gt;"",G963&lt;=F963),1,0)</x:f>
        <x:v>0</x:v>
      </x:c>
      <x:c r="M963" s="1" t="n">
        <x:f>IF(AND(G963&lt;&gt;"",G963&lt;Reporting!$B$4),1,0)</x:f>
        <x:v>0</x:v>
      </x:c>
      <x:c r="N963" s="16" t="str">
        <x:f>IF(M963=1,G963-E963,"")</x:f>
      </x:c>
      <x:c r="O963" s="1" t="str">
        <x:f>IF(E963&gt;=Reporting!$B$4,"Outside cutoff",IF(M963=1,"Closed",IF(J963=1,"Overdue","Open - within SLA")))</x:f>
        <x:v>Overdue</x:v>
      </x:c>
    </x:row>
    <x:row r="964">
      <x:c r="A964" s="14" t="str">
        <x:v>CASE-00959</x:v>
      </x:c>
      <x:c r="B964" s="14" t="str">
        <x:v>Customer Services</x:v>
      </x:c>
      <x:c r="C964" s="14" t="str">
        <x:v>Late review</x:v>
      </x:c>
      <x:c r="D964" s="14" t="str">
        <x:v>Low</x:v>
      </x:c>
      <x:c r="E964" s="15" t="n">
        <x:v>46241.5</x:v>
      </x:c>
      <x:c r="F964" s="15" t="n">
        <x:v>46255.5</x:v>
      </x:c>
      <x:c r="G964" s="15" t="n">
        <x:v>46255.5</x:v>
      </x:c>
      <x:c r="H964" s="14" t="n">
        <x:v>1</x:v>
      </x:c>
      <x:c r="I964" s="1" t="n">
        <x:f>IF(AND(E964&lt;Reporting!$B$4,OR(G964="",G964&gt;=Reporting!$B$4)),1,0)</x:f>
        <x:v>0</x:v>
      </x:c>
      <x:c r="J964" s="1" t="n">
        <x:f>IF(AND(I964=1,F964&lt;Reporting!$B$4),1,0)</x:f>
        <x:v>0</x:v>
      </x:c>
      <x:c r="K964" s="1" t="n">
        <x:f>IF(F964&lt;Reporting!$B$4,1,0)</x:f>
        <x:v>1</x:v>
      </x:c>
      <x:c r="L964" s="1" t="n">
        <x:f>IF(AND(K964=1,G964&lt;&gt;"",G964&lt;=F964),1,0)</x:f>
        <x:v>1</x:v>
      </x:c>
      <x:c r="M964" s="1" t="n">
        <x:f>IF(AND(G964&lt;&gt;"",G964&lt;Reporting!$B$4),1,0)</x:f>
        <x:v>1</x:v>
      </x:c>
      <x:c r="N964" s="16" t="n">
        <x:f>IF(M964=1,G964-E964,"")</x:f>
        <x:v>14</x:v>
      </x:c>
      <x:c r="O964" s="1" t="str">
        <x:f>IF(E964&gt;=Reporting!$B$4,"Outside cutoff",IF(M964=1,"Closed",IF(J964=1,"Overdue","Open - within SLA")))</x:f>
        <x:v>Closed</x:v>
      </x:c>
    </x:row>
    <x:row r="965">
      <x:c r="A965" s="14" t="str">
        <x:v>CASE-00960</x:v>
      </x:c>
      <x:c r="B965" s="14" t="str">
        <x:v>Installation</x:v>
      </x:c>
      <x:c r="C965" s="14" t="str">
        <x:v>Record mismatch</x:v>
      </x:c>
      <x:c r="D965" s="14" t="str">
        <x:v>Medium</x:v>
      </x:c>
      <x:c r="E965" s="15" t="n">
        <x:v>46229.583333333336</x:v>
      </x:c>
      <x:c r="F965" s="15" t="n">
        <x:v>46236.583333333336</x:v>
      </x:c>
      <x:c r="G965" s="15" t="n">
        <x:v>46242.666666666664</x:v>
      </x:c>
      <x:c r="H965" s="14" t="n">
        <x:v>3</x:v>
      </x:c>
      <x:c r="I965" s="1" t="n">
        <x:f>IF(AND(E965&lt;Reporting!$B$4,OR(G965="",G965&gt;=Reporting!$B$4)),1,0)</x:f>
        <x:v>0</x:v>
      </x:c>
      <x:c r="J965" s="1" t="n">
        <x:f>IF(AND(I965=1,F965&lt;Reporting!$B$4),1,0)</x:f>
        <x:v>0</x:v>
      </x:c>
      <x:c r="K965" s="1" t="n">
        <x:f>IF(F965&lt;Reporting!$B$4,1,0)</x:f>
        <x:v>1</x:v>
      </x:c>
      <x:c r="L965" s="1" t="n">
        <x:f>IF(AND(K965=1,G965&lt;&gt;"",G965&lt;=F965),1,0)</x:f>
        <x:v>0</x:v>
      </x:c>
      <x:c r="M965" s="1" t="n">
        <x:f>IF(AND(G965&lt;&gt;"",G965&lt;Reporting!$B$4),1,0)</x:f>
        <x:v>1</x:v>
      </x:c>
      <x:c r="N965" s="16" t="n">
        <x:f>IF(M965=1,G965-E965,"")</x:f>
        <x:v>13.083333333328483</x:v>
      </x:c>
      <x:c r="O965" s="1" t="str">
        <x:f>IF(E965&gt;=Reporting!$B$4,"Outside cutoff",IF(M965=1,"Closed",IF(J965=1,"Overdue","Open - within SLA")))</x:f>
        <x:v>Closed</x:v>
      </x:c>
    </x:row>
    <x:row r="966">
      <x:c r="A966" s="14" t="str">
        <x:v>CASE-00961</x:v>
      </x:c>
      <x:c r="B966" s="14" t="str">
        <x:v>Customer Services</x:v>
      </x:c>
      <x:c r="C966" s="14" t="str">
        <x:v>Record mismatch</x:v>
      </x:c>
      <x:c r="D966" s="14" t="str">
        <x:v>Low</x:v>
      </x:c>
      <x:c r="E966" s="15" t="n">
        <x:v>46227.375</x:v>
      </x:c>
      <x:c r="F966" s="15" t="n">
        <x:v>46241.375</x:v>
      </x:c>
      <x:c r="G966" s="15" t="n">
        <x:v>46238.416666666664</x:v>
      </x:c>
      <x:c r="H966" s="14" t="n">
        <x:v>1</x:v>
      </x:c>
      <x:c r="I966" s="1" t="n">
        <x:f>IF(AND(E966&lt;Reporting!$B$4,OR(G966="",G966&gt;=Reporting!$B$4)),1,0)</x:f>
        <x:v>0</x:v>
      </x:c>
      <x:c r="J966" s="1" t="n">
        <x:f>IF(AND(I966=1,F966&lt;Reporting!$B$4),1,0)</x:f>
        <x:v>0</x:v>
      </x:c>
      <x:c r="K966" s="1" t="n">
        <x:f>IF(F966&lt;Reporting!$B$4,1,0)</x:f>
        <x:v>1</x:v>
      </x:c>
      <x:c r="L966" s="1" t="n">
        <x:f>IF(AND(K966=1,G966&lt;&gt;"",G966&lt;=F966),1,0)</x:f>
        <x:v>1</x:v>
      </x:c>
      <x:c r="M966" s="1" t="n">
        <x:f>IF(AND(G966&lt;&gt;"",G966&lt;Reporting!$B$4),1,0)</x:f>
        <x:v>1</x:v>
      </x:c>
      <x:c r="N966" s="16" t="n">
        <x:f>IF(M966=1,G966-E966,"")</x:f>
        <x:v>11.041666666664241</x:v>
      </x:c>
      <x:c r="O966" s="1" t="str">
        <x:f>IF(E966&gt;=Reporting!$B$4,"Outside cutoff",IF(M966=1,"Closed",IF(J966=1,"Overdue","Open - within SLA")))</x:f>
        <x:v>Closed</x:v>
      </x:c>
    </x:row>
    <x:row r="967">
      <x:c r="A967" s="14" t="str">
        <x:v>CASE-00962</x:v>
      </x:c>
      <x:c r="B967" s="14" t="str">
        <x:v>Installation</x:v>
      </x:c>
      <x:c r="C967" s="14" t="str">
        <x:v>Late review</x:v>
      </x:c>
      <x:c r="D967" s="14" t="str">
        <x:v>Medium</x:v>
      </x:c>
      <x:c r="E967" s="15" t="n">
        <x:v>46231.625</x:v>
      </x:c>
      <x:c r="F967" s="15" t="n">
        <x:v>46238.625</x:v>
      </x:c>
      <x:c r="G967" s="15"/>
      <x:c r="H967" s="14" t="n">
        <x:v>3</x:v>
      </x:c>
      <x:c r="I967" s="1" t="n">
        <x:f>IF(AND(E967&lt;Reporting!$B$4,OR(G967="",G967&gt;=Reporting!$B$4)),1,0)</x:f>
        <x:v>1</x:v>
      </x:c>
      <x:c r="J967" s="1" t="n">
        <x:f>IF(AND(I967=1,F967&lt;Reporting!$B$4),1,0)</x:f>
        <x:v>1</x:v>
      </x:c>
      <x:c r="K967" s="1" t="n">
        <x:f>IF(F967&lt;Reporting!$B$4,1,0)</x:f>
        <x:v>1</x:v>
      </x:c>
      <x:c r="L967" s="1" t="n">
        <x:f>IF(AND(K967=1,G967&lt;&gt;"",G967&lt;=F967),1,0)</x:f>
        <x:v>0</x:v>
      </x:c>
      <x:c r="M967" s="1" t="n">
        <x:f>IF(AND(G967&lt;&gt;"",G967&lt;Reporting!$B$4),1,0)</x:f>
        <x:v>0</x:v>
      </x:c>
      <x:c r="N967" s="16" t="str">
        <x:f>IF(M967=1,G967-E967,"")</x:f>
      </x:c>
      <x:c r="O967" s="1" t="str">
        <x:f>IF(E967&gt;=Reporting!$B$4,"Outside cutoff",IF(M967=1,"Closed",IF(J967=1,"Overdue","Open - within SLA")))</x:f>
        <x:v>Overdue</x:v>
      </x:c>
    </x:row>
    <x:row r="968">
      <x:c r="A968" s="14" t="str">
        <x:v>CASE-00963</x:v>
      </x:c>
      <x:c r="B968" s="14" t="str">
        <x:v>Installation</x:v>
      </x:c>
      <x:c r="C968" s="14" t="str">
        <x:v>Late review</x:v>
      </x:c>
      <x:c r="D968" s="14" t="str">
        <x:v>Medium</x:v>
      </x:c>
      <x:c r="E968" s="15" t="n">
        <x:v>46227.541666666664</x:v>
      </x:c>
      <x:c r="F968" s="15" t="n">
        <x:v>46234.541666666664</x:v>
      </x:c>
      <x:c r="G968" s="15" t="n">
        <x:v>46243.583333333336</x:v>
      </x:c>
      <x:c r="H968" s="14" t="n">
        <x:v>3</x:v>
      </x:c>
      <x:c r="I968" s="1" t="n">
        <x:f>IF(AND(E968&lt;Reporting!$B$4,OR(G968="",G968&gt;=Reporting!$B$4)),1,0)</x:f>
        <x:v>0</x:v>
      </x:c>
      <x:c r="J968" s="1" t="n">
        <x:f>IF(AND(I968=1,F968&lt;Reporting!$B$4),1,0)</x:f>
        <x:v>0</x:v>
      </x:c>
      <x:c r="K968" s="1" t="n">
        <x:f>IF(F968&lt;Reporting!$B$4,1,0)</x:f>
        <x:v>1</x:v>
      </x:c>
      <x:c r="L968" s="1" t="n">
        <x:f>IF(AND(K968=1,G968&lt;&gt;"",G968&lt;=F968),1,0)</x:f>
        <x:v>0</x:v>
      </x:c>
      <x:c r="M968" s="1" t="n">
        <x:f>IF(AND(G968&lt;&gt;"",G968&lt;Reporting!$B$4),1,0)</x:f>
        <x:v>1</x:v>
      </x:c>
      <x:c r="N968" s="16" t="n">
        <x:f>IF(M968=1,G968-E968,"")</x:f>
        <x:v>16.041666666671517</x:v>
      </x:c>
      <x:c r="O968" s="1" t="str">
        <x:f>IF(E968&gt;=Reporting!$B$4,"Outside cutoff",IF(M968=1,"Closed",IF(J968=1,"Overdue","Open - within SLA")))</x:f>
        <x:v>Closed</x:v>
      </x:c>
    </x:row>
    <x:row r="969">
      <x:c r="A969" s="14" t="str">
        <x:v>CASE-00964</x:v>
      </x:c>
      <x:c r="B969" s="14" t="str">
        <x:v>Warehouse</x:v>
      </x:c>
      <x:c r="C969" s="14" t="str">
        <x:v>Late review</x:v>
      </x:c>
      <x:c r="D969" s="14" t="str">
        <x:v>Medium</x:v>
      </x:c>
      <x:c r="E969" s="15" t="n">
        <x:v>46221.416666666664</x:v>
      </x:c>
      <x:c r="F969" s="15" t="n">
        <x:v>46228.416666666664</x:v>
      </x:c>
      <x:c r="G969" s="15" t="n">
        <x:v>46235.458333333336</x:v>
      </x:c>
      <x:c r="H969" s="14" t="n">
        <x:v>2</x:v>
      </x:c>
      <x:c r="I969" s="1" t="n">
        <x:f>IF(AND(E969&lt;Reporting!$B$4,OR(G969="",G969&gt;=Reporting!$B$4)),1,0)</x:f>
        <x:v>0</x:v>
      </x:c>
      <x:c r="J969" s="1" t="n">
        <x:f>IF(AND(I969=1,F969&lt;Reporting!$B$4),1,0)</x:f>
        <x:v>0</x:v>
      </x:c>
      <x:c r="K969" s="1" t="n">
        <x:f>IF(F969&lt;Reporting!$B$4,1,0)</x:f>
        <x:v>1</x:v>
      </x:c>
      <x:c r="L969" s="1" t="n">
        <x:f>IF(AND(K969=1,G969&lt;&gt;"",G969&lt;=F969),1,0)</x:f>
        <x:v>0</x:v>
      </x:c>
      <x:c r="M969" s="1" t="n">
        <x:f>IF(AND(G969&lt;&gt;"",G969&lt;Reporting!$B$4),1,0)</x:f>
        <x:v>1</x:v>
      </x:c>
      <x:c r="N969" s="16" t="n">
        <x:f>IF(M969=1,G969-E969,"")</x:f>
        <x:v>14.041666666671517</x:v>
      </x:c>
      <x:c r="O969" s="1" t="str">
        <x:f>IF(E969&gt;=Reporting!$B$4,"Outside cutoff",IF(M969=1,"Closed",IF(J969=1,"Overdue","Open - within SLA")))</x:f>
        <x:v>Closed</x:v>
      </x:c>
    </x:row>
    <x:row r="970">
      <x:c r="A970" s="14" t="str">
        <x:v>CASE-00965</x:v>
      </x:c>
      <x:c r="B970" s="14" t="str">
        <x:v>Warehouse</x:v>
      </x:c>
      <x:c r="C970" s="14" t="str">
        <x:v>Record mismatch</x:v>
      </x:c>
      <x:c r="D970" s="14" t="str">
        <x:v>High</x:v>
      </x:c>
      <x:c r="E970" s="15" t="n">
        <x:v>46226.541666666664</x:v>
      </x:c>
      <x:c r="F970" s="15" t="n">
        <x:v>46229.541666666664</x:v>
      </x:c>
      <x:c r="G970" s="15"/>
      <x:c r="H970" s="14" t="n">
        <x:v>2</x:v>
      </x:c>
      <x:c r="I970" s="1" t="n">
        <x:f>IF(AND(E970&lt;Reporting!$B$4,OR(G970="",G970&gt;=Reporting!$B$4)),1,0)</x:f>
        <x:v>1</x:v>
      </x:c>
      <x:c r="J970" s="1" t="n">
        <x:f>IF(AND(I970=1,F970&lt;Reporting!$B$4),1,0)</x:f>
        <x:v>1</x:v>
      </x:c>
      <x:c r="K970" s="1" t="n">
        <x:f>IF(F970&lt;Reporting!$B$4,1,0)</x:f>
        <x:v>1</x:v>
      </x:c>
      <x:c r="L970" s="1" t="n">
        <x:f>IF(AND(K970=1,G970&lt;&gt;"",G970&lt;=F970),1,0)</x:f>
        <x:v>0</x:v>
      </x:c>
      <x:c r="M970" s="1" t="n">
        <x:f>IF(AND(G970&lt;&gt;"",G970&lt;Reporting!$B$4),1,0)</x:f>
        <x:v>0</x:v>
      </x:c>
      <x:c r="N970" s="16" t="str">
        <x:f>IF(M970=1,G970-E970,"")</x:f>
      </x:c>
      <x:c r="O970" s="1" t="str">
        <x:f>IF(E970&gt;=Reporting!$B$4,"Outside cutoff",IF(M970=1,"Closed",IF(J970=1,"Overdue","Open - within SLA")))</x:f>
        <x:v>Overdue</x:v>
      </x:c>
    </x:row>
    <x:row r="971">
      <x:c r="A971" s="14" t="str">
        <x:v>CASE-00966</x:v>
      </x:c>
      <x:c r="B971" s="14" t="str">
        <x:v>Customer Services</x:v>
      </x:c>
      <x:c r="C971" s="14" t="str">
        <x:v>Process deviation</x:v>
      </x:c>
      <x:c r="D971" s="14" t="str">
        <x:v>Medium</x:v>
      </x:c>
      <x:c r="E971" s="15" t="n">
        <x:v>46259.5</x:v>
      </x:c>
      <x:c r="F971" s="15" t="n">
        <x:v>46266.5</x:v>
      </x:c>
      <x:c r="G971" s="15" t="n">
        <x:v>46261.541666666664</x:v>
      </x:c>
      <x:c r="H971" s="14" t="n">
        <x:v>1</x:v>
      </x:c>
      <x:c r="I971" s="1" t="n">
        <x:f>IF(AND(E971&lt;Reporting!$B$4,OR(G971="",G971&gt;=Reporting!$B$4)),1,0)</x:f>
        <x:v>0</x:v>
      </x:c>
      <x:c r="J971" s="1" t="n">
        <x:f>IF(AND(I971=1,F971&lt;Reporting!$B$4),1,0)</x:f>
        <x:v>0</x:v>
      </x:c>
      <x:c r="K971" s="1" t="n">
        <x:f>IF(F971&lt;Reporting!$B$4,1,0)</x:f>
        <x:v>1</x:v>
      </x:c>
      <x:c r="L971" s="1" t="n">
        <x:f>IF(AND(K971=1,G971&lt;&gt;"",G971&lt;=F971),1,0)</x:f>
        <x:v>1</x:v>
      </x:c>
      <x:c r="M971" s="1" t="n">
        <x:f>IF(AND(G971&lt;&gt;"",G971&lt;Reporting!$B$4),1,0)</x:f>
        <x:v>1</x:v>
      </x:c>
      <x:c r="N971" s="16" t="n">
        <x:f>IF(M971=1,G971-E971,"")</x:f>
        <x:v>2.0416666666642413</x:v>
      </x:c>
      <x:c r="O971" s="1" t="str">
        <x:f>IF(E971&gt;=Reporting!$B$4,"Outside cutoff",IF(M971=1,"Closed",IF(J971=1,"Overdue","Open - within SLA")))</x:f>
        <x:v>Closed</x:v>
      </x:c>
    </x:row>
    <x:row r="972">
      <x:c r="A972" s="14" t="str">
        <x:v>CASE-00967</x:v>
      </x:c>
      <x:c r="B972" s="14" t="str">
        <x:v>Warehouse</x:v>
      </x:c>
      <x:c r="C972" s="14" t="str">
        <x:v>Missing evidence</x:v>
      </x:c>
      <x:c r="D972" s="14" t="str">
        <x:v>Medium</x:v>
      </x:c>
      <x:c r="E972" s="15" t="n">
        <x:v>46269.541666666664</x:v>
      </x:c>
      <x:c r="F972" s="15" t="n">
        <x:v>46276.541666666664</x:v>
      </x:c>
      <x:c r="G972" s="15"/>
      <x:c r="H972" s="14" t="n">
        <x:v>2</x:v>
      </x:c>
      <x:c r="I972" s="1" t="n">
        <x:f>IF(AND(E972&lt;Reporting!$B$4,OR(G972="",G972&gt;=Reporting!$B$4)),1,0)</x:f>
        <x:v>1</x:v>
      </x:c>
      <x:c r="J972" s="1" t="n">
        <x:f>IF(AND(I972=1,F972&lt;Reporting!$B$4),1,0)</x:f>
        <x:v>1</x:v>
      </x:c>
      <x:c r="K972" s="1" t="n">
        <x:f>IF(F972&lt;Reporting!$B$4,1,0)</x:f>
        <x:v>1</x:v>
      </x:c>
      <x:c r="L972" s="1" t="n">
        <x:f>IF(AND(K972=1,G972&lt;&gt;"",G972&lt;=F972),1,0)</x:f>
        <x:v>0</x:v>
      </x:c>
      <x:c r="M972" s="1" t="n">
        <x:f>IF(AND(G972&lt;&gt;"",G972&lt;Reporting!$B$4),1,0)</x:f>
        <x:v>0</x:v>
      </x:c>
      <x:c r="N972" s="16" t="str">
        <x:f>IF(M972=1,G972-E972,"")</x:f>
      </x:c>
      <x:c r="O972" s="1" t="str">
        <x:f>IF(E972&gt;=Reporting!$B$4,"Outside cutoff",IF(M972=1,"Closed",IF(J972=1,"Overdue","Open - within SLA")))</x:f>
        <x:v>Overdue</x:v>
      </x:c>
    </x:row>
    <x:row r="973">
      <x:c r="A973" s="14" t="str">
        <x:v>CASE-00968</x:v>
      </x:c>
      <x:c r="B973" s="14" t="str">
        <x:v>Customer Services</x:v>
      </x:c>
      <x:c r="C973" s="14" t="str">
        <x:v>Process deviation</x:v>
      </x:c>
      <x:c r="D973" s="14" t="str">
        <x:v>High</x:v>
      </x:c>
      <x:c r="E973" s="15" t="n">
        <x:v>46203.583333333336</x:v>
      </x:c>
      <x:c r="F973" s="15" t="n">
        <x:v>46206.583333333336</x:v>
      </x:c>
      <x:c r="G973" s="15" t="n">
        <x:v>46211.583333333336</x:v>
      </x:c>
      <x:c r="H973" s="14" t="n">
        <x:v>1</x:v>
      </x:c>
      <x:c r="I973" s="1" t="n">
        <x:f>IF(AND(E973&lt;Reporting!$B$4,OR(G973="",G973&gt;=Reporting!$B$4)),1,0)</x:f>
        <x:v>0</x:v>
      </x:c>
      <x:c r="J973" s="1" t="n">
        <x:f>IF(AND(I973=1,F973&lt;Reporting!$B$4),1,0)</x:f>
        <x:v>0</x:v>
      </x:c>
      <x:c r="K973" s="1" t="n">
        <x:f>IF(F973&lt;Reporting!$B$4,1,0)</x:f>
        <x:v>1</x:v>
      </x:c>
      <x:c r="L973" s="1" t="n">
        <x:f>IF(AND(K973=1,G973&lt;&gt;"",G973&lt;=F973),1,0)</x:f>
        <x:v>0</x:v>
      </x:c>
      <x:c r="M973" s="1" t="n">
        <x:f>IF(AND(G973&lt;&gt;"",G973&lt;Reporting!$B$4),1,0)</x:f>
        <x:v>1</x:v>
      </x:c>
      <x:c r="N973" s="16" t="n">
        <x:f>IF(M973=1,G973-E973,"")</x:f>
        <x:v>8</x:v>
      </x:c>
      <x:c r="O973" s="1" t="str">
        <x:f>IF(E973&gt;=Reporting!$B$4,"Outside cutoff",IF(M973=1,"Closed",IF(J973=1,"Overdue","Open - within SLA")))</x:f>
        <x:v>Closed</x:v>
      </x:c>
    </x:row>
    <x:row r="974">
      <x:c r="A974" s="14" t="str">
        <x:v>CASE-00969</x:v>
      </x:c>
      <x:c r="B974" s="14" t="str">
        <x:v>Customer Services</x:v>
      </x:c>
      <x:c r="C974" s="14" t="str">
        <x:v>Late review</x:v>
      </x:c>
      <x:c r="D974" s="14" t="str">
        <x:v>Medium</x:v>
      </x:c>
      <x:c r="E974" s="15" t="n">
        <x:v>46222.458333333336</x:v>
      </x:c>
      <x:c r="F974" s="15" t="n">
        <x:v>46229.458333333336</x:v>
      </x:c>
      <x:c r="G974" s="15" t="n">
        <x:v>46235.5</x:v>
      </x:c>
      <x:c r="H974" s="14" t="n">
        <x:v>1</x:v>
      </x:c>
      <x:c r="I974" s="1" t="n">
        <x:f>IF(AND(E974&lt;Reporting!$B$4,OR(G974="",G974&gt;=Reporting!$B$4)),1,0)</x:f>
        <x:v>0</x:v>
      </x:c>
      <x:c r="J974" s="1" t="n">
        <x:f>IF(AND(I974=1,F974&lt;Reporting!$B$4),1,0)</x:f>
        <x:v>0</x:v>
      </x:c>
      <x:c r="K974" s="1" t="n">
        <x:f>IF(F974&lt;Reporting!$B$4,1,0)</x:f>
        <x:v>1</x:v>
      </x:c>
      <x:c r="L974" s="1" t="n">
        <x:f>IF(AND(K974=1,G974&lt;&gt;"",G974&lt;=F974),1,0)</x:f>
        <x:v>0</x:v>
      </x:c>
      <x:c r="M974" s="1" t="n">
        <x:f>IF(AND(G974&lt;&gt;"",G974&lt;Reporting!$B$4),1,0)</x:f>
        <x:v>1</x:v>
      </x:c>
      <x:c r="N974" s="16" t="n">
        <x:f>IF(M974=1,G974-E974,"")</x:f>
        <x:v>13.041666666664241</x:v>
      </x:c>
      <x:c r="O974" s="1" t="str">
        <x:f>IF(E974&gt;=Reporting!$B$4,"Outside cutoff",IF(M974=1,"Closed",IF(J974=1,"Overdue","Open - within SLA")))</x:f>
        <x:v>Closed</x:v>
      </x:c>
    </x:row>
    <x:row r="975">
      <x:c r="A975" s="14" t="str">
        <x:v>CASE-00970</x:v>
      </x:c>
      <x:c r="B975" s="14" t="str">
        <x:v>Installation</x:v>
      </x:c>
      <x:c r="C975" s="14" t="str">
        <x:v>Process deviation</x:v>
      </x:c>
      <x:c r="D975" s="14" t="str">
        <x:v>Medium</x:v>
      </x:c>
      <x:c r="E975" s="15" t="n">
        <x:v>46204.625</x:v>
      </x:c>
      <x:c r="F975" s="15" t="n">
        <x:v>46211.625</x:v>
      </x:c>
      <x:c r="G975" s="15" t="n">
        <x:v>46220.708333333336</x:v>
      </x:c>
      <x:c r="H975" s="14" t="n">
        <x:v>3</x:v>
      </x:c>
      <x:c r="I975" s="1" t="n">
        <x:f>IF(AND(E975&lt;Reporting!$B$4,OR(G975="",G975&gt;=Reporting!$B$4)),1,0)</x:f>
        <x:v>0</x:v>
      </x:c>
      <x:c r="J975" s="1" t="n">
        <x:f>IF(AND(I975=1,F975&lt;Reporting!$B$4),1,0)</x:f>
        <x:v>0</x:v>
      </x:c>
      <x:c r="K975" s="1" t="n">
        <x:f>IF(F975&lt;Reporting!$B$4,1,0)</x:f>
        <x:v>1</x:v>
      </x:c>
      <x:c r="L975" s="1" t="n">
        <x:f>IF(AND(K975=1,G975&lt;&gt;"",G975&lt;=F975),1,0)</x:f>
        <x:v>0</x:v>
      </x:c>
      <x:c r="M975" s="1" t="n">
        <x:f>IF(AND(G975&lt;&gt;"",G975&lt;Reporting!$B$4),1,0)</x:f>
        <x:v>1</x:v>
      </x:c>
      <x:c r="N975" s="16" t="n">
        <x:f>IF(M975=1,G975-E975,"")</x:f>
        <x:v>16.08333333333576</x:v>
      </x:c>
      <x:c r="O975" s="1" t="str">
        <x:f>IF(E975&gt;=Reporting!$B$4,"Outside cutoff",IF(M975=1,"Closed",IF(J975=1,"Overdue","Open - within SLA")))</x:f>
        <x:v>Closed</x:v>
      </x:c>
    </x:row>
    <x:row r="976">
      <x:c r="A976" s="14" t="str">
        <x:v>CASE-00971</x:v>
      </x:c>
      <x:c r="B976" s="14" t="str">
        <x:v>Installation</x:v>
      </x:c>
      <x:c r="C976" s="14" t="str">
        <x:v>Missing evidence</x:v>
      </x:c>
      <x:c r="D976" s="14" t="str">
        <x:v>High</x:v>
      </x:c>
      <x:c r="E976" s="15" t="n">
        <x:v>46284.375</x:v>
      </x:c>
      <x:c r="F976" s="15" t="n">
        <x:v>46287.375</x:v>
      </x:c>
      <x:c r="G976" s="15"/>
      <x:c r="H976" s="14" t="n">
        <x:v>3</x:v>
      </x:c>
      <x:c r="I976" s="1" t="n">
        <x:f>IF(AND(E976&lt;Reporting!$B$4,OR(G976="",G976&gt;=Reporting!$B$4)),1,0)</x:f>
        <x:v>1</x:v>
      </x:c>
      <x:c r="J976" s="1" t="n">
        <x:f>IF(AND(I976=1,F976&lt;Reporting!$B$4),1,0)</x:f>
        <x:v>0</x:v>
      </x:c>
      <x:c r="K976" s="1" t="n">
        <x:f>IF(F976&lt;Reporting!$B$4,1,0)</x:f>
        <x:v>0</x:v>
      </x:c>
      <x:c r="L976" s="1" t="n">
        <x:f>IF(AND(K976=1,G976&lt;&gt;"",G976&lt;=F976),1,0)</x:f>
        <x:v>0</x:v>
      </x:c>
      <x:c r="M976" s="1" t="n">
        <x:f>IF(AND(G976&lt;&gt;"",G976&lt;Reporting!$B$4),1,0)</x:f>
        <x:v>0</x:v>
      </x:c>
      <x:c r="N976" s="16" t="str">
        <x:f>IF(M976=1,G976-E976,"")</x:f>
      </x:c>
      <x:c r="O976" s="1" t="str">
        <x:f>IF(E976&gt;=Reporting!$B$4,"Outside cutoff",IF(M976=1,"Closed",IF(J976=1,"Overdue","Open - within SLA")))</x:f>
        <x:v>Open - within SLA</x:v>
      </x:c>
    </x:row>
    <x:row r="977">
      <x:c r="A977" s="14" t="str">
        <x:v>CASE-00972</x:v>
      </x:c>
      <x:c r="B977" s="14" t="str">
        <x:v>Customer Services</x:v>
      </x:c>
      <x:c r="C977" s="14" t="str">
        <x:v>Late review</x:v>
      </x:c>
      <x:c r="D977" s="14" t="str">
        <x:v>Medium</x:v>
      </x:c>
      <x:c r="E977" s="15" t="n">
        <x:v>46269.375</x:v>
      </x:c>
      <x:c r="F977" s="15" t="n">
        <x:v>46276.375</x:v>
      </x:c>
      <x:c r="G977" s="15" t="n">
        <x:v>46285.375</x:v>
      </x:c>
      <x:c r="H977" s="14" t="n">
        <x:v>1</x:v>
      </x:c>
      <x:c r="I977" s="1" t="n">
        <x:f>IF(AND(E977&lt;Reporting!$B$4,OR(G977="",G977&gt;=Reporting!$B$4)),1,0)</x:f>
        <x:v>0</x:v>
      </x:c>
      <x:c r="J977" s="1" t="n">
        <x:f>IF(AND(I977=1,F977&lt;Reporting!$B$4),1,0)</x:f>
        <x:v>0</x:v>
      </x:c>
      <x:c r="K977" s="1" t="n">
        <x:f>IF(F977&lt;Reporting!$B$4,1,0)</x:f>
        <x:v>1</x:v>
      </x:c>
      <x:c r="L977" s="1" t="n">
        <x:f>IF(AND(K977=1,G977&lt;&gt;"",G977&lt;=F977),1,0)</x:f>
        <x:v>0</x:v>
      </x:c>
      <x:c r="M977" s="1" t="n">
        <x:f>IF(AND(G977&lt;&gt;"",G977&lt;Reporting!$B$4),1,0)</x:f>
        <x:v>1</x:v>
      </x:c>
      <x:c r="N977" s="16" t="n">
        <x:f>IF(M977=1,G977-E977,"")</x:f>
        <x:v>16</x:v>
      </x:c>
      <x:c r="O977" s="1" t="str">
        <x:f>IF(E977&gt;=Reporting!$B$4,"Outside cutoff",IF(M977=1,"Closed",IF(J977=1,"Overdue","Open - within SLA")))</x:f>
        <x:v>Closed</x:v>
      </x:c>
    </x:row>
    <x:row r="978">
      <x:c r="A978" s="14" t="str">
        <x:v>CASE-00973</x:v>
      </x:c>
      <x:c r="B978" s="14" t="str">
        <x:v>Customer Services</x:v>
      </x:c>
      <x:c r="C978" s="14" t="str">
        <x:v>Missing evidence</x:v>
      </x:c>
      <x:c r="D978" s="14" t="str">
        <x:v>High</x:v>
      </x:c>
      <x:c r="E978" s="15" t="n">
        <x:v>46274.416666666664</x:v>
      </x:c>
      <x:c r="F978" s="15" t="n">
        <x:v>46277.416666666664</x:v>
      </x:c>
      <x:c r="G978" s="15"/>
      <x:c r="H978" s="14" t="n">
        <x:v>1</x:v>
      </x:c>
      <x:c r="I978" s="1" t="n">
        <x:f>IF(AND(E978&lt;Reporting!$B$4,OR(G978="",G978&gt;=Reporting!$B$4)),1,0)</x:f>
        <x:v>1</x:v>
      </x:c>
      <x:c r="J978" s="1" t="n">
        <x:f>IF(AND(I978=1,F978&lt;Reporting!$B$4),1,0)</x:f>
        <x:v>1</x:v>
      </x:c>
      <x:c r="K978" s="1" t="n">
        <x:f>IF(F978&lt;Reporting!$B$4,1,0)</x:f>
        <x:v>1</x:v>
      </x:c>
      <x:c r="L978" s="1" t="n">
        <x:f>IF(AND(K978=1,G978&lt;&gt;"",G978&lt;=F978),1,0)</x:f>
        <x:v>0</x:v>
      </x:c>
      <x:c r="M978" s="1" t="n">
        <x:f>IF(AND(G978&lt;&gt;"",G978&lt;Reporting!$B$4),1,0)</x:f>
        <x:v>0</x:v>
      </x:c>
      <x:c r="N978" s="16" t="str">
        <x:f>IF(M978=1,G978-E978,"")</x:f>
      </x:c>
      <x:c r="O978" s="1" t="str">
        <x:f>IF(E978&gt;=Reporting!$B$4,"Outside cutoff",IF(M978=1,"Closed",IF(J978=1,"Overdue","Open - within SLA")))</x:f>
        <x:v>Overdue</x:v>
      </x:c>
    </x:row>
    <x:row r="979">
      <x:c r="A979" s="14" t="str">
        <x:v>CASE-00974</x:v>
      </x:c>
      <x:c r="B979" s="14" t="str">
        <x:v>Installation</x:v>
      </x:c>
      <x:c r="C979" s="14" t="str">
        <x:v>Process deviation</x:v>
      </x:c>
      <x:c r="D979" s="14" t="str">
        <x:v>Low</x:v>
      </x:c>
      <x:c r="E979" s="15" t="n">
        <x:v>46216.333333333336</x:v>
      </x:c>
      <x:c r="F979" s="15" t="n">
        <x:v>46230.333333333336</x:v>
      </x:c>
      <x:c r="G979" s="15" t="n">
        <x:v>46221.333333333336</x:v>
      </x:c>
      <x:c r="H979" s="14" t="n">
        <x:v>3</x:v>
      </x:c>
      <x:c r="I979" s="1" t="n">
        <x:f>IF(AND(E979&lt;Reporting!$B$4,OR(G979="",G979&gt;=Reporting!$B$4)),1,0)</x:f>
        <x:v>0</x:v>
      </x:c>
      <x:c r="J979" s="1" t="n">
        <x:f>IF(AND(I979=1,F979&lt;Reporting!$B$4),1,0)</x:f>
        <x:v>0</x:v>
      </x:c>
      <x:c r="K979" s="1" t="n">
        <x:f>IF(F979&lt;Reporting!$B$4,1,0)</x:f>
        <x:v>1</x:v>
      </x:c>
      <x:c r="L979" s="1" t="n">
        <x:f>IF(AND(K979=1,G979&lt;&gt;"",G979&lt;=F979),1,0)</x:f>
        <x:v>1</x:v>
      </x:c>
      <x:c r="M979" s="1" t="n">
        <x:f>IF(AND(G979&lt;&gt;"",G979&lt;Reporting!$B$4),1,0)</x:f>
        <x:v>1</x:v>
      </x:c>
      <x:c r="N979" s="16" t="n">
        <x:f>IF(M979=1,G979-E979,"")</x:f>
        <x:v>5</x:v>
      </x:c>
      <x:c r="O979" s="1" t="str">
        <x:f>IF(E979&gt;=Reporting!$B$4,"Outside cutoff",IF(M979=1,"Closed",IF(J979=1,"Overdue","Open - within SLA")))</x:f>
        <x:v>Closed</x:v>
      </x:c>
    </x:row>
    <x:row r="980">
      <x:c r="A980" s="14" t="str">
        <x:v>CASE-00975</x:v>
      </x:c>
      <x:c r="B980" s="14" t="str">
        <x:v>Customer Services</x:v>
      </x:c>
      <x:c r="C980" s="14" t="str">
        <x:v>Process deviation</x:v>
      </x:c>
      <x:c r="D980" s="14" t="str">
        <x:v>Medium</x:v>
      </x:c>
      <x:c r="E980" s="15" t="n">
        <x:v>46222.416666666664</x:v>
      </x:c>
      <x:c r="F980" s="15" t="n">
        <x:v>46229.416666666664</x:v>
      </x:c>
      <x:c r="G980" s="15"/>
      <x:c r="H980" s="14" t="n">
        <x:v>1</x:v>
      </x:c>
      <x:c r="I980" s="1" t="n">
        <x:f>IF(AND(E980&lt;Reporting!$B$4,OR(G980="",G980&gt;=Reporting!$B$4)),1,0)</x:f>
        <x:v>1</x:v>
      </x:c>
      <x:c r="J980" s="1" t="n">
        <x:f>IF(AND(I980=1,F980&lt;Reporting!$B$4),1,0)</x:f>
        <x:v>1</x:v>
      </x:c>
      <x:c r="K980" s="1" t="n">
        <x:f>IF(F980&lt;Reporting!$B$4,1,0)</x:f>
        <x:v>1</x:v>
      </x:c>
      <x:c r="L980" s="1" t="n">
        <x:f>IF(AND(K980=1,G980&lt;&gt;"",G980&lt;=F980),1,0)</x:f>
        <x:v>0</x:v>
      </x:c>
      <x:c r="M980" s="1" t="n">
        <x:f>IF(AND(G980&lt;&gt;"",G980&lt;Reporting!$B$4),1,0)</x:f>
        <x:v>0</x:v>
      </x:c>
      <x:c r="N980" s="16" t="str">
        <x:f>IF(M980=1,G980-E980,"")</x:f>
      </x:c>
      <x:c r="O980" s="1" t="str">
        <x:f>IF(E980&gt;=Reporting!$B$4,"Outside cutoff",IF(M980=1,"Closed",IF(J980=1,"Overdue","Open - within SLA")))</x:f>
        <x:v>Overdue</x:v>
      </x:c>
    </x:row>
    <x:row r="981">
      <x:c r="A981" s="14" t="str">
        <x:v>CASE-00976</x:v>
      </x:c>
      <x:c r="B981" s="14" t="str">
        <x:v>Warehouse</x:v>
      </x:c>
      <x:c r="C981" s="14" t="str">
        <x:v>Late review</x:v>
      </x:c>
      <x:c r="D981" s="14" t="str">
        <x:v>Medium</x:v>
      </x:c>
      <x:c r="E981" s="15" t="n">
        <x:v>46264.583333333336</x:v>
      </x:c>
      <x:c r="F981" s="15" t="n">
        <x:v>46271.583333333336</x:v>
      </x:c>
      <x:c r="G981" s="15" t="n">
        <x:v>46284.666666666664</x:v>
      </x:c>
      <x:c r="H981" s="14" t="n">
        <x:v>2</x:v>
      </x:c>
      <x:c r="I981" s="1" t="n">
        <x:f>IF(AND(E981&lt;Reporting!$B$4,OR(G981="",G981&gt;=Reporting!$B$4)),1,0)</x:f>
        <x:v>0</x:v>
      </x:c>
      <x:c r="J981" s="1" t="n">
        <x:f>IF(AND(I981=1,F981&lt;Reporting!$B$4),1,0)</x:f>
        <x:v>0</x:v>
      </x:c>
      <x:c r="K981" s="1" t="n">
        <x:f>IF(F981&lt;Reporting!$B$4,1,0)</x:f>
        <x:v>1</x:v>
      </x:c>
      <x:c r="L981" s="1" t="n">
        <x:f>IF(AND(K981=1,G981&lt;&gt;"",G981&lt;=F981),1,0)</x:f>
        <x:v>0</x:v>
      </x:c>
      <x:c r="M981" s="1" t="n">
        <x:f>IF(AND(G981&lt;&gt;"",G981&lt;Reporting!$B$4),1,0)</x:f>
        <x:v>1</x:v>
      </x:c>
      <x:c r="N981" s="16" t="n">
        <x:f>IF(M981=1,G981-E981,"")</x:f>
        <x:v>20.083333333328483</x:v>
      </x:c>
      <x:c r="O981" s="1" t="str">
        <x:f>IF(E981&gt;=Reporting!$B$4,"Outside cutoff",IF(M981=1,"Closed",IF(J981=1,"Overdue","Open - within SLA")))</x:f>
        <x:v>Closed</x:v>
      </x:c>
    </x:row>
    <x:row r="982">
      <x:c r="A982" s="14" t="str">
        <x:v>CASE-00977</x:v>
      </x:c>
      <x:c r="B982" s="14" t="str">
        <x:v>Installation</x:v>
      </x:c>
      <x:c r="C982" s="14" t="str">
        <x:v>Record mismatch</x:v>
      </x:c>
      <x:c r="D982" s="14" t="str">
        <x:v>Low</x:v>
      </x:c>
      <x:c r="E982" s="15" t="n">
        <x:v>46231.541666666664</x:v>
      </x:c>
      <x:c r="F982" s="15" t="n">
        <x:v>46245.541666666664</x:v>
      </x:c>
      <x:c r="G982" s="15" t="n">
        <x:v>46237.625</x:v>
      </x:c>
      <x:c r="H982" s="14" t="n">
        <x:v>3</x:v>
      </x:c>
      <x:c r="I982" s="1" t="n">
        <x:f>IF(AND(E982&lt;Reporting!$B$4,OR(G982="",G982&gt;=Reporting!$B$4)),1,0)</x:f>
        <x:v>0</x:v>
      </x:c>
      <x:c r="J982" s="1" t="n">
        <x:f>IF(AND(I982=1,F982&lt;Reporting!$B$4),1,0)</x:f>
        <x:v>0</x:v>
      </x:c>
      <x:c r="K982" s="1" t="n">
        <x:f>IF(F982&lt;Reporting!$B$4,1,0)</x:f>
        <x:v>1</x:v>
      </x:c>
      <x:c r="L982" s="1" t="n">
        <x:f>IF(AND(K982=1,G982&lt;&gt;"",G982&lt;=F982),1,0)</x:f>
        <x:v>1</x:v>
      </x:c>
      <x:c r="M982" s="1" t="n">
        <x:f>IF(AND(G982&lt;&gt;"",G982&lt;Reporting!$B$4),1,0)</x:f>
        <x:v>1</x:v>
      </x:c>
      <x:c r="N982" s="16" t="n">
        <x:f>IF(M982=1,G982-E982,"")</x:f>
        <x:v>6.083333333335759</x:v>
      </x:c>
      <x:c r="O982" s="1" t="str">
        <x:f>IF(E982&gt;=Reporting!$B$4,"Outside cutoff",IF(M982=1,"Closed",IF(J982=1,"Overdue","Open - within SLA")))</x:f>
        <x:v>Closed</x:v>
      </x:c>
    </x:row>
    <x:row r="983">
      <x:c r="A983" s="14" t="str">
        <x:v>CASE-00978</x:v>
      </x:c>
      <x:c r="B983" s="14" t="str">
        <x:v>Installation</x:v>
      </x:c>
      <x:c r="C983" s="14" t="str">
        <x:v>Record mismatch</x:v>
      </x:c>
      <x:c r="D983" s="14" t="str">
        <x:v>Low</x:v>
      </x:c>
      <x:c r="E983" s="15" t="n">
        <x:v>46264.375</x:v>
      </x:c>
      <x:c r="F983" s="15" t="n">
        <x:v>46278.375</x:v>
      </x:c>
      <x:c r="G983" s="15" t="n">
        <x:v>46279.375</x:v>
      </x:c>
      <x:c r="H983" s="14" t="n">
        <x:v>3</x:v>
      </x:c>
      <x:c r="I983" s="1" t="n">
        <x:f>IF(AND(E983&lt;Reporting!$B$4,OR(G983="",G983&gt;=Reporting!$B$4)),1,0)</x:f>
        <x:v>0</x:v>
      </x:c>
      <x:c r="J983" s="1" t="n">
        <x:f>IF(AND(I983=1,F983&lt;Reporting!$B$4),1,0)</x:f>
        <x:v>0</x:v>
      </x:c>
      <x:c r="K983" s="1" t="n">
        <x:f>IF(F983&lt;Reporting!$B$4,1,0)</x:f>
        <x:v>1</x:v>
      </x:c>
      <x:c r="L983" s="1" t="n">
        <x:f>IF(AND(K983=1,G983&lt;&gt;"",G983&lt;=F983),1,0)</x:f>
        <x:v>0</x:v>
      </x:c>
      <x:c r="M983" s="1" t="n">
        <x:f>IF(AND(G983&lt;&gt;"",G983&lt;Reporting!$B$4),1,0)</x:f>
        <x:v>1</x:v>
      </x:c>
      <x:c r="N983" s="16" t="n">
        <x:f>IF(M983=1,G983-E983,"")</x:f>
        <x:v>15</x:v>
      </x:c>
      <x:c r="O983" s="1" t="str">
        <x:f>IF(E983&gt;=Reporting!$B$4,"Outside cutoff",IF(M983=1,"Closed",IF(J983=1,"Overdue","Open - within SLA")))</x:f>
        <x:v>Closed</x:v>
      </x:c>
    </x:row>
    <x:row r="984">
      <x:c r="A984" s="14" t="str">
        <x:v>CASE-00979</x:v>
      </x:c>
      <x:c r="B984" s="14" t="str">
        <x:v>Warehouse</x:v>
      </x:c>
      <x:c r="C984" s="14" t="str">
        <x:v>Late review</x:v>
      </x:c>
      <x:c r="D984" s="14" t="str">
        <x:v>Medium</x:v>
      </x:c>
      <x:c r="E984" s="15" t="n">
        <x:v>46259.625</x:v>
      </x:c>
      <x:c r="F984" s="15" t="n">
        <x:v>46266.625</x:v>
      </x:c>
      <x:c r="G984" s="15" t="n">
        <x:v>46272.708333333336</x:v>
      </x:c>
      <x:c r="H984" s="14" t="n">
        <x:v>2</x:v>
      </x:c>
      <x:c r="I984" s="1" t="n">
        <x:f>IF(AND(E984&lt;Reporting!$B$4,OR(G984="",G984&gt;=Reporting!$B$4)),1,0)</x:f>
        <x:v>0</x:v>
      </x:c>
      <x:c r="J984" s="1" t="n">
        <x:f>IF(AND(I984=1,F984&lt;Reporting!$B$4),1,0)</x:f>
        <x:v>0</x:v>
      </x:c>
      <x:c r="K984" s="1" t="n">
        <x:f>IF(F984&lt;Reporting!$B$4,1,0)</x:f>
        <x:v>1</x:v>
      </x:c>
      <x:c r="L984" s="1" t="n">
        <x:f>IF(AND(K984=1,G984&lt;&gt;"",G984&lt;=F984),1,0)</x:f>
        <x:v>0</x:v>
      </x:c>
      <x:c r="M984" s="1" t="n">
        <x:f>IF(AND(G984&lt;&gt;"",G984&lt;Reporting!$B$4),1,0)</x:f>
        <x:v>1</x:v>
      </x:c>
      <x:c r="N984" s="16" t="n">
        <x:f>IF(M984=1,G984-E984,"")</x:f>
        <x:v>13.083333333335759</x:v>
      </x:c>
      <x:c r="O984" s="1" t="str">
        <x:f>IF(E984&gt;=Reporting!$B$4,"Outside cutoff",IF(M984=1,"Closed",IF(J984=1,"Overdue","Open - within SLA")))</x:f>
        <x:v>Closed</x:v>
      </x:c>
    </x:row>
    <x:row r="985">
      <x:c r="A985" s="14" t="str">
        <x:v>CASE-00980</x:v>
      </x:c>
      <x:c r="B985" s="14" t="str">
        <x:v>Customer Services</x:v>
      </x:c>
      <x:c r="C985" s="14" t="str">
        <x:v>Missing evidence</x:v>
      </x:c>
      <x:c r="D985" s="14" t="str">
        <x:v>Medium</x:v>
      </x:c>
      <x:c r="E985" s="15" t="n">
        <x:v>46264.541666666664</x:v>
      </x:c>
      <x:c r="F985" s="15" t="n">
        <x:v>46271.541666666664</x:v>
      </x:c>
      <x:c r="G985" s="15" t="n">
        <x:v>46269.625</x:v>
      </x:c>
      <x:c r="H985" s="14" t="n">
        <x:v>1</x:v>
      </x:c>
      <x:c r="I985" s="1" t="n">
        <x:f>IF(AND(E985&lt;Reporting!$B$4,OR(G985="",G985&gt;=Reporting!$B$4)),1,0)</x:f>
        <x:v>0</x:v>
      </x:c>
      <x:c r="J985" s="1" t="n">
        <x:f>IF(AND(I985=1,F985&lt;Reporting!$B$4),1,0)</x:f>
        <x:v>0</x:v>
      </x:c>
      <x:c r="K985" s="1" t="n">
        <x:f>IF(F985&lt;Reporting!$B$4,1,0)</x:f>
        <x:v>1</x:v>
      </x:c>
      <x:c r="L985" s="1" t="n">
        <x:f>IF(AND(K985=1,G985&lt;&gt;"",G985&lt;=F985),1,0)</x:f>
        <x:v>1</x:v>
      </x:c>
      <x:c r="M985" s="1" t="n">
        <x:f>IF(AND(G985&lt;&gt;"",G985&lt;Reporting!$B$4),1,0)</x:f>
        <x:v>1</x:v>
      </x:c>
      <x:c r="N985" s="16" t="n">
        <x:f>IF(M985=1,G985-E985,"")</x:f>
        <x:v>5.083333333335759</x:v>
      </x:c>
      <x:c r="O985" s="1" t="str">
        <x:f>IF(E985&gt;=Reporting!$B$4,"Outside cutoff",IF(M985=1,"Closed",IF(J985=1,"Overdue","Open - within SLA")))</x:f>
        <x:v>Closed</x:v>
      </x:c>
    </x:row>
    <x:row r="986">
      <x:c r="A986" s="14" t="str">
        <x:v>CASE-00981</x:v>
      </x:c>
      <x:c r="B986" s="14" t="str">
        <x:v>Warehouse</x:v>
      </x:c>
      <x:c r="C986" s="14" t="str">
        <x:v>Missing evidence</x:v>
      </x:c>
      <x:c r="D986" s="14" t="str">
        <x:v>High</x:v>
      </x:c>
      <x:c r="E986" s="15" t="n">
        <x:v>46238.333333333336</x:v>
      </x:c>
      <x:c r="F986" s="15" t="n">
        <x:v>46241.333333333336</x:v>
      </x:c>
      <x:c r="G986" s="15" t="n">
        <x:v>46252.375</x:v>
      </x:c>
      <x:c r="H986" s="14" t="n">
        <x:v>2</x:v>
      </x:c>
      <x:c r="I986" s="1" t="n">
        <x:f>IF(AND(E986&lt;Reporting!$B$4,OR(G986="",G986&gt;=Reporting!$B$4)),1,0)</x:f>
        <x:v>0</x:v>
      </x:c>
      <x:c r="J986" s="1" t="n">
        <x:f>IF(AND(I986=1,F986&lt;Reporting!$B$4),1,0)</x:f>
        <x:v>0</x:v>
      </x:c>
      <x:c r="K986" s="1" t="n">
        <x:f>IF(F986&lt;Reporting!$B$4,1,0)</x:f>
        <x:v>1</x:v>
      </x:c>
      <x:c r="L986" s="1" t="n">
        <x:f>IF(AND(K986=1,G986&lt;&gt;"",G986&lt;=F986),1,0)</x:f>
        <x:v>0</x:v>
      </x:c>
      <x:c r="M986" s="1" t="n">
        <x:f>IF(AND(G986&lt;&gt;"",G986&lt;Reporting!$B$4),1,0)</x:f>
        <x:v>1</x:v>
      </x:c>
      <x:c r="N986" s="16" t="n">
        <x:f>IF(M986=1,G986-E986,"")</x:f>
        <x:v>14.041666666664241</x:v>
      </x:c>
      <x:c r="O986" s="1" t="str">
        <x:f>IF(E986&gt;=Reporting!$B$4,"Outside cutoff",IF(M986=1,"Closed",IF(J986=1,"Overdue","Open - within SLA")))</x:f>
        <x:v>Closed</x:v>
      </x:c>
    </x:row>
    <x:row r="987">
      <x:c r="A987" s="14" t="str">
        <x:v>CASE-00982</x:v>
      </x:c>
      <x:c r="B987" s="14" t="str">
        <x:v>Warehouse</x:v>
      </x:c>
      <x:c r="C987" s="14" t="str">
        <x:v>Record mismatch</x:v>
      </x:c>
      <x:c r="D987" s="14" t="str">
        <x:v>Low</x:v>
      </x:c>
      <x:c r="E987" s="15" t="n">
        <x:v>46203.5</x:v>
      </x:c>
      <x:c r="F987" s="15" t="n">
        <x:v>46217.5</x:v>
      </x:c>
      <x:c r="G987" s="15" t="n">
        <x:v>46212.583333333336</x:v>
      </x:c>
      <x:c r="H987" s="14" t="n">
        <x:v>2</x:v>
      </x:c>
      <x:c r="I987" s="1" t="n">
        <x:f>IF(AND(E987&lt;Reporting!$B$4,OR(G987="",G987&gt;=Reporting!$B$4)),1,0)</x:f>
        <x:v>0</x:v>
      </x:c>
      <x:c r="J987" s="1" t="n">
        <x:f>IF(AND(I987=1,F987&lt;Reporting!$B$4),1,0)</x:f>
        <x:v>0</x:v>
      </x:c>
      <x:c r="K987" s="1" t="n">
        <x:f>IF(F987&lt;Reporting!$B$4,1,0)</x:f>
        <x:v>1</x:v>
      </x:c>
      <x:c r="L987" s="1" t="n">
        <x:f>IF(AND(K987=1,G987&lt;&gt;"",G987&lt;=F987),1,0)</x:f>
        <x:v>1</x:v>
      </x:c>
      <x:c r="M987" s="1" t="n">
        <x:f>IF(AND(G987&lt;&gt;"",G987&lt;Reporting!$B$4),1,0)</x:f>
        <x:v>1</x:v>
      </x:c>
      <x:c r="N987" s="16" t="n">
        <x:f>IF(M987=1,G987-E987,"")</x:f>
        <x:v>9.083333333335759</x:v>
      </x:c>
      <x:c r="O987" s="1" t="str">
        <x:f>IF(E987&gt;=Reporting!$B$4,"Outside cutoff",IF(M987=1,"Closed",IF(J987=1,"Overdue","Open - within SLA")))</x:f>
        <x:v>Closed</x:v>
      </x:c>
    </x:row>
    <x:row r="988">
      <x:c r="A988" s="14" t="str">
        <x:v>CASE-00983</x:v>
      </x:c>
      <x:c r="B988" s="14" t="str">
        <x:v>Customer Services</x:v>
      </x:c>
      <x:c r="C988" s="14" t="str">
        <x:v>Late review</x:v>
      </x:c>
      <x:c r="D988" s="14" t="str">
        <x:v>Low</x:v>
      </x:c>
      <x:c r="E988" s="15" t="n">
        <x:v>46254.458333333336</x:v>
      </x:c>
      <x:c r="F988" s="15" t="n">
        <x:v>46268.458333333336</x:v>
      </x:c>
      <x:c r="G988" s="15"/>
      <x:c r="H988" s="14" t="n">
        <x:v>1</x:v>
      </x:c>
      <x:c r="I988" s="1" t="n">
        <x:f>IF(AND(E988&lt;Reporting!$B$4,OR(G988="",G988&gt;=Reporting!$B$4)),1,0)</x:f>
        <x:v>1</x:v>
      </x:c>
      <x:c r="J988" s="1" t="n">
        <x:f>IF(AND(I988=1,F988&lt;Reporting!$B$4),1,0)</x:f>
        <x:v>1</x:v>
      </x:c>
      <x:c r="K988" s="1" t="n">
        <x:f>IF(F988&lt;Reporting!$B$4,1,0)</x:f>
        <x:v>1</x:v>
      </x:c>
      <x:c r="L988" s="1" t="n">
        <x:f>IF(AND(K988=1,G988&lt;&gt;"",G988&lt;=F988),1,0)</x:f>
        <x:v>0</x:v>
      </x:c>
      <x:c r="M988" s="1" t="n">
        <x:f>IF(AND(G988&lt;&gt;"",G988&lt;Reporting!$B$4),1,0)</x:f>
        <x:v>0</x:v>
      </x:c>
      <x:c r="N988" s="16" t="str">
        <x:f>IF(M988=1,G988-E988,"")</x:f>
      </x:c>
      <x:c r="O988" s="1" t="str">
        <x:f>IF(E988&gt;=Reporting!$B$4,"Outside cutoff",IF(M988=1,"Closed",IF(J988=1,"Overdue","Open - within SLA")))</x:f>
        <x:v>Overdue</x:v>
      </x:c>
    </x:row>
    <x:row r="989">
      <x:c r="A989" s="14" t="str">
        <x:v>CASE-00984</x:v>
      </x:c>
      <x:c r="B989" s="14" t="str">
        <x:v>Warehouse</x:v>
      </x:c>
      <x:c r="C989" s="14" t="str">
        <x:v>Process deviation</x:v>
      </x:c>
      <x:c r="D989" s="14" t="str">
        <x:v>High</x:v>
      </x:c>
      <x:c r="E989" s="15" t="n">
        <x:v>46221.625</x:v>
      </x:c>
      <x:c r="F989" s="15" t="n">
        <x:v>46224.625</x:v>
      </x:c>
      <x:c r="G989" s="15" t="n">
        <x:v>46238.666666666664</x:v>
      </x:c>
      <x:c r="H989" s="14" t="n">
        <x:v>2</x:v>
      </x:c>
      <x:c r="I989" s="1" t="n">
        <x:f>IF(AND(E989&lt;Reporting!$B$4,OR(G989="",G989&gt;=Reporting!$B$4)),1,0)</x:f>
        <x:v>0</x:v>
      </x:c>
      <x:c r="J989" s="1" t="n">
        <x:f>IF(AND(I989=1,F989&lt;Reporting!$B$4),1,0)</x:f>
        <x:v>0</x:v>
      </x:c>
      <x:c r="K989" s="1" t="n">
        <x:f>IF(F989&lt;Reporting!$B$4,1,0)</x:f>
        <x:v>1</x:v>
      </x:c>
      <x:c r="L989" s="1" t="n">
        <x:f>IF(AND(K989=1,G989&lt;&gt;"",G989&lt;=F989),1,0)</x:f>
        <x:v>0</x:v>
      </x:c>
      <x:c r="M989" s="1" t="n">
        <x:f>IF(AND(G989&lt;&gt;"",G989&lt;Reporting!$B$4),1,0)</x:f>
        <x:v>1</x:v>
      </x:c>
      <x:c r="N989" s="16" t="n">
        <x:f>IF(M989=1,G989-E989,"")</x:f>
        <x:v>17.04166666666424</x:v>
      </x:c>
      <x:c r="O989" s="1" t="str">
        <x:f>IF(E989&gt;=Reporting!$B$4,"Outside cutoff",IF(M989=1,"Closed",IF(J989=1,"Overdue","Open - within SLA")))</x:f>
        <x:v>Closed</x:v>
      </x:c>
    </x:row>
    <x:row r="990">
      <x:c r="A990" s="14" t="str">
        <x:v>CASE-00985</x:v>
      </x:c>
      <x:c r="B990" s="14" t="str">
        <x:v>Warehouse</x:v>
      </x:c>
      <x:c r="C990" s="14" t="str">
        <x:v>Process deviation</x:v>
      </x:c>
      <x:c r="D990" s="14" t="str">
        <x:v>Low</x:v>
      </x:c>
      <x:c r="E990" s="15" t="n">
        <x:v>46236.416666666664</x:v>
      </x:c>
      <x:c r="F990" s="15" t="n">
        <x:v>46250.416666666664</x:v>
      </x:c>
      <x:c r="G990" s="15" t="n">
        <x:v>46242.5</x:v>
      </x:c>
      <x:c r="H990" s="14" t="n">
        <x:v>2</x:v>
      </x:c>
      <x:c r="I990" s="1" t="n">
        <x:f>IF(AND(E990&lt;Reporting!$B$4,OR(G990="",G990&gt;=Reporting!$B$4)),1,0)</x:f>
        <x:v>0</x:v>
      </x:c>
      <x:c r="J990" s="1" t="n">
        <x:f>IF(AND(I990=1,F990&lt;Reporting!$B$4),1,0)</x:f>
        <x:v>0</x:v>
      </x:c>
      <x:c r="K990" s="1" t="n">
        <x:f>IF(F990&lt;Reporting!$B$4,1,0)</x:f>
        <x:v>1</x:v>
      </x:c>
      <x:c r="L990" s="1" t="n">
        <x:f>IF(AND(K990=1,G990&lt;&gt;"",G990&lt;=F990),1,0)</x:f>
        <x:v>1</x:v>
      </x:c>
      <x:c r="M990" s="1" t="n">
        <x:f>IF(AND(G990&lt;&gt;"",G990&lt;Reporting!$B$4),1,0)</x:f>
        <x:v>1</x:v>
      </x:c>
      <x:c r="N990" s="16" t="n">
        <x:f>IF(M990=1,G990-E990,"")</x:f>
        <x:v>6.083333333335759</x:v>
      </x:c>
      <x:c r="O990" s="1" t="str">
        <x:f>IF(E990&gt;=Reporting!$B$4,"Outside cutoff",IF(M990=1,"Closed",IF(J990=1,"Overdue","Open - within SLA")))</x:f>
        <x:v>Closed</x:v>
      </x:c>
    </x:row>
    <x:row r="991">
      <x:c r="A991" s="14" t="str">
        <x:v>CASE-00986</x:v>
      </x:c>
      <x:c r="B991" s="14" t="str">
        <x:v>Customer Services</x:v>
      </x:c>
      <x:c r="C991" s="14" t="str">
        <x:v>Missing evidence</x:v>
      </x:c>
      <x:c r="D991" s="14" t="str">
        <x:v>High</x:v>
      </x:c>
      <x:c r="E991" s="15" t="n">
        <x:v>46262.5</x:v>
      </x:c>
      <x:c r="F991" s="15" t="n">
        <x:v>46265.5</x:v>
      </x:c>
      <x:c r="G991" s="15" t="n">
        <x:v>46267.541666666664</x:v>
      </x:c>
      <x:c r="H991" s="14" t="n">
        <x:v>1</x:v>
      </x:c>
      <x:c r="I991" s="1" t="n">
        <x:f>IF(AND(E991&lt;Reporting!$B$4,OR(G991="",G991&gt;=Reporting!$B$4)),1,0)</x:f>
        <x:v>0</x:v>
      </x:c>
      <x:c r="J991" s="1" t="n">
        <x:f>IF(AND(I991=1,F991&lt;Reporting!$B$4),1,0)</x:f>
        <x:v>0</x:v>
      </x:c>
      <x:c r="K991" s="1" t="n">
        <x:f>IF(F991&lt;Reporting!$B$4,1,0)</x:f>
        <x:v>1</x:v>
      </x:c>
      <x:c r="L991" s="1" t="n">
        <x:f>IF(AND(K991=1,G991&lt;&gt;"",G991&lt;=F991),1,0)</x:f>
        <x:v>0</x:v>
      </x:c>
      <x:c r="M991" s="1" t="n">
        <x:f>IF(AND(G991&lt;&gt;"",G991&lt;Reporting!$B$4),1,0)</x:f>
        <x:v>1</x:v>
      </x:c>
      <x:c r="N991" s="16" t="n">
        <x:f>IF(M991=1,G991-E991,"")</x:f>
        <x:v>5.041666666664241</x:v>
      </x:c>
      <x:c r="O991" s="1" t="str">
        <x:f>IF(E991&gt;=Reporting!$B$4,"Outside cutoff",IF(M991=1,"Closed",IF(J991=1,"Overdue","Open - within SLA")))</x:f>
        <x:v>Closed</x:v>
      </x:c>
    </x:row>
    <x:row r="992">
      <x:c r="A992" s="14" t="str">
        <x:v>CASE-00987</x:v>
      </x:c>
      <x:c r="B992" s="14" t="str">
        <x:v>Installation</x:v>
      </x:c>
      <x:c r="C992" s="14" t="str">
        <x:v>Process deviation</x:v>
      </x:c>
      <x:c r="D992" s="14" t="str">
        <x:v>Low</x:v>
      </x:c>
      <x:c r="E992" s="15" t="n">
        <x:v>46267.333333333336</x:v>
      </x:c>
      <x:c r="F992" s="15" t="n">
        <x:v>46281.333333333336</x:v>
      </x:c>
      <x:c r="G992" s="15"/>
      <x:c r="H992" s="14" t="n">
        <x:v>3</x:v>
      </x:c>
      <x:c r="I992" s="1" t="n">
        <x:f>IF(AND(E992&lt;Reporting!$B$4,OR(G992="",G992&gt;=Reporting!$B$4)),1,0)</x:f>
        <x:v>1</x:v>
      </x:c>
      <x:c r="J992" s="1" t="n">
        <x:f>IF(AND(I992=1,F992&lt;Reporting!$B$4),1,0)</x:f>
        <x:v>1</x:v>
      </x:c>
      <x:c r="K992" s="1" t="n">
        <x:f>IF(F992&lt;Reporting!$B$4,1,0)</x:f>
        <x:v>1</x:v>
      </x:c>
      <x:c r="L992" s="1" t="n">
        <x:f>IF(AND(K992=1,G992&lt;&gt;"",G992&lt;=F992),1,0)</x:f>
        <x:v>0</x:v>
      </x:c>
      <x:c r="M992" s="1" t="n">
        <x:f>IF(AND(G992&lt;&gt;"",G992&lt;Reporting!$B$4),1,0)</x:f>
        <x:v>0</x:v>
      </x:c>
      <x:c r="N992" s="16" t="str">
        <x:f>IF(M992=1,G992-E992,"")</x:f>
      </x:c>
      <x:c r="O992" s="1" t="str">
        <x:f>IF(E992&gt;=Reporting!$B$4,"Outside cutoff",IF(M992=1,"Closed",IF(J992=1,"Overdue","Open - within SLA")))</x:f>
        <x:v>Overdue</x:v>
      </x:c>
    </x:row>
    <x:row r="993">
      <x:c r="A993" s="14" t="str">
        <x:v>CASE-00988</x:v>
      </x:c>
      <x:c r="B993" s="14" t="str">
        <x:v>Installation</x:v>
      </x:c>
      <x:c r="C993" s="14" t="str">
        <x:v>Process deviation</x:v>
      </x:c>
      <x:c r="D993" s="14" t="str">
        <x:v>Medium</x:v>
      </x:c>
      <x:c r="E993" s="15" t="n">
        <x:v>46235.333333333336</x:v>
      </x:c>
      <x:c r="F993" s="15" t="n">
        <x:v>46242.333333333336</x:v>
      </x:c>
      <x:c r="G993" s="15" t="n">
        <x:v>46250.375</x:v>
      </x:c>
      <x:c r="H993" s="14" t="n">
        <x:v>3</x:v>
      </x:c>
      <x:c r="I993" s="1" t="n">
        <x:f>IF(AND(E993&lt;Reporting!$B$4,OR(G993="",G993&gt;=Reporting!$B$4)),1,0)</x:f>
        <x:v>0</x:v>
      </x:c>
      <x:c r="J993" s="1" t="n">
        <x:f>IF(AND(I993=1,F993&lt;Reporting!$B$4),1,0)</x:f>
        <x:v>0</x:v>
      </x:c>
      <x:c r="K993" s="1" t="n">
        <x:f>IF(F993&lt;Reporting!$B$4,1,0)</x:f>
        <x:v>1</x:v>
      </x:c>
      <x:c r="L993" s="1" t="n">
        <x:f>IF(AND(K993=1,G993&lt;&gt;"",G993&lt;=F993),1,0)</x:f>
        <x:v>0</x:v>
      </x:c>
      <x:c r="M993" s="1" t="n">
        <x:f>IF(AND(G993&lt;&gt;"",G993&lt;Reporting!$B$4),1,0)</x:f>
        <x:v>1</x:v>
      </x:c>
      <x:c r="N993" s="16" t="n">
        <x:f>IF(M993=1,G993-E993,"")</x:f>
        <x:v>15.041666666664241</x:v>
      </x:c>
      <x:c r="O993" s="1" t="str">
        <x:f>IF(E993&gt;=Reporting!$B$4,"Outside cutoff",IF(M993=1,"Closed",IF(J993=1,"Overdue","Open - within SLA")))</x:f>
        <x:v>Closed</x:v>
      </x:c>
    </x:row>
    <x:row r="994">
      <x:c r="A994" s="14" t="str">
        <x:v>CASE-00989</x:v>
      </x:c>
      <x:c r="B994" s="14" t="str">
        <x:v>Warehouse</x:v>
      </x:c>
      <x:c r="C994" s="14" t="str">
        <x:v>Late review</x:v>
      </x:c>
      <x:c r="D994" s="14" t="str">
        <x:v>Medium</x:v>
      </x:c>
      <x:c r="E994" s="15" t="n">
        <x:v>46232.666666666664</x:v>
      </x:c>
      <x:c r="F994" s="15" t="n">
        <x:v>46239.666666666664</x:v>
      </x:c>
      <x:c r="G994" s="15" t="n">
        <x:v>46237.666666666664</x:v>
      </x:c>
      <x:c r="H994" s="14" t="n">
        <x:v>2</x:v>
      </x:c>
      <x:c r="I994" s="1" t="n">
        <x:f>IF(AND(E994&lt;Reporting!$B$4,OR(G994="",G994&gt;=Reporting!$B$4)),1,0)</x:f>
        <x:v>0</x:v>
      </x:c>
      <x:c r="J994" s="1" t="n">
        <x:f>IF(AND(I994=1,F994&lt;Reporting!$B$4),1,0)</x:f>
        <x:v>0</x:v>
      </x:c>
      <x:c r="K994" s="1" t="n">
        <x:f>IF(F994&lt;Reporting!$B$4,1,0)</x:f>
        <x:v>1</x:v>
      </x:c>
      <x:c r="L994" s="1" t="n">
        <x:f>IF(AND(K994=1,G994&lt;&gt;"",G994&lt;=F994),1,0)</x:f>
        <x:v>1</x:v>
      </x:c>
      <x:c r="M994" s="1" t="n">
        <x:f>IF(AND(G994&lt;&gt;"",G994&lt;Reporting!$B$4),1,0)</x:f>
        <x:v>1</x:v>
      </x:c>
      <x:c r="N994" s="16" t="n">
        <x:f>IF(M994=1,G994-E994,"")</x:f>
        <x:v>5</x:v>
      </x:c>
      <x:c r="O994" s="1" t="str">
        <x:f>IF(E994&gt;=Reporting!$B$4,"Outside cutoff",IF(M994=1,"Closed",IF(J994=1,"Overdue","Open - within SLA")))</x:f>
        <x:v>Closed</x:v>
      </x:c>
    </x:row>
    <x:row r="995">
      <x:c r="A995" s="14" t="str">
        <x:v>CASE-00990</x:v>
      </x:c>
      <x:c r="B995" s="14" t="str">
        <x:v>Customer Services</x:v>
      </x:c>
      <x:c r="C995" s="14" t="str">
        <x:v>Late review</x:v>
      </x:c>
      <x:c r="D995" s="14" t="str">
        <x:v>Medium</x:v>
      </x:c>
      <x:c r="E995" s="15" t="n">
        <x:v>46274.625</x:v>
      </x:c>
      <x:c r="F995" s="15" t="n">
        <x:v>46281.625</x:v>
      </x:c>
      <x:c r="G995" s="15" t="n">
        <x:v>46285.708333333336</x:v>
      </x:c>
      <x:c r="H995" s="14" t="n">
        <x:v>1</x:v>
      </x:c>
      <x:c r="I995" s="1" t="n">
        <x:f>IF(AND(E995&lt;Reporting!$B$4,OR(G995="",G995&gt;=Reporting!$B$4)),1,0)</x:f>
        <x:v>0</x:v>
      </x:c>
      <x:c r="J995" s="1" t="n">
        <x:f>IF(AND(I995=1,F995&lt;Reporting!$B$4),1,0)</x:f>
        <x:v>0</x:v>
      </x:c>
      <x:c r="K995" s="1" t="n">
        <x:f>IF(F995&lt;Reporting!$B$4,1,0)</x:f>
        <x:v>1</x:v>
      </x:c>
      <x:c r="L995" s="1" t="n">
        <x:f>IF(AND(K995=1,G995&lt;&gt;"",G995&lt;=F995),1,0)</x:f>
        <x:v>0</x:v>
      </x:c>
      <x:c r="M995" s="1" t="n">
        <x:f>IF(AND(G995&lt;&gt;"",G995&lt;Reporting!$B$4),1,0)</x:f>
        <x:v>1</x:v>
      </x:c>
      <x:c r="N995" s="16" t="n">
        <x:f>IF(M995=1,G995-E995,"")</x:f>
        <x:v>11.083333333335759</x:v>
      </x:c>
      <x:c r="O995" s="1" t="str">
        <x:f>IF(E995&gt;=Reporting!$B$4,"Outside cutoff",IF(M995=1,"Closed",IF(J995=1,"Overdue","Open - within SLA")))</x:f>
        <x:v>Closed</x:v>
      </x:c>
    </x:row>
    <x:row r="996">
      <x:c r="A996" s="14" t="str">
        <x:v>CASE-00991</x:v>
      </x:c>
      <x:c r="B996" s="14" t="str">
        <x:v>Installation</x:v>
      </x:c>
      <x:c r="C996" s="14" t="str">
        <x:v>Late review</x:v>
      </x:c>
      <x:c r="D996" s="14" t="str">
        <x:v>Medium</x:v>
      </x:c>
      <x:c r="E996" s="15" t="n">
        <x:v>46267.333333333336</x:v>
      </x:c>
      <x:c r="F996" s="15" t="n">
        <x:v>46274.333333333336</x:v>
      </x:c>
      <x:c r="G996" s="15" t="n">
        <x:v>46277.416666666664</x:v>
      </x:c>
      <x:c r="H996" s="14" t="n">
        <x:v>3</x:v>
      </x:c>
      <x:c r="I996" s="1" t="n">
        <x:f>IF(AND(E996&lt;Reporting!$B$4,OR(G996="",G996&gt;=Reporting!$B$4)),1,0)</x:f>
        <x:v>0</x:v>
      </x:c>
      <x:c r="J996" s="1" t="n">
        <x:f>IF(AND(I996=1,F996&lt;Reporting!$B$4),1,0)</x:f>
        <x:v>0</x:v>
      </x:c>
      <x:c r="K996" s="1" t="n">
        <x:f>IF(F996&lt;Reporting!$B$4,1,0)</x:f>
        <x:v>1</x:v>
      </x:c>
      <x:c r="L996" s="1" t="n">
        <x:f>IF(AND(K996=1,G996&lt;&gt;"",G996&lt;=F996),1,0)</x:f>
        <x:v>0</x:v>
      </x:c>
      <x:c r="M996" s="1" t="n">
        <x:f>IF(AND(G996&lt;&gt;"",G996&lt;Reporting!$B$4),1,0)</x:f>
        <x:v>1</x:v>
      </x:c>
      <x:c r="N996" s="16" t="n">
        <x:f>IF(M996=1,G996-E996,"")</x:f>
        <x:v>10.083333333328483</x:v>
      </x:c>
      <x:c r="O996" s="1" t="str">
        <x:f>IF(E996&gt;=Reporting!$B$4,"Outside cutoff",IF(M996=1,"Closed",IF(J996=1,"Overdue","Open - within SLA")))</x:f>
        <x:v>Closed</x:v>
      </x:c>
    </x:row>
    <x:row r="997">
      <x:c r="A997" s="14" t="str">
        <x:v>CASE-00992</x:v>
      </x:c>
      <x:c r="B997" s="14" t="str">
        <x:v>Warehouse</x:v>
      </x:c>
      <x:c r="C997" s="14" t="str">
        <x:v>Record mismatch</x:v>
      </x:c>
      <x:c r="D997" s="14" t="str">
        <x:v>Medium</x:v>
      </x:c>
      <x:c r="E997" s="15" t="n">
        <x:v>46262.333333333336</x:v>
      </x:c>
      <x:c r="F997" s="15" t="n">
        <x:v>46269.333333333336</x:v>
      </x:c>
      <x:c r="G997" s="15" t="n">
        <x:v>46279.416666666664</x:v>
      </x:c>
      <x:c r="H997" s="14" t="n">
        <x:v>2</x:v>
      </x:c>
      <x:c r="I997" s="1" t="n">
        <x:f>IF(AND(E997&lt;Reporting!$B$4,OR(G997="",G997&gt;=Reporting!$B$4)),1,0)</x:f>
        <x:v>0</x:v>
      </x:c>
      <x:c r="J997" s="1" t="n">
        <x:f>IF(AND(I997=1,F997&lt;Reporting!$B$4),1,0)</x:f>
        <x:v>0</x:v>
      </x:c>
      <x:c r="K997" s="1" t="n">
        <x:f>IF(F997&lt;Reporting!$B$4,1,0)</x:f>
        <x:v>1</x:v>
      </x:c>
      <x:c r="L997" s="1" t="n">
        <x:f>IF(AND(K997=1,G997&lt;&gt;"",G997&lt;=F997),1,0)</x:f>
        <x:v>0</x:v>
      </x:c>
      <x:c r="M997" s="1" t="n">
        <x:f>IF(AND(G997&lt;&gt;"",G997&lt;Reporting!$B$4),1,0)</x:f>
        <x:v>1</x:v>
      </x:c>
      <x:c r="N997" s="16" t="n">
        <x:f>IF(M997=1,G997-E997,"")</x:f>
        <x:v>17.083333333328483</x:v>
      </x:c>
      <x:c r="O997" s="1" t="str">
        <x:f>IF(E997&gt;=Reporting!$B$4,"Outside cutoff",IF(M997=1,"Closed",IF(J997=1,"Overdue","Open - within SLA")))</x:f>
        <x:v>Closed</x:v>
      </x:c>
    </x:row>
    <x:row r="998">
      <x:c r="A998" s="14" t="str">
        <x:v>CASE-00993</x:v>
      </x:c>
      <x:c r="B998" s="14" t="str">
        <x:v>Warehouse</x:v>
      </x:c>
      <x:c r="C998" s="14" t="str">
        <x:v>Record mismatch</x:v>
      </x:c>
      <x:c r="D998" s="14" t="str">
        <x:v>Medium</x:v>
      </x:c>
      <x:c r="E998" s="15" t="n">
        <x:v>46268.375</x:v>
      </x:c>
      <x:c r="F998" s="15" t="n">
        <x:v>46275.375</x:v>
      </x:c>
      <x:c r="G998" s="15"/>
      <x:c r="H998" s="14" t="n">
        <x:v>2</x:v>
      </x:c>
      <x:c r="I998" s="1" t="n">
        <x:f>IF(AND(E998&lt;Reporting!$B$4,OR(G998="",G998&gt;=Reporting!$B$4)),1,0)</x:f>
        <x:v>1</x:v>
      </x:c>
      <x:c r="J998" s="1" t="n">
        <x:f>IF(AND(I998=1,F998&lt;Reporting!$B$4),1,0)</x:f>
        <x:v>1</x:v>
      </x:c>
      <x:c r="K998" s="1" t="n">
        <x:f>IF(F998&lt;Reporting!$B$4,1,0)</x:f>
        <x:v>1</x:v>
      </x:c>
      <x:c r="L998" s="1" t="n">
        <x:f>IF(AND(K998=1,G998&lt;&gt;"",G998&lt;=F998),1,0)</x:f>
        <x:v>0</x:v>
      </x:c>
      <x:c r="M998" s="1" t="n">
        <x:f>IF(AND(G998&lt;&gt;"",G998&lt;Reporting!$B$4),1,0)</x:f>
        <x:v>0</x:v>
      </x:c>
      <x:c r="N998" s="16" t="str">
        <x:f>IF(M998=1,G998-E998,"")</x:f>
      </x:c>
      <x:c r="O998" s="1" t="str">
        <x:f>IF(E998&gt;=Reporting!$B$4,"Outside cutoff",IF(M998=1,"Closed",IF(J998=1,"Overdue","Open - within SLA")))</x:f>
        <x:v>Overdue</x:v>
      </x:c>
    </x:row>
    <x:row r="999">
      <x:c r="A999" s="14" t="str">
        <x:v>CASE-00994</x:v>
      </x:c>
      <x:c r="B999" s="14" t="str">
        <x:v>Installation</x:v>
      </x:c>
      <x:c r="C999" s="14" t="str">
        <x:v>Late review</x:v>
      </x:c>
      <x:c r="D999" s="14" t="str">
        <x:v>Medium</x:v>
      </x:c>
      <x:c r="E999" s="15" t="n">
        <x:v>46230.666666666664</x:v>
      </x:c>
      <x:c r="F999" s="15" t="n">
        <x:v>46237.666666666664</x:v>
      </x:c>
      <x:c r="G999" s="15" t="n">
        <x:v>46234.75</x:v>
      </x:c>
      <x:c r="H999" s="14" t="n">
        <x:v>3</x:v>
      </x:c>
      <x:c r="I999" s="1" t="n">
        <x:f>IF(AND(E999&lt;Reporting!$B$4,OR(G999="",G999&gt;=Reporting!$B$4)),1,0)</x:f>
        <x:v>0</x:v>
      </x:c>
      <x:c r="J999" s="1" t="n">
        <x:f>IF(AND(I999=1,F999&lt;Reporting!$B$4),1,0)</x:f>
        <x:v>0</x:v>
      </x:c>
      <x:c r="K999" s="1" t="n">
        <x:f>IF(F999&lt;Reporting!$B$4,1,0)</x:f>
        <x:v>1</x:v>
      </x:c>
      <x:c r="L999" s="1" t="n">
        <x:f>IF(AND(K999=1,G999&lt;&gt;"",G999&lt;=F999),1,0)</x:f>
        <x:v>1</x:v>
      </x:c>
      <x:c r="M999" s="1" t="n">
        <x:f>IF(AND(G999&lt;&gt;"",G999&lt;Reporting!$B$4),1,0)</x:f>
        <x:v>1</x:v>
      </x:c>
      <x:c r="N999" s="16" t="n">
        <x:f>IF(M999=1,G999-E999,"")</x:f>
        <x:v>4.083333333335759</x:v>
      </x:c>
      <x:c r="O999" s="1" t="str">
        <x:f>IF(E999&gt;=Reporting!$B$4,"Outside cutoff",IF(M999=1,"Closed",IF(J999=1,"Overdue","Open - within SLA")))</x:f>
        <x:v>Closed</x:v>
      </x:c>
    </x:row>
    <x:row r="1000">
      <x:c r="A1000" s="14" t="str">
        <x:v>CASE-00995</x:v>
      </x:c>
      <x:c r="B1000" s="14" t="str">
        <x:v>Warehouse</x:v>
      </x:c>
      <x:c r="C1000" s="14" t="str">
        <x:v>Late review</x:v>
      </x:c>
      <x:c r="D1000" s="14" t="str">
        <x:v>High</x:v>
      </x:c>
      <x:c r="E1000" s="15" t="n">
        <x:v>46274.333333333336</x:v>
      </x:c>
      <x:c r="F1000" s="15" t="n">
        <x:v>46277.333333333336</x:v>
      </x:c>
      <x:c r="G1000" s="15" t="n">
        <x:v>46285.375</x:v>
      </x:c>
      <x:c r="H1000" s="14" t="n">
        <x:v>2</x:v>
      </x:c>
      <x:c r="I1000" s="1" t="n">
        <x:f>IF(AND(E1000&lt;Reporting!$B$4,OR(G1000="",G1000&gt;=Reporting!$B$4)),1,0)</x:f>
        <x:v>0</x:v>
      </x:c>
      <x:c r="J1000" s="1" t="n">
        <x:f>IF(AND(I1000=1,F1000&lt;Reporting!$B$4),1,0)</x:f>
        <x:v>0</x:v>
      </x:c>
      <x:c r="K1000" s="1" t="n">
        <x:f>IF(F1000&lt;Reporting!$B$4,1,0)</x:f>
        <x:v>1</x:v>
      </x:c>
      <x:c r="L1000" s="1" t="n">
        <x:f>IF(AND(K1000=1,G1000&lt;&gt;"",G1000&lt;=F1000),1,0)</x:f>
        <x:v>0</x:v>
      </x:c>
      <x:c r="M1000" s="1" t="n">
        <x:f>IF(AND(G1000&lt;&gt;"",G1000&lt;Reporting!$B$4),1,0)</x:f>
        <x:v>1</x:v>
      </x:c>
      <x:c r="N1000" s="16" t="n">
        <x:f>IF(M1000=1,G1000-E1000,"")</x:f>
        <x:v>11.041666666664241</x:v>
      </x:c>
      <x:c r="O1000" s="1" t="str">
        <x:f>IF(E1000&gt;=Reporting!$B$4,"Outside cutoff",IF(M1000=1,"Closed",IF(J1000=1,"Overdue","Open - within SLA")))</x:f>
        <x:v>Closed</x:v>
      </x:c>
    </x:row>
    <x:row r="1001">
      <x:c r="A1001" s="14" t="str">
        <x:v>CASE-00996</x:v>
      </x:c>
      <x:c r="B1001" s="14" t="str">
        <x:v>Warehouse</x:v>
      </x:c>
      <x:c r="C1001" s="14" t="str">
        <x:v>Process deviation</x:v>
      </x:c>
      <x:c r="D1001" s="14" t="str">
        <x:v>Medium</x:v>
      </x:c>
      <x:c r="E1001" s="15" t="n">
        <x:v>46235.416666666664</x:v>
      </x:c>
      <x:c r="F1001" s="15" t="n">
        <x:v>46242.416666666664</x:v>
      </x:c>
      <x:c r="G1001" s="15" t="n">
        <x:v>46252.416666666664</x:v>
      </x:c>
      <x:c r="H1001" s="14" t="n">
        <x:v>2</x:v>
      </x:c>
      <x:c r="I1001" s="1" t="n">
        <x:f>IF(AND(E1001&lt;Reporting!$B$4,OR(G1001="",G1001&gt;=Reporting!$B$4)),1,0)</x:f>
        <x:v>0</x:v>
      </x:c>
      <x:c r="J1001" s="1" t="n">
        <x:f>IF(AND(I1001=1,F1001&lt;Reporting!$B$4),1,0)</x:f>
        <x:v>0</x:v>
      </x:c>
      <x:c r="K1001" s="1" t="n">
        <x:f>IF(F1001&lt;Reporting!$B$4,1,0)</x:f>
        <x:v>1</x:v>
      </x:c>
      <x:c r="L1001" s="1" t="n">
        <x:f>IF(AND(K1001=1,G1001&lt;&gt;"",G1001&lt;=F1001),1,0)</x:f>
        <x:v>0</x:v>
      </x:c>
      <x:c r="M1001" s="1" t="n">
        <x:f>IF(AND(G1001&lt;&gt;"",G1001&lt;Reporting!$B$4),1,0)</x:f>
        <x:v>1</x:v>
      </x:c>
      <x:c r="N1001" s="16" t="n">
        <x:f>IF(M1001=1,G1001-E1001,"")</x:f>
        <x:v>17</x:v>
      </x:c>
      <x:c r="O1001" s="1" t="str">
        <x:f>IF(E1001&gt;=Reporting!$B$4,"Outside cutoff",IF(M1001=1,"Closed",IF(J1001=1,"Overdue","Open - within SLA")))</x:f>
        <x:v>Closed</x:v>
      </x:c>
    </x:row>
    <x:row r="1002">
      <x:c r="A1002" s="14" t="str">
        <x:v>CASE-00997</x:v>
      </x:c>
      <x:c r="B1002" s="14" t="str">
        <x:v>Warehouse</x:v>
      </x:c>
      <x:c r="C1002" s="14" t="str">
        <x:v>Record mismatch</x:v>
      </x:c>
      <x:c r="D1002" s="14" t="str">
        <x:v>Medium</x:v>
      </x:c>
      <x:c r="E1002" s="15" t="n">
        <x:v>46225.666666666664</x:v>
      </x:c>
      <x:c r="F1002" s="15" t="n">
        <x:v>46232.666666666664</x:v>
      </x:c>
      <x:c r="G1002" s="15" t="n">
        <x:v>46230.666666666664</x:v>
      </x:c>
      <x:c r="H1002" s="14" t="n">
        <x:v>2</x:v>
      </x:c>
      <x:c r="I1002" s="1" t="n">
        <x:f>IF(AND(E1002&lt;Reporting!$B$4,OR(G1002="",G1002&gt;=Reporting!$B$4)),1,0)</x:f>
        <x:v>0</x:v>
      </x:c>
      <x:c r="J1002" s="1" t="n">
        <x:f>IF(AND(I1002=1,F1002&lt;Reporting!$B$4),1,0)</x:f>
        <x:v>0</x:v>
      </x:c>
      <x:c r="K1002" s="1" t="n">
        <x:f>IF(F1002&lt;Reporting!$B$4,1,0)</x:f>
        <x:v>1</x:v>
      </x:c>
      <x:c r="L1002" s="1" t="n">
        <x:f>IF(AND(K1002=1,G1002&lt;&gt;"",G1002&lt;=F1002),1,0)</x:f>
        <x:v>1</x:v>
      </x:c>
      <x:c r="M1002" s="1" t="n">
        <x:f>IF(AND(G1002&lt;&gt;"",G1002&lt;Reporting!$B$4),1,0)</x:f>
        <x:v>1</x:v>
      </x:c>
      <x:c r="N1002" s="16" t="n">
        <x:f>IF(M1002=1,G1002-E1002,"")</x:f>
        <x:v>5</x:v>
      </x:c>
      <x:c r="O1002" s="1" t="str">
        <x:f>IF(E1002&gt;=Reporting!$B$4,"Outside cutoff",IF(M1002=1,"Closed",IF(J1002=1,"Overdue","Open - within SLA")))</x:f>
        <x:v>Closed</x:v>
      </x:c>
    </x:row>
    <x:row r="1003">
      <x:c r="A1003" s="14" t="str">
        <x:v>CASE-00998</x:v>
      </x:c>
      <x:c r="B1003" s="14" t="str">
        <x:v>Warehouse</x:v>
      </x:c>
      <x:c r="C1003" s="14" t="str">
        <x:v>Record mismatch</x:v>
      </x:c>
      <x:c r="D1003" s="14" t="str">
        <x:v>Medium</x:v>
      </x:c>
      <x:c r="E1003" s="15" t="n">
        <x:v>46255.5</x:v>
      </x:c>
      <x:c r="F1003" s="15" t="n">
        <x:v>46262.5</x:v>
      </x:c>
      <x:c r="G1003" s="15"/>
      <x:c r="H1003" s="14" t="n">
        <x:v>2</x:v>
      </x:c>
      <x:c r="I1003" s="1" t="n">
        <x:f>IF(AND(E1003&lt;Reporting!$B$4,OR(G1003="",G1003&gt;=Reporting!$B$4)),1,0)</x:f>
        <x:v>1</x:v>
      </x:c>
      <x:c r="J1003" s="1" t="n">
        <x:f>IF(AND(I1003=1,F1003&lt;Reporting!$B$4),1,0)</x:f>
        <x:v>1</x:v>
      </x:c>
      <x:c r="K1003" s="1" t="n">
        <x:f>IF(F1003&lt;Reporting!$B$4,1,0)</x:f>
        <x:v>1</x:v>
      </x:c>
      <x:c r="L1003" s="1" t="n">
        <x:f>IF(AND(K1003=1,G1003&lt;&gt;"",G1003&lt;=F1003),1,0)</x:f>
        <x:v>0</x:v>
      </x:c>
      <x:c r="M1003" s="1" t="n">
        <x:f>IF(AND(G1003&lt;&gt;"",G1003&lt;Reporting!$B$4),1,0)</x:f>
        <x:v>0</x:v>
      </x:c>
      <x:c r="N1003" s="16" t="str">
        <x:f>IF(M1003=1,G1003-E1003,"")</x:f>
      </x:c>
      <x:c r="O1003" s="1" t="str">
        <x:f>IF(E1003&gt;=Reporting!$B$4,"Outside cutoff",IF(M1003=1,"Closed",IF(J1003=1,"Overdue","Open - within SLA")))</x:f>
        <x:v>Overdue</x:v>
      </x:c>
    </x:row>
    <x:row r="1004">
      <x:c r="A1004" s="14" t="str">
        <x:v>CASE-00999</x:v>
      </x:c>
      <x:c r="B1004" s="14" t="str">
        <x:v>Warehouse</x:v>
      </x:c>
      <x:c r="C1004" s="14" t="str">
        <x:v>Record mismatch</x:v>
      </x:c>
      <x:c r="D1004" s="14" t="str">
        <x:v>Medium</x:v>
      </x:c>
      <x:c r="E1004" s="15" t="n">
        <x:v>46229.333333333336</x:v>
      </x:c>
      <x:c r="F1004" s="15" t="n">
        <x:v>46236.333333333336</x:v>
      </x:c>
      <x:c r="G1004" s="15" t="n">
        <x:v>46243.333333333336</x:v>
      </x:c>
      <x:c r="H1004" s="14" t="n">
        <x:v>2</x:v>
      </x:c>
      <x:c r="I1004" s="1" t="n">
        <x:f>IF(AND(E1004&lt;Reporting!$B$4,OR(G1004="",G1004&gt;=Reporting!$B$4)),1,0)</x:f>
        <x:v>0</x:v>
      </x:c>
      <x:c r="J1004" s="1" t="n">
        <x:f>IF(AND(I1004=1,F1004&lt;Reporting!$B$4),1,0)</x:f>
        <x:v>0</x:v>
      </x:c>
      <x:c r="K1004" s="1" t="n">
        <x:f>IF(F1004&lt;Reporting!$B$4,1,0)</x:f>
        <x:v>1</x:v>
      </x:c>
      <x:c r="L1004" s="1" t="n">
        <x:f>IF(AND(K1004=1,G1004&lt;&gt;"",G1004&lt;=F1004),1,0)</x:f>
        <x:v>0</x:v>
      </x:c>
      <x:c r="M1004" s="1" t="n">
        <x:f>IF(AND(G1004&lt;&gt;"",G1004&lt;Reporting!$B$4),1,0)</x:f>
        <x:v>1</x:v>
      </x:c>
      <x:c r="N1004" s="16" t="n">
        <x:f>IF(M1004=1,G1004-E1004,"")</x:f>
        <x:v>14</x:v>
      </x:c>
      <x:c r="O1004" s="1" t="str">
        <x:f>IF(E1004&gt;=Reporting!$B$4,"Outside cutoff",IF(M1004=1,"Closed",IF(J1004=1,"Overdue","Open - within SLA")))</x:f>
        <x:v>Closed</x:v>
      </x:c>
    </x:row>
    <x:row r="1005">
      <x:c r="A1005" s="14" t="str">
        <x:v>CASE-01000</x:v>
      </x:c>
      <x:c r="B1005" s="14" t="str">
        <x:v>Customer Services</x:v>
      </x:c>
      <x:c r="C1005" s="14" t="str">
        <x:v>Process deviation</x:v>
      </x:c>
      <x:c r="D1005" s="14" t="str">
        <x:v>Medium</x:v>
      </x:c>
      <x:c r="E1005" s="15" t="n">
        <x:v>46247.333333333336</x:v>
      </x:c>
      <x:c r="F1005" s="15" t="n">
        <x:v>46254.333333333336</x:v>
      </x:c>
      <x:c r="G1005" s="15" t="n">
        <x:v>46253.333333333336</x:v>
      </x:c>
      <x:c r="H1005" s="14" t="n">
        <x:v>1</x:v>
      </x:c>
      <x:c r="I1005" s="1" t="n">
        <x:f>IF(AND(E1005&lt;Reporting!$B$4,OR(G1005="",G1005&gt;=Reporting!$B$4)),1,0)</x:f>
        <x:v>0</x:v>
      </x:c>
      <x:c r="J1005" s="1" t="n">
        <x:f>IF(AND(I1005=1,F1005&lt;Reporting!$B$4),1,0)</x:f>
        <x:v>0</x:v>
      </x:c>
      <x:c r="K1005" s="1" t="n">
        <x:f>IF(F1005&lt;Reporting!$B$4,1,0)</x:f>
        <x:v>1</x:v>
      </x:c>
      <x:c r="L1005" s="1" t="n">
        <x:f>IF(AND(K1005=1,G1005&lt;&gt;"",G1005&lt;=F1005),1,0)</x:f>
        <x:v>1</x:v>
      </x:c>
      <x:c r="M1005" s="1" t="n">
        <x:f>IF(AND(G1005&lt;&gt;"",G1005&lt;Reporting!$B$4),1,0)</x:f>
        <x:v>1</x:v>
      </x:c>
      <x:c r="N1005" s="16" t="n">
        <x:f>IF(M1005=1,G1005-E1005,"")</x:f>
        <x:v>6</x:v>
      </x:c>
      <x:c r="O1005" s="1" t="str">
        <x:f>IF(E1005&gt;=Reporting!$B$4,"Outside cutoff",IF(M1005=1,"Closed",IF(J1005=1,"Overdue","Open - within SLA")))</x:f>
        <x:v>Closed</x:v>
      </x:c>
    </x:row>
    <x:row r="1006">
      <x:c r="A1006" s="14" t="str">
        <x:v>CASE-01001</x:v>
      </x:c>
      <x:c r="B1006" s="14" t="str">
        <x:v>Customer Services</x:v>
      </x:c>
      <x:c r="C1006" s="14" t="str">
        <x:v>Record mismatch</x:v>
      </x:c>
      <x:c r="D1006" s="14" t="str">
        <x:v>High</x:v>
      </x:c>
      <x:c r="E1006" s="15" t="n">
        <x:v>46213.375</x:v>
      </x:c>
      <x:c r="F1006" s="15" t="n">
        <x:v>46216.375</x:v>
      </x:c>
      <x:c r="G1006" s="15" t="n">
        <x:v>46224.375</x:v>
      </x:c>
      <x:c r="H1006" s="14" t="n">
        <x:v>1</x:v>
      </x:c>
      <x:c r="I1006" s="1" t="n">
        <x:f>IF(AND(E1006&lt;Reporting!$B$4,OR(G1006="",G1006&gt;=Reporting!$B$4)),1,0)</x:f>
        <x:v>0</x:v>
      </x:c>
      <x:c r="J1006" s="1" t="n">
        <x:f>IF(AND(I1006=1,F1006&lt;Reporting!$B$4),1,0)</x:f>
        <x:v>0</x:v>
      </x:c>
      <x:c r="K1006" s="1" t="n">
        <x:f>IF(F1006&lt;Reporting!$B$4,1,0)</x:f>
        <x:v>1</x:v>
      </x:c>
      <x:c r="L1006" s="1" t="n">
        <x:f>IF(AND(K1006=1,G1006&lt;&gt;"",G1006&lt;=F1006),1,0)</x:f>
        <x:v>0</x:v>
      </x:c>
      <x:c r="M1006" s="1" t="n">
        <x:f>IF(AND(G1006&lt;&gt;"",G1006&lt;Reporting!$B$4),1,0)</x:f>
        <x:v>1</x:v>
      </x:c>
      <x:c r="N1006" s="16" t="n">
        <x:f>IF(M1006=1,G1006-E1006,"")</x:f>
        <x:v>11</x:v>
      </x:c>
      <x:c r="O1006" s="1" t="str">
        <x:f>IF(E1006&gt;=Reporting!$B$4,"Outside cutoff",IF(M1006=1,"Closed",IF(J1006=1,"Overdue","Open - within SLA")))</x:f>
        <x:v>Closed</x:v>
      </x:c>
    </x:row>
    <x:row r="1007">
      <x:c r="A1007" s="14" t="str">
        <x:v>CASE-01002</x:v>
      </x:c>
      <x:c r="B1007" s="14" t="str">
        <x:v>Installation</x:v>
      </x:c>
      <x:c r="C1007" s="14" t="str">
        <x:v>Process deviation</x:v>
      </x:c>
      <x:c r="D1007" s="14" t="str">
        <x:v>High</x:v>
      </x:c>
      <x:c r="E1007" s="15" t="n">
        <x:v>46270.541666666664</x:v>
      </x:c>
      <x:c r="F1007" s="15" t="n">
        <x:v>46273.541666666664</x:v>
      </x:c>
      <x:c r="G1007" s="15" t="n">
        <x:v>46280.541666666664</x:v>
      </x:c>
      <x:c r="H1007" s="14" t="n">
        <x:v>3</x:v>
      </x:c>
      <x:c r="I1007" s="1" t="n">
        <x:f>IF(AND(E1007&lt;Reporting!$B$4,OR(G1007="",G1007&gt;=Reporting!$B$4)),1,0)</x:f>
        <x:v>0</x:v>
      </x:c>
      <x:c r="J1007" s="1" t="n">
        <x:f>IF(AND(I1007=1,F1007&lt;Reporting!$B$4),1,0)</x:f>
        <x:v>0</x:v>
      </x:c>
      <x:c r="K1007" s="1" t="n">
        <x:f>IF(F1007&lt;Reporting!$B$4,1,0)</x:f>
        <x:v>1</x:v>
      </x:c>
      <x:c r="L1007" s="1" t="n">
        <x:f>IF(AND(K1007=1,G1007&lt;&gt;"",G1007&lt;=F1007),1,0)</x:f>
        <x:v>0</x:v>
      </x:c>
      <x:c r="M1007" s="1" t="n">
        <x:f>IF(AND(G1007&lt;&gt;"",G1007&lt;Reporting!$B$4),1,0)</x:f>
        <x:v>1</x:v>
      </x:c>
      <x:c r="N1007" s="16" t="n">
        <x:f>IF(M1007=1,G1007-E1007,"")</x:f>
        <x:v>10</x:v>
      </x:c>
      <x:c r="O1007" s="1" t="str">
        <x:f>IF(E1007&gt;=Reporting!$B$4,"Outside cutoff",IF(M1007=1,"Closed",IF(J1007=1,"Overdue","Open - within SLA")))</x:f>
        <x:v>Closed</x:v>
      </x:c>
    </x:row>
    <x:row r="1008">
      <x:c r="A1008" s="14" t="str">
        <x:v>CASE-01003</x:v>
      </x:c>
      <x:c r="B1008" s="14" t="str">
        <x:v>Customer Services</x:v>
      </x:c>
      <x:c r="C1008" s="14" t="str">
        <x:v>Late review</x:v>
      </x:c>
      <x:c r="D1008" s="14" t="str">
        <x:v>Medium</x:v>
      </x:c>
      <x:c r="E1008" s="15" t="n">
        <x:v>46281.583333333336</x:v>
      </x:c>
      <x:c r="F1008" s="15" t="n">
        <x:v>46288.583333333336</x:v>
      </x:c>
      <x:c r="G1008" s="15"/>
      <x:c r="H1008" s="14" t="n">
        <x:v>1</x:v>
      </x:c>
      <x:c r="I1008" s="1" t="n">
        <x:f>IF(AND(E1008&lt;Reporting!$B$4,OR(G1008="",G1008&gt;=Reporting!$B$4)),1,0)</x:f>
        <x:v>1</x:v>
      </x:c>
      <x:c r="J1008" s="1" t="n">
        <x:f>IF(AND(I1008=1,F1008&lt;Reporting!$B$4),1,0)</x:f>
        <x:v>0</x:v>
      </x:c>
      <x:c r="K1008" s="1" t="n">
        <x:f>IF(F1008&lt;Reporting!$B$4,1,0)</x:f>
        <x:v>0</x:v>
      </x:c>
      <x:c r="L1008" s="1" t="n">
        <x:f>IF(AND(K1008=1,G1008&lt;&gt;"",G1008&lt;=F1008),1,0)</x:f>
        <x:v>0</x:v>
      </x:c>
      <x:c r="M1008" s="1" t="n">
        <x:f>IF(AND(G1008&lt;&gt;"",G1008&lt;Reporting!$B$4),1,0)</x:f>
        <x:v>0</x:v>
      </x:c>
      <x:c r="N1008" s="16" t="str">
        <x:f>IF(M1008=1,G1008-E1008,"")</x:f>
      </x:c>
      <x:c r="O1008" s="1" t="str">
        <x:f>IF(E1008&gt;=Reporting!$B$4,"Outside cutoff",IF(M1008=1,"Closed",IF(J1008=1,"Overdue","Open - within SLA")))</x:f>
        <x:v>Open - within SLA</x:v>
      </x:c>
    </x:row>
    <x:row r="1009">
      <x:c r="A1009" s="14" t="str">
        <x:v>CASE-01004</x:v>
      </x:c>
      <x:c r="B1009" s="14" t="str">
        <x:v>Customer Services</x:v>
      </x:c>
      <x:c r="C1009" s="14" t="str">
        <x:v>Record mismatch</x:v>
      </x:c>
      <x:c r="D1009" s="14" t="str">
        <x:v>Medium</x:v>
      </x:c>
      <x:c r="E1009" s="15" t="n">
        <x:v>46271.541666666664</x:v>
      </x:c>
      <x:c r="F1009" s="15" t="n">
        <x:v>46278.541666666664</x:v>
      </x:c>
      <x:c r="G1009" s="15" t="n">
        <x:v>46280.541666666664</x:v>
      </x:c>
      <x:c r="H1009" s="14" t="n">
        <x:v>1</x:v>
      </x:c>
      <x:c r="I1009" s="1" t="n">
        <x:f>IF(AND(E1009&lt;Reporting!$B$4,OR(G1009="",G1009&gt;=Reporting!$B$4)),1,0)</x:f>
        <x:v>0</x:v>
      </x:c>
      <x:c r="J1009" s="1" t="n">
        <x:f>IF(AND(I1009=1,F1009&lt;Reporting!$B$4),1,0)</x:f>
        <x:v>0</x:v>
      </x:c>
      <x:c r="K1009" s="1" t="n">
        <x:f>IF(F1009&lt;Reporting!$B$4,1,0)</x:f>
        <x:v>1</x:v>
      </x:c>
      <x:c r="L1009" s="1" t="n">
        <x:f>IF(AND(K1009=1,G1009&lt;&gt;"",G1009&lt;=F1009),1,0)</x:f>
        <x:v>0</x:v>
      </x:c>
      <x:c r="M1009" s="1" t="n">
        <x:f>IF(AND(G1009&lt;&gt;"",G1009&lt;Reporting!$B$4),1,0)</x:f>
        <x:v>1</x:v>
      </x:c>
      <x:c r="N1009" s="16" t="n">
        <x:f>IF(M1009=1,G1009-E1009,"")</x:f>
        <x:v>9</x:v>
      </x:c>
      <x:c r="O1009" s="1" t="str">
        <x:f>IF(E1009&gt;=Reporting!$B$4,"Outside cutoff",IF(M1009=1,"Closed",IF(J1009=1,"Overdue","Open - within SLA")))</x:f>
        <x:v>Closed</x:v>
      </x:c>
    </x:row>
    <x:row r="1010">
      <x:c r="A1010" s="14" t="str">
        <x:v>CASE-01005</x:v>
      </x:c>
      <x:c r="B1010" s="14" t="str">
        <x:v>Installation</x:v>
      </x:c>
      <x:c r="C1010" s="14" t="str">
        <x:v>Process deviation</x:v>
      </x:c>
      <x:c r="D1010" s="14" t="str">
        <x:v>Medium</x:v>
      </x:c>
      <x:c r="E1010" s="15" t="n">
        <x:v>46249.541666666664</x:v>
      </x:c>
      <x:c r="F1010" s="15" t="n">
        <x:v>46256.541666666664</x:v>
      </x:c>
      <x:c r="G1010" s="15" t="n">
        <x:v>46251.625</x:v>
      </x:c>
      <x:c r="H1010" s="14" t="n">
        <x:v>3</x:v>
      </x:c>
      <x:c r="I1010" s="1" t="n">
        <x:f>IF(AND(E1010&lt;Reporting!$B$4,OR(G1010="",G1010&gt;=Reporting!$B$4)),1,0)</x:f>
        <x:v>0</x:v>
      </x:c>
      <x:c r="J1010" s="1" t="n">
        <x:f>IF(AND(I1010=1,F1010&lt;Reporting!$B$4),1,0)</x:f>
        <x:v>0</x:v>
      </x:c>
      <x:c r="K1010" s="1" t="n">
        <x:f>IF(F1010&lt;Reporting!$B$4,1,0)</x:f>
        <x:v>1</x:v>
      </x:c>
      <x:c r="L1010" s="1" t="n">
        <x:f>IF(AND(K1010=1,G1010&lt;&gt;"",G1010&lt;=F1010),1,0)</x:f>
        <x:v>1</x:v>
      </x:c>
      <x:c r="M1010" s="1" t="n">
        <x:f>IF(AND(G1010&lt;&gt;"",G1010&lt;Reporting!$B$4),1,0)</x:f>
        <x:v>1</x:v>
      </x:c>
      <x:c r="N1010" s="16" t="n">
        <x:f>IF(M1010=1,G1010-E1010,"")</x:f>
        <x:v>2.0833333333357587</x:v>
      </x:c>
      <x:c r="O1010" s="1" t="str">
        <x:f>IF(E1010&gt;=Reporting!$B$4,"Outside cutoff",IF(M1010=1,"Closed",IF(J1010=1,"Overdue","Open - within SLA")))</x:f>
        <x:v>Closed</x:v>
      </x:c>
    </x:row>
    <x:row r="1011">
      <x:c r="A1011" s="14" t="str">
        <x:v>CASE-01006</x:v>
      </x:c>
      <x:c r="B1011" s="14" t="str">
        <x:v>Installation</x:v>
      </x:c>
      <x:c r="C1011" s="14" t="str">
        <x:v>Late review</x:v>
      </x:c>
      <x:c r="D1011" s="14" t="str">
        <x:v>Medium</x:v>
      </x:c>
      <x:c r="E1011" s="15" t="n">
        <x:v>46251.541666666664</x:v>
      </x:c>
      <x:c r="F1011" s="15" t="n">
        <x:v>46258.541666666664</x:v>
      </x:c>
      <x:c r="G1011" s="15" t="n">
        <x:v>46259.541666666664</x:v>
      </x:c>
      <x:c r="H1011" s="14" t="n">
        <x:v>3</x:v>
      </x:c>
      <x:c r="I1011" s="1" t="n">
        <x:f>IF(AND(E1011&lt;Reporting!$B$4,OR(G1011="",G1011&gt;=Reporting!$B$4)),1,0)</x:f>
        <x:v>0</x:v>
      </x:c>
      <x:c r="J1011" s="1" t="n">
        <x:f>IF(AND(I1011=1,F1011&lt;Reporting!$B$4),1,0)</x:f>
        <x:v>0</x:v>
      </x:c>
      <x:c r="K1011" s="1" t="n">
        <x:f>IF(F1011&lt;Reporting!$B$4,1,0)</x:f>
        <x:v>1</x:v>
      </x:c>
      <x:c r="L1011" s="1" t="n">
        <x:f>IF(AND(K1011=1,G1011&lt;&gt;"",G1011&lt;=F1011),1,0)</x:f>
        <x:v>0</x:v>
      </x:c>
      <x:c r="M1011" s="1" t="n">
        <x:f>IF(AND(G1011&lt;&gt;"",G1011&lt;Reporting!$B$4),1,0)</x:f>
        <x:v>1</x:v>
      </x:c>
      <x:c r="N1011" s="16" t="n">
        <x:f>IF(M1011=1,G1011-E1011,"")</x:f>
        <x:v>8</x:v>
      </x:c>
      <x:c r="O1011" s="1" t="str">
        <x:f>IF(E1011&gt;=Reporting!$B$4,"Outside cutoff",IF(M1011=1,"Closed",IF(J1011=1,"Overdue","Open - within SLA")))</x:f>
        <x:v>Closed</x:v>
      </x:c>
    </x:row>
    <x:row r="1012">
      <x:c r="A1012" s="14" t="str">
        <x:v>CASE-01007</x:v>
      </x:c>
      <x:c r="B1012" s="14" t="str">
        <x:v>Installation</x:v>
      </x:c>
      <x:c r="C1012" s="14" t="str">
        <x:v>Missing evidence</x:v>
      </x:c>
      <x:c r="D1012" s="14" t="str">
        <x:v>High</x:v>
      </x:c>
      <x:c r="E1012" s="15" t="n">
        <x:v>46240.458333333336</x:v>
      </x:c>
      <x:c r="F1012" s="15" t="n">
        <x:v>46243.458333333336</x:v>
      </x:c>
      <x:c r="G1012" s="15" t="n">
        <x:v>46248.541666666664</x:v>
      </x:c>
      <x:c r="H1012" s="14" t="n">
        <x:v>3</x:v>
      </x:c>
      <x:c r="I1012" s="1" t="n">
        <x:f>IF(AND(E1012&lt;Reporting!$B$4,OR(G1012="",G1012&gt;=Reporting!$B$4)),1,0)</x:f>
        <x:v>0</x:v>
      </x:c>
      <x:c r="J1012" s="1" t="n">
        <x:f>IF(AND(I1012=1,F1012&lt;Reporting!$B$4),1,0)</x:f>
        <x:v>0</x:v>
      </x:c>
      <x:c r="K1012" s="1" t="n">
        <x:f>IF(F1012&lt;Reporting!$B$4,1,0)</x:f>
        <x:v>1</x:v>
      </x:c>
      <x:c r="L1012" s="1" t="n">
        <x:f>IF(AND(K1012=1,G1012&lt;&gt;"",G1012&lt;=F1012),1,0)</x:f>
        <x:v>0</x:v>
      </x:c>
      <x:c r="M1012" s="1" t="n">
        <x:f>IF(AND(G1012&lt;&gt;"",G1012&lt;Reporting!$B$4),1,0)</x:f>
        <x:v>1</x:v>
      </x:c>
      <x:c r="N1012" s="16" t="n">
        <x:f>IF(M1012=1,G1012-E1012,"")</x:f>
        <x:v>8.083333333328483</x:v>
      </x:c>
      <x:c r="O1012" s="1" t="str">
        <x:f>IF(E1012&gt;=Reporting!$B$4,"Outside cutoff",IF(M1012=1,"Closed",IF(J1012=1,"Overdue","Open - within SLA")))</x:f>
        <x:v>Closed</x:v>
      </x:c>
    </x:row>
    <x:row r="1013">
      <x:c r="A1013" s="14" t="str">
        <x:v>CASE-01008</x:v>
      </x:c>
      <x:c r="B1013" s="14" t="str">
        <x:v>Installation</x:v>
      </x:c>
      <x:c r="C1013" s="14" t="str">
        <x:v>Late review</x:v>
      </x:c>
      <x:c r="D1013" s="14" t="str">
        <x:v>Medium</x:v>
      </x:c>
      <x:c r="E1013" s="15" t="n">
        <x:v>46227.666666666664</x:v>
      </x:c>
      <x:c r="F1013" s="15" t="n">
        <x:v>46234.666666666664</x:v>
      </x:c>
      <x:c r="G1013" s="15" t="n">
        <x:v>46243.75</x:v>
      </x:c>
      <x:c r="H1013" s="14" t="n">
        <x:v>3</x:v>
      </x:c>
      <x:c r="I1013" s="1" t="n">
        <x:f>IF(AND(E1013&lt;Reporting!$B$4,OR(G1013="",G1013&gt;=Reporting!$B$4)),1,0)</x:f>
        <x:v>0</x:v>
      </x:c>
      <x:c r="J1013" s="1" t="n">
        <x:f>IF(AND(I1013=1,F1013&lt;Reporting!$B$4),1,0)</x:f>
        <x:v>0</x:v>
      </x:c>
      <x:c r="K1013" s="1" t="n">
        <x:f>IF(F1013&lt;Reporting!$B$4,1,0)</x:f>
        <x:v>1</x:v>
      </x:c>
      <x:c r="L1013" s="1" t="n">
        <x:f>IF(AND(K1013=1,G1013&lt;&gt;"",G1013&lt;=F1013),1,0)</x:f>
        <x:v>0</x:v>
      </x:c>
      <x:c r="M1013" s="1" t="n">
        <x:f>IF(AND(G1013&lt;&gt;"",G1013&lt;Reporting!$B$4),1,0)</x:f>
        <x:v>1</x:v>
      </x:c>
      <x:c r="N1013" s="16" t="n">
        <x:f>IF(M1013=1,G1013-E1013,"")</x:f>
        <x:v>16.08333333333576</x:v>
      </x:c>
      <x:c r="O1013" s="1" t="str">
        <x:f>IF(E1013&gt;=Reporting!$B$4,"Outside cutoff",IF(M1013=1,"Closed",IF(J1013=1,"Overdue","Open - within SLA")))</x:f>
        <x:v>Closed</x:v>
      </x:c>
    </x:row>
    <x:row r="1014">
      <x:c r="A1014" s="14" t="str">
        <x:v>CASE-01009</x:v>
      </x:c>
      <x:c r="B1014" s="14" t="str">
        <x:v>Warehouse</x:v>
      </x:c>
      <x:c r="C1014" s="14" t="str">
        <x:v>Record mismatch</x:v>
      </x:c>
      <x:c r="D1014" s="14" t="str">
        <x:v>Low</x:v>
      </x:c>
      <x:c r="E1014" s="15" t="n">
        <x:v>46277.333333333336</x:v>
      </x:c>
      <x:c r="F1014" s="15" t="n">
        <x:v>46291.333333333336</x:v>
      </x:c>
      <x:c r="G1014" s="15"/>
      <x:c r="H1014" s="14" t="n">
        <x:v>2</x:v>
      </x:c>
      <x:c r="I1014" s="1" t="n">
        <x:f>IF(AND(E1014&lt;Reporting!$B$4,OR(G1014="",G1014&gt;=Reporting!$B$4)),1,0)</x:f>
        <x:v>1</x:v>
      </x:c>
      <x:c r="J1014" s="1" t="n">
        <x:f>IF(AND(I1014=1,F1014&lt;Reporting!$B$4),1,0)</x:f>
        <x:v>0</x:v>
      </x:c>
      <x:c r="K1014" s="1" t="n">
        <x:f>IF(F1014&lt;Reporting!$B$4,1,0)</x:f>
        <x:v>0</x:v>
      </x:c>
      <x:c r="L1014" s="1" t="n">
        <x:f>IF(AND(K1014=1,G1014&lt;&gt;"",G1014&lt;=F1014),1,0)</x:f>
        <x:v>0</x:v>
      </x:c>
      <x:c r="M1014" s="1" t="n">
        <x:f>IF(AND(G1014&lt;&gt;"",G1014&lt;Reporting!$B$4),1,0)</x:f>
        <x:v>0</x:v>
      </x:c>
      <x:c r="N1014" s="16" t="str">
        <x:f>IF(M1014=1,G1014-E1014,"")</x:f>
      </x:c>
      <x:c r="O1014" s="1" t="str">
        <x:f>IF(E1014&gt;=Reporting!$B$4,"Outside cutoff",IF(M1014=1,"Closed",IF(J1014=1,"Overdue","Open - within SLA")))</x:f>
        <x:v>Open - within SLA</x:v>
      </x:c>
    </x:row>
    <x:row r="1015">
      <x:c r="A1015" s="14" t="str">
        <x:v>CASE-01010</x:v>
      </x:c>
      <x:c r="B1015" s="14" t="str">
        <x:v>Warehouse</x:v>
      </x:c>
      <x:c r="C1015" s="14" t="str">
        <x:v>Record mismatch</x:v>
      </x:c>
      <x:c r="D1015" s="14" t="str">
        <x:v>Medium</x:v>
      </x:c>
      <x:c r="E1015" s="15" t="n">
        <x:v>46222.333333333336</x:v>
      </x:c>
      <x:c r="F1015" s="15" t="n">
        <x:v>46229.333333333336</x:v>
      </x:c>
      <x:c r="G1015" s="15" t="n">
        <x:v>46234.416666666664</x:v>
      </x:c>
      <x:c r="H1015" s="14" t="n">
        <x:v>2</x:v>
      </x:c>
      <x:c r="I1015" s="1" t="n">
        <x:f>IF(AND(E1015&lt;Reporting!$B$4,OR(G1015="",G1015&gt;=Reporting!$B$4)),1,0)</x:f>
        <x:v>0</x:v>
      </x:c>
      <x:c r="J1015" s="1" t="n">
        <x:f>IF(AND(I1015=1,F1015&lt;Reporting!$B$4),1,0)</x:f>
        <x:v>0</x:v>
      </x:c>
      <x:c r="K1015" s="1" t="n">
        <x:f>IF(F1015&lt;Reporting!$B$4,1,0)</x:f>
        <x:v>1</x:v>
      </x:c>
      <x:c r="L1015" s="1" t="n">
        <x:f>IF(AND(K1015=1,G1015&lt;&gt;"",G1015&lt;=F1015),1,0)</x:f>
        <x:v>0</x:v>
      </x:c>
      <x:c r="M1015" s="1" t="n">
        <x:f>IF(AND(G1015&lt;&gt;"",G1015&lt;Reporting!$B$4),1,0)</x:f>
        <x:v>1</x:v>
      </x:c>
      <x:c r="N1015" s="16" t="n">
        <x:f>IF(M1015=1,G1015-E1015,"")</x:f>
        <x:v>12.083333333328483</x:v>
      </x:c>
      <x:c r="O1015" s="1" t="str">
        <x:f>IF(E1015&gt;=Reporting!$B$4,"Outside cutoff",IF(M1015=1,"Closed",IF(J1015=1,"Overdue","Open - within SLA")))</x:f>
        <x:v>Closed</x:v>
      </x:c>
    </x:row>
    <x:row r="1016">
      <x:c r="A1016" s="14" t="str">
        <x:v>CASE-01011</x:v>
      </x:c>
      <x:c r="B1016" s="14" t="str">
        <x:v>Warehouse</x:v>
      </x:c>
      <x:c r="C1016" s="14" t="str">
        <x:v>Process deviation</x:v>
      </x:c>
      <x:c r="D1016" s="14" t="str">
        <x:v>Low</x:v>
      </x:c>
      <x:c r="E1016" s="15" t="n">
        <x:v>46225.333333333336</x:v>
      </x:c>
      <x:c r="F1016" s="15" t="n">
        <x:v>46239.333333333336</x:v>
      </x:c>
      <x:c r="G1016" s="15" t="n">
        <x:v>46238.375</x:v>
      </x:c>
      <x:c r="H1016" s="14" t="n">
        <x:v>2</x:v>
      </x:c>
      <x:c r="I1016" s="1" t="n">
        <x:f>IF(AND(E1016&lt;Reporting!$B$4,OR(G1016="",G1016&gt;=Reporting!$B$4)),1,0)</x:f>
        <x:v>0</x:v>
      </x:c>
      <x:c r="J1016" s="1" t="n">
        <x:f>IF(AND(I1016=1,F1016&lt;Reporting!$B$4),1,0)</x:f>
        <x:v>0</x:v>
      </x:c>
      <x:c r="K1016" s="1" t="n">
        <x:f>IF(F1016&lt;Reporting!$B$4,1,0)</x:f>
        <x:v>1</x:v>
      </x:c>
      <x:c r="L1016" s="1" t="n">
        <x:f>IF(AND(K1016=1,G1016&lt;&gt;"",G1016&lt;=F1016),1,0)</x:f>
        <x:v>1</x:v>
      </x:c>
      <x:c r="M1016" s="1" t="n">
        <x:f>IF(AND(G1016&lt;&gt;"",G1016&lt;Reporting!$B$4),1,0)</x:f>
        <x:v>1</x:v>
      </x:c>
      <x:c r="N1016" s="16" t="n">
        <x:f>IF(M1016=1,G1016-E1016,"")</x:f>
        <x:v>13.041666666664241</x:v>
      </x:c>
      <x:c r="O1016" s="1" t="str">
        <x:f>IF(E1016&gt;=Reporting!$B$4,"Outside cutoff",IF(M1016=1,"Closed",IF(J1016=1,"Overdue","Open - within SLA")))</x:f>
        <x:v>Closed</x:v>
      </x:c>
    </x:row>
    <x:row r="1017">
      <x:c r="A1017" s="14" t="str">
        <x:v>CASE-01012</x:v>
      </x:c>
      <x:c r="B1017" s="14" t="str">
        <x:v>Customer Services</x:v>
      </x:c>
      <x:c r="C1017" s="14" t="str">
        <x:v>Late review</x:v>
      </x:c>
      <x:c r="D1017" s="14" t="str">
        <x:v>Low</x:v>
      </x:c>
      <x:c r="E1017" s="15" t="n">
        <x:v>46212.416666666664</x:v>
      </x:c>
      <x:c r="F1017" s="15" t="n">
        <x:v>46226.416666666664</x:v>
      </x:c>
      <x:c r="G1017" s="15" t="n">
        <x:v>46214.5</x:v>
      </x:c>
      <x:c r="H1017" s="14" t="n">
        <x:v>1</x:v>
      </x:c>
      <x:c r="I1017" s="1" t="n">
        <x:f>IF(AND(E1017&lt;Reporting!$B$4,OR(G1017="",G1017&gt;=Reporting!$B$4)),1,0)</x:f>
        <x:v>0</x:v>
      </x:c>
      <x:c r="J1017" s="1" t="n">
        <x:f>IF(AND(I1017=1,F1017&lt;Reporting!$B$4),1,0)</x:f>
        <x:v>0</x:v>
      </x:c>
      <x:c r="K1017" s="1" t="n">
        <x:f>IF(F1017&lt;Reporting!$B$4,1,0)</x:f>
        <x:v>1</x:v>
      </x:c>
      <x:c r="L1017" s="1" t="n">
        <x:f>IF(AND(K1017=1,G1017&lt;&gt;"",G1017&lt;=F1017),1,0)</x:f>
        <x:v>1</x:v>
      </x:c>
      <x:c r="M1017" s="1" t="n">
        <x:f>IF(AND(G1017&lt;&gt;"",G1017&lt;Reporting!$B$4),1,0)</x:f>
        <x:v>1</x:v>
      </x:c>
      <x:c r="N1017" s="16" t="n">
        <x:f>IF(M1017=1,G1017-E1017,"")</x:f>
        <x:v>2.0833333333357587</x:v>
      </x:c>
      <x:c r="O1017" s="1" t="str">
        <x:f>IF(E1017&gt;=Reporting!$B$4,"Outside cutoff",IF(M1017=1,"Closed",IF(J1017=1,"Overdue","Open - within SLA")))</x:f>
        <x:v>Closed</x:v>
      </x:c>
    </x:row>
    <x:row r="1018">
      <x:c r="A1018" s="14" t="str">
        <x:v>CASE-01013</x:v>
      </x:c>
      <x:c r="B1018" s="14" t="str">
        <x:v>Customer Services</x:v>
      </x:c>
      <x:c r="C1018" s="14" t="str">
        <x:v>Record mismatch</x:v>
      </x:c>
      <x:c r="D1018" s="14" t="str">
        <x:v>Medium</x:v>
      </x:c>
      <x:c r="E1018" s="15" t="n">
        <x:v>46222.416666666664</x:v>
      </x:c>
      <x:c r="F1018" s="15" t="n">
        <x:v>46229.416666666664</x:v>
      </x:c>
      <x:c r="G1018" s="15" t="n">
        <x:v>46231.5</x:v>
      </x:c>
      <x:c r="H1018" s="14" t="n">
        <x:v>1</x:v>
      </x:c>
      <x:c r="I1018" s="1" t="n">
        <x:f>IF(AND(E1018&lt;Reporting!$B$4,OR(G1018="",G1018&gt;=Reporting!$B$4)),1,0)</x:f>
        <x:v>0</x:v>
      </x:c>
      <x:c r="J1018" s="1" t="n">
        <x:f>IF(AND(I1018=1,F1018&lt;Reporting!$B$4),1,0)</x:f>
        <x:v>0</x:v>
      </x:c>
      <x:c r="K1018" s="1" t="n">
        <x:f>IF(F1018&lt;Reporting!$B$4,1,0)</x:f>
        <x:v>1</x:v>
      </x:c>
      <x:c r="L1018" s="1" t="n">
        <x:f>IF(AND(K1018=1,G1018&lt;&gt;"",G1018&lt;=F1018),1,0)</x:f>
        <x:v>0</x:v>
      </x:c>
      <x:c r="M1018" s="1" t="n">
        <x:f>IF(AND(G1018&lt;&gt;"",G1018&lt;Reporting!$B$4),1,0)</x:f>
        <x:v>1</x:v>
      </x:c>
      <x:c r="N1018" s="16" t="n">
        <x:f>IF(M1018=1,G1018-E1018,"")</x:f>
        <x:v>9.083333333335759</x:v>
      </x:c>
      <x:c r="O1018" s="1" t="str">
        <x:f>IF(E1018&gt;=Reporting!$B$4,"Outside cutoff",IF(M1018=1,"Closed",IF(J1018=1,"Overdue","Open - within SLA")))</x:f>
        <x:v>Closed</x:v>
      </x:c>
    </x:row>
    <x:row r="1019">
      <x:c r="A1019" s="14" t="str">
        <x:v>CASE-01014</x:v>
      </x:c>
      <x:c r="B1019" s="14" t="str">
        <x:v>Customer Services</x:v>
      </x:c>
      <x:c r="C1019" s="14" t="str">
        <x:v>Record mismatch</x:v>
      </x:c>
      <x:c r="D1019" s="14" t="str">
        <x:v>Low</x:v>
      </x:c>
      <x:c r="E1019" s="15" t="n">
        <x:v>46272.458333333336</x:v>
      </x:c>
      <x:c r="F1019" s="15" t="n">
        <x:v>46286.458333333336</x:v>
      </x:c>
      <x:c r="G1019" s="15"/>
      <x:c r="H1019" s="14" t="n">
        <x:v>1</x:v>
      </x:c>
      <x:c r="I1019" s="1" t="n">
        <x:f>IF(AND(E1019&lt;Reporting!$B$4,OR(G1019="",G1019&gt;=Reporting!$B$4)),1,0)</x:f>
        <x:v>1</x:v>
      </x:c>
      <x:c r="J1019" s="1" t="n">
        <x:f>IF(AND(I1019=1,F1019&lt;Reporting!$B$4),1,0)</x:f>
        <x:v>0</x:v>
      </x:c>
      <x:c r="K1019" s="1" t="n">
        <x:f>IF(F1019&lt;Reporting!$B$4,1,0)</x:f>
        <x:v>0</x:v>
      </x:c>
      <x:c r="L1019" s="1" t="n">
        <x:f>IF(AND(K1019=1,G1019&lt;&gt;"",G1019&lt;=F1019),1,0)</x:f>
        <x:v>0</x:v>
      </x:c>
      <x:c r="M1019" s="1" t="n">
        <x:f>IF(AND(G1019&lt;&gt;"",G1019&lt;Reporting!$B$4),1,0)</x:f>
        <x:v>0</x:v>
      </x:c>
      <x:c r="N1019" s="16" t="str">
        <x:f>IF(M1019=1,G1019-E1019,"")</x:f>
      </x:c>
      <x:c r="O1019" s="1" t="str">
        <x:f>IF(E1019&gt;=Reporting!$B$4,"Outside cutoff",IF(M1019=1,"Closed",IF(J1019=1,"Overdue","Open - within SLA")))</x:f>
        <x:v>Open - within SLA</x:v>
      </x:c>
    </x:row>
    <x:row r="1020">
      <x:c r="A1020" s="14" t="str">
        <x:v>CASE-01015</x:v>
      </x:c>
      <x:c r="B1020" s="14" t="str">
        <x:v>Installation</x:v>
      </x:c>
      <x:c r="C1020" s="14" t="str">
        <x:v>Missing evidence</x:v>
      </x:c>
      <x:c r="D1020" s="14" t="str">
        <x:v>Low</x:v>
      </x:c>
      <x:c r="E1020" s="15" t="n">
        <x:v>46259.5</x:v>
      </x:c>
      <x:c r="F1020" s="15" t="n">
        <x:v>46273.5</x:v>
      </x:c>
      <x:c r="G1020" s="15" t="n">
        <x:v>46277.5</x:v>
      </x:c>
      <x:c r="H1020" s="14" t="n">
        <x:v>3</x:v>
      </x:c>
      <x:c r="I1020" s="1" t="n">
        <x:f>IF(AND(E1020&lt;Reporting!$B$4,OR(G1020="",G1020&gt;=Reporting!$B$4)),1,0)</x:f>
        <x:v>0</x:v>
      </x:c>
      <x:c r="J1020" s="1" t="n">
        <x:f>IF(AND(I1020=1,F1020&lt;Reporting!$B$4),1,0)</x:f>
        <x:v>0</x:v>
      </x:c>
      <x:c r="K1020" s="1" t="n">
        <x:f>IF(F1020&lt;Reporting!$B$4,1,0)</x:f>
        <x:v>1</x:v>
      </x:c>
      <x:c r="L1020" s="1" t="n">
        <x:f>IF(AND(K1020=1,G1020&lt;&gt;"",G1020&lt;=F1020),1,0)</x:f>
        <x:v>0</x:v>
      </x:c>
      <x:c r="M1020" s="1" t="n">
        <x:f>IF(AND(G1020&lt;&gt;"",G1020&lt;Reporting!$B$4),1,0)</x:f>
        <x:v>1</x:v>
      </x:c>
      <x:c r="N1020" s="16" t="n">
        <x:f>IF(M1020=1,G1020-E1020,"")</x:f>
        <x:v>18</x:v>
      </x:c>
      <x:c r="O1020" s="1" t="str">
        <x:f>IF(E1020&gt;=Reporting!$B$4,"Outside cutoff",IF(M1020=1,"Closed",IF(J1020=1,"Overdue","Open - within SLA")))</x:f>
        <x:v>Closed</x:v>
      </x:c>
    </x:row>
    <x:row r="1021">
      <x:c r="A1021" s="14" t="str">
        <x:v>CASE-01016</x:v>
      </x:c>
      <x:c r="B1021" s="14" t="str">
        <x:v>Customer Services</x:v>
      </x:c>
      <x:c r="C1021" s="14" t="str">
        <x:v>Process deviation</x:v>
      </x:c>
      <x:c r="D1021" s="14" t="str">
        <x:v>Medium</x:v>
      </x:c>
      <x:c r="E1021" s="15" t="n">
        <x:v>46223.375</x:v>
      </x:c>
      <x:c r="F1021" s="15" t="n">
        <x:v>46230.375</x:v>
      </x:c>
      <x:c r="G1021" s="15" t="n">
        <x:v>46225.458333333336</x:v>
      </x:c>
      <x:c r="H1021" s="14" t="n">
        <x:v>1</x:v>
      </x:c>
      <x:c r="I1021" s="1" t="n">
        <x:f>IF(AND(E1021&lt;Reporting!$B$4,OR(G1021="",G1021&gt;=Reporting!$B$4)),1,0)</x:f>
        <x:v>0</x:v>
      </x:c>
      <x:c r="J1021" s="1" t="n">
        <x:f>IF(AND(I1021=1,F1021&lt;Reporting!$B$4),1,0)</x:f>
        <x:v>0</x:v>
      </x:c>
      <x:c r="K1021" s="1" t="n">
        <x:f>IF(F1021&lt;Reporting!$B$4,1,0)</x:f>
        <x:v>1</x:v>
      </x:c>
      <x:c r="L1021" s="1" t="n">
        <x:f>IF(AND(K1021=1,G1021&lt;&gt;"",G1021&lt;=F1021),1,0)</x:f>
        <x:v>1</x:v>
      </x:c>
      <x:c r="M1021" s="1" t="n">
        <x:f>IF(AND(G1021&lt;&gt;"",G1021&lt;Reporting!$B$4),1,0)</x:f>
        <x:v>1</x:v>
      </x:c>
      <x:c r="N1021" s="16" t="n">
        <x:f>IF(M1021=1,G1021-E1021,"")</x:f>
        <x:v>2.0833333333357587</x:v>
      </x:c>
      <x:c r="O1021" s="1" t="str">
        <x:f>IF(E1021&gt;=Reporting!$B$4,"Outside cutoff",IF(M1021=1,"Closed",IF(J1021=1,"Overdue","Open - within SLA")))</x:f>
        <x:v>Closed</x:v>
      </x:c>
    </x:row>
    <x:row r="1022">
      <x:c r="A1022" s="14" t="str">
        <x:v>CASE-01017</x:v>
      </x:c>
      <x:c r="B1022" s="14" t="str">
        <x:v>Installation</x:v>
      </x:c>
      <x:c r="C1022" s="14" t="str">
        <x:v>Record mismatch</x:v>
      </x:c>
      <x:c r="D1022" s="14" t="str">
        <x:v>Medium</x:v>
      </x:c>
      <x:c r="E1022" s="15" t="n">
        <x:v>46254.5</x:v>
      </x:c>
      <x:c r="F1022" s="15" t="n">
        <x:v>46261.5</x:v>
      </x:c>
      <x:c r="G1022" s="15" t="n">
        <x:v>46269.541666666664</x:v>
      </x:c>
      <x:c r="H1022" s="14" t="n">
        <x:v>3</x:v>
      </x:c>
      <x:c r="I1022" s="1" t="n">
        <x:f>IF(AND(E1022&lt;Reporting!$B$4,OR(G1022="",G1022&gt;=Reporting!$B$4)),1,0)</x:f>
        <x:v>0</x:v>
      </x:c>
      <x:c r="J1022" s="1" t="n">
        <x:f>IF(AND(I1022=1,F1022&lt;Reporting!$B$4),1,0)</x:f>
        <x:v>0</x:v>
      </x:c>
      <x:c r="K1022" s="1" t="n">
        <x:f>IF(F1022&lt;Reporting!$B$4,1,0)</x:f>
        <x:v>1</x:v>
      </x:c>
      <x:c r="L1022" s="1" t="n">
        <x:f>IF(AND(K1022=1,G1022&lt;&gt;"",G1022&lt;=F1022),1,0)</x:f>
        <x:v>0</x:v>
      </x:c>
      <x:c r="M1022" s="1" t="n">
        <x:f>IF(AND(G1022&lt;&gt;"",G1022&lt;Reporting!$B$4),1,0)</x:f>
        <x:v>1</x:v>
      </x:c>
      <x:c r="N1022" s="16" t="n">
        <x:f>IF(M1022=1,G1022-E1022,"")</x:f>
        <x:v>15.041666666664241</x:v>
      </x:c>
      <x:c r="O1022" s="1" t="str">
        <x:f>IF(E1022&gt;=Reporting!$B$4,"Outside cutoff",IF(M1022=1,"Closed",IF(J1022=1,"Overdue","Open - within SLA")))</x:f>
        <x:v>Closed</x:v>
      </x:c>
    </x:row>
    <x:row r="1023">
      <x:c r="A1023" s="14" t="str">
        <x:v>CASE-01018</x:v>
      </x:c>
      <x:c r="B1023" s="14" t="str">
        <x:v>Installation</x:v>
      </x:c>
      <x:c r="C1023" s="14" t="str">
        <x:v>Record mismatch</x:v>
      </x:c>
      <x:c r="D1023" s="14" t="str">
        <x:v>Medium</x:v>
      </x:c>
      <x:c r="E1023" s="15" t="n">
        <x:v>46252.541666666664</x:v>
      </x:c>
      <x:c r="F1023" s="15" t="n">
        <x:v>46259.541666666664</x:v>
      </x:c>
      <x:c r="G1023" s="15" t="n">
        <x:v>46258.583333333336</x:v>
      </x:c>
      <x:c r="H1023" s="14" t="n">
        <x:v>3</x:v>
      </x:c>
      <x:c r="I1023" s="1" t="n">
        <x:f>IF(AND(E1023&lt;Reporting!$B$4,OR(G1023="",G1023&gt;=Reporting!$B$4)),1,0)</x:f>
        <x:v>0</x:v>
      </x:c>
      <x:c r="J1023" s="1" t="n">
        <x:f>IF(AND(I1023=1,F1023&lt;Reporting!$B$4),1,0)</x:f>
        <x:v>0</x:v>
      </x:c>
      <x:c r="K1023" s="1" t="n">
        <x:f>IF(F1023&lt;Reporting!$B$4,1,0)</x:f>
        <x:v>1</x:v>
      </x:c>
      <x:c r="L1023" s="1" t="n">
        <x:f>IF(AND(K1023=1,G1023&lt;&gt;"",G1023&lt;=F1023),1,0)</x:f>
        <x:v>1</x:v>
      </x:c>
      <x:c r="M1023" s="1" t="n">
        <x:f>IF(AND(G1023&lt;&gt;"",G1023&lt;Reporting!$B$4),1,0)</x:f>
        <x:v>1</x:v>
      </x:c>
      <x:c r="N1023" s="16" t="n">
        <x:f>IF(M1023=1,G1023-E1023,"")</x:f>
        <x:v>6.041666666671517</x:v>
      </x:c>
      <x:c r="O1023" s="1" t="str">
        <x:f>IF(E1023&gt;=Reporting!$B$4,"Outside cutoff",IF(M1023=1,"Closed",IF(J1023=1,"Overdue","Open - within SLA")))</x:f>
        <x:v>Closed</x:v>
      </x:c>
    </x:row>
    <x:row r="1024">
      <x:c r="A1024" s="14" t="str">
        <x:v>CASE-01019</x:v>
      </x:c>
      <x:c r="B1024" s="14" t="str">
        <x:v>Warehouse</x:v>
      </x:c>
      <x:c r="C1024" s="14" t="str">
        <x:v>Late review</x:v>
      </x:c>
      <x:c r="D1024" s="14" t="str">
        <x:v>Medium</x:v>
      </x:c>
      <x:c r="E1024" s="15" t="n">
        <x:v>46244.5</x:v>
      </x:c>
      <x:c r="F1024" s="15" t="n">
        <x:v>46251.5</x:v>
      </x:c>
      <x:c r="G1024" s="15" t="n">
        <x:v>46259.541666666664</x:v>
      </x:c>
      <x:c r="H1024" s="14" t="n">
        <x:v>2</x:v>
      </x:c>
      <x:c r="I1024" s="1" t="n">
        <x:f>IF(AND(E1024&lt;Reporting!$B$4,OR(G1024="",G1024&gt;=Reporting!$B$4)),1,0)</x:f>
        <x:v>0</x:v>
      </x:c>
      <x:c r="J1024" s="1" t="n">
        <x:f>IF(AND(I1024=1,F1024&lt;Reporting!$B$4),1,0)</x:f>
        <x:v>0</x:v>
      </x:c>
      <x:c r="K1024" s="1" t="n">
        <x:f>IF(F1024&lt;Reporting!$B$4,1,0)</x:f>
        <x:v>1</x:v>
      </x:c>
      <x:c r="L1024" s="1" t="n">
        <x:f>IF(AND(K1024=1,G1024&lt;&gt;"",G1024&lt;=F1024),1,0)</x:f>
        <x:v>0</x:v>
      </x:c>
      <x:c r="M1024" s="1" t="n">
        <x:f>IF(AND(G1024&lt;&gt;"",G1024&lt;Reporting!$B$4),1,0)</x:f>
        <x:v>1</x:v>
      </x:c>
      <x:c r="N1024" s="16" t="n">
        <x:f>IF(M1024=1,G1024-E1024,"")</x:f>
        <x:v>15.041666666664241</x:v>
      </x:c>
      <x:c r="O1024" s="1" t="str">
        <x:f>IF(E1024&gt;=Reporting!$B$4,"Outside cutoff",IF(M1024=1,"Closed",IF(J1024=1,"Overdue","Open - within SLA")))</x:f>
        <x:v>Closed</x:v>
      </x:c>
    </x:row>
    <x:row r="1025">
      <x:c r="A1025" s="14" t="str">
        <x:v>CASE-01020</x:v>
      </x:c>
      <x:c r="B1025" s="14" t="str">
        <x:v>Warehouse</x:v>
      </x:c>
      <x:c r="C1025" s="14" t="str">
        <x:v>Missing evidence</x:v>
      </x:c>
      <x:c r="D1025" s="14" t="str">
        <x:v>High</x:v>
      </x:c>
      <x:c r="E1025" s="15" t="n">
        <x:v>46206.333333333336</x:v>
      </x:c>
      <x:c r="F1025" s="15" t="n">
        <x:v>46209.333333333336</x:v>
      </x:c>
      <x:c r="G1025" s="15" t="n">
        <x:v>46224.375</x:v>
      </x:c>
      <x:c r="H1025" s="14" t="n">
        <x:v>2</x:v>
      </x:c>
      <x:c r="I1025" s="1" t="n">
        <x:f>IF(AND(E1025&lt;Reporting!$B$4,OR(G1025="",G1025&gt;=Reporting!$B$4)),1,0)</x:f>
        <x:v>0</x:v>
      </x:c>
      <x:c r="J1025" s="1" t="n">
        <x:f>IF(AND(I1025=1,F1025&lt;Reporting!$B$4),1,0)</x:f>
        <x:v>0</x:v>
      </x:c>
      <x:c r="K1025" s="1" t="n">
        <x:f>IF(F1025&lt;Reporting!$B$4,1,0)</x:f>
        <x:v>1</x:v>
      </x:c>
      <x:c r="L1025" s="1" t="n">
        <x:f>IF(AND(K1025=1,G1025&lt;&gt;"",G1025&lt;=F1025),1,0)</x:f>
        <x:v>0</x:v>
      </x:c>
      <x:c r="M1025" s="1" t="n">
        <x:f>IF(AND(G1025&lt;&gt;"",G1025&lt;Reporting!$B$4),1,0)</x:f>
        <x:v>1</x:v>
      </x:c>
      <x:c r="N1025" s="16" t="n">
        <x:f>IF(M1025=1,G1025-E1025,"")</x:f>
        <x:v>18.04166666666424</x:v>
      </x:c>
      <x:c r="O1025" s="1" t="str">
        <x:f>IF(E1025&gt;=Reporting!$B$4,"Outside cutoff",IF(M1025=1,"Closed",IF(J1025=1,"Overdue","Open - within SLA")))</x:f>
        <x:v>Closed</x:v>
      </x:c>
    </x:row>
    <x:row r="1026">
      <x:c r="A1026" s="14" t="str">
        <x:v>CASE-01021</x:v>
      </x:c>
      <x:c r="B1026" s="14" t="str">
        <x:v>Installation</x:v>
      </x:c>
      <x:c r="C1026" s="14" t="str">
        <x:v>Missing evidence</x:v>
      </x:c>
      <x:c r="D1026" s="14" t="str">
        <x:v>Medium</x:v>
      </x:c>
      <x:c r="E1026" s="15" t="n">
        <x:v>46212.333333333336</x:v>
      </x:c>
      <x:c r="F1026" s="15" t="n">
        <x:v>46219.333333333336</x:v>
      </x:c>
      <x:c r="G1026" s="15" t="n">
        <x:v>46221.333333333336</x:v>
      </x:c>
      <x:c r="H1026" s="14" t="n">
        <x:v>3</x:v>
      </x:c>
      <x:c r="I1026" s="1" t="n">
        <x:f>IF(AND(E1026&lt;Reporting!$B$4,OR(G1026="",G1026&gt;=Reporting!$B$4)),1,0)</x:f>
        <x:v>0</x:v>
      </x:c>
      <x:c r="J1026" s="1" t="n">
        <x:f>IF(AND(I1026=1,F1026&lt;Reporting!$B$4),1,0)</x:f>
        <x:v>0</x:v>
      </x:c>
      <x:c r="K1026" s="1" t="n">
        <x:f>IF(F1026&lt;Reporting!$B$4,1,0)</x:f>
        <x:v>1</x:v>
      </x:c>
      <x:c r="L1026" s="1" t="n">
        <x:f>IF(AND(K1026=1,G1026&lt;&gt;"",G1026&lt;=F1026),1,0)</x:f>
        <x:v>0</x:v>
      </x:c>
      <x:c r="M1026" s="1" t="n">
        <x:f>IF(AND(G1026&lt;&gt;"",G1026&lt;Reporting!$B$4),1,0)</x:f>
        <x:v>1</x:v>
      </x:c>
      <x:c r="N1026" s="16" t="n">
        <x:f>IF(M1026=1,G1026-E1026,"")</x:f>
        <x:v>9</x:v>
      </x:c>
      <x:c r="O1026" s="1" t="str">
        <x:f>IF(E1026&gt;=Reporting!$B$4,"Outside cutoff",IF(M1026=1,"Closed",IF(J1026=1,"Overdue","Open - within SLA")))</x:f>
        <x:v>Closed</x:v>
      </x:c>
    </x:row>
    <x:row r="1027">
      <x:c r="A1027" s="14" t="str">
        <x:v>CASE-01022</x:v>
      </x:c>
      <x:c r="B1027" s="14" t="str">
        <x:v>Installation</x:v>
      </x:c>
      <x:c r="C1027" s="14" t="str">
        <x:v>Process deviation</x:v>
      </x:c>
      <x:c r="D1027" s="14" t="str">
        <x:v>Medium</x:v>
      </x:c>
      <x:c r="E1027" s="15" t="n">
        <x:v>46284.625</x:v>
      </x:c>
      <x:c r="F1027" s="15" t="n">
        <x:v>46291.625</x:v>
      </x:c>
      <x:c r="G1027" s="15"/>
      <x:c r="H1027" s="14" t="n">
        <x:v>3</x:v>
      </x:c>
      <x:c r="I1027" s="1" t="n">
        <x:f>IF(AND(E1027&lt;Reporting!$B$4,OR(G1027="",G1027&gt;=Reporting!$B$4)),1,0)</x:f>
        <x:v>1</x:v>
      </x:c>
      <x:c r="J1027" s="1" t="n">
        <x:f>IF(AND(I1027=1,F1027&lt;Reporting!$B$4),1,0)</x:f>
        <x:v>0</x:v>
      </x:c>
      <x:c r="K1027" s="1" t="n">
        <x:f>IF(F1027&lt;Reporting!$B$4,1,0)</x:f>
        <x:v>0</x:v>
      </x:c>
      <x:c r="L1027" s="1" t="n">
        <x:f>IF(AND(K1027=1,G1027&lt;&gt;"",G1027&lt;=F1027),1,0)</x:f>
        <x:v>0</x:v>
      </x:c>
      <x:c r="M1027" s="1" t="n">
        <x:f>IF(AND(G1027&lt;&gt;"",G1027&lt;Reporting!$B$4),1,0)</x:f>
        <x:v>0</x:v>
      </x:c>
      <x:c r="N1027" s="16" t="str">
        <x:f>IF(M1027=1,G1027-E1027,"")</x:f>
      </x:c>
      <x:c r="O1027" s="1" t="str">
        <x:f>IF(E1027&gt;=Reporting!$B$4,"Outside cutoff",IF(M1027=1,"Closed",IF(J1027=1,"Overdue","Open - within SLA")))</x:f>
        <x:v>Open - within SLA</x:v>
      </x:c>
    </x:row>
    <x:row r="1028">
      <x:c r="A1028" s="14" t="str">
        <x:v>CASE-01023</x:v>
      </x:c>
      <x:c r="B1028" s="14" t="str">
        <x:v>Customer Services</x:v>
      </x:c>
      <x:c r="C1028" s="14" t="str">
        <x:v>Process deviation</x:v>
      </x:c>
      <x:c r="D1028" s="14" t="str">
        <x:v>Low</x:v>
      </x:c>
      <x:c r="E1028" s="15" t="n">
        <x:v>46205.416666666664</x:v>
      </x:c>
      <x:c r="F1028" s="15" t="n">
        <x:v>46219.416666666664</x:v>
      </x:c>
      <x:c r="G1028" s="15" t="n">
        <x:v>46215.458333333336</x:v>
      </x:c>
      <x:c r="H1028" s="14" t="n">
        <x:v>1</x:v>
      </x:c>
      <x:c r="I1028" s="1" t="n">
        <x:f>IF(AND(E1028&lt;Reporting!$B$4,OR(G1028="",G1028&gt;=Reporting!$B$4)),1,0)</x:f>
        <x:v>0</x:v>
      </x:c>
      <x:c r="J1028" s="1" t="n">
        <x:f>IF(AND(I1028=1,F1028&lt;Reporting!$B$4),1,0)</x:f>
        <x:v>0</x:v>
      </x:c>
      <x:c r="K1028" s="1" t="n">
        <x:f>IF(F1028&lt;Reporting!$B$4,1,0)</x:f>
        <x:v>1</x:v>
      </x:c>
      <x:c r="L1028" s="1" t="n">
        <x:f>IF(AND(K1028=1,G1028&lt;&gt;"",G1028&lt;=F1028),1,0)</x:f>
        <x:v>1</x:v>
      </x:c>
      <x:c r="M1028" s="1" t="n">
        <x:f>IF(AND(G1028&lt;&gt;"",G1028&lt;Reporting!$B$4),1,0)</x:f>
        <x:v>1</x:v>
      </x:c>
      <x:c r="N1028" s="16" t="n">
        <x:f>IF(M1028=1,G1028-E1028,"")</x:f>
        <x:v>10.041666666671517</x:v>
      </x:c>
      <x:c r="O1028" s="1" t="str">
        <x:f>IF(E1028&gt;=Reporting!$B$4,"Outside cutoff",IF(M1028=1,"Closed",IF(J1028=1,"Overdue","Open - within SLA")))</x:f>
        <x:v>Closed</x:v>
      </x:c>
    </x:row>
    <x:row r="1029">
      <x:c r="A1029" s="14" t="str">
        <x:v>CASE-01024</x:v>
      </x:c>
      <x:c r="B1029" s="14" t="str">
        <x:v>Warehouse</x:v>
      </x:c>
      <x:c r="C1029" s="14" t="str">
        <x:v>Process deviation</x:v>
      </x:c>
      <x:c r="D1029" s="14" t="str">
        <x:v>Low</x:v>
      </x:c>
      <x:c r="E1029" s="15" t="n">
        <x:v>46246.5</x:v>
      </x:c>
      <x:c r="F1029" s="15" t="n">
        <x:v>46260.5</x:v>
      </x:c>
      <x:c r="G1029" s="15" t="n">
        <x:v>46260.583333333336</x:v>
      </x:c>
      <x:c r="H1029" s="14" t="n">
        <x:v>2</x:v>
      </x:c>
      <x:c r="I1029" s="1" t="n">
        <x:f>IF(AND(E1029&lt;Reporting!$B$4,OR(G1029="",G1029&gt;=Reporting!$B$4)),1,0)</x:f>
        <x:v>0</x:v>
      </x:c>
      <x:c r="J1029" s="1" t="n">
        <x:f>IF(AND(I1029=1,F1029&lt;Reporting!$B$4),1,0)</x:f>
        <x:v>0</x:v>
      </x:c>
      <x:c r="K1029" s="1" t="n">
        <x:f>IF(F1029&lt;Reporting!$B$4,1,0)</x:f>
        <x:v>1</x:v>
      </x:c>
      <x:c r="L1029" s="1" t="n">
        <x:f>IF(AND(K1029=1,G1029&lt;&gt;"",G1029&lt;=F1029),1,0)</x:f>
        <x:v>0</x:v>
      </x:c>
      <x:c r="M1029" s="1" t="n">
        <x:f>IF(AND(G1029&lt;&gt;"",G1029&lt;Reporting!$B$4),1,0)</x:f>
        <x:v>1</x:v>
      </x:c>
      <x:c r="N1029" s="16" t="n">
        <x:f>IF(M1029=1,G1029-E1029,"")</x:f>
        <x:v>14.083333333335759</x:v>
      </x:c>
      <x:c r="O1029" s="1" t="str">
        <x:f>IF(E1029&gt;=Reporting!$B$4,"Outside cutoff",IF(M1029=1,"Closed",IF(J1029=1,"Overdue","Open - within SLA")))</x:f>
        <x:v>Closed</x:v>
      </x:c>
    </x:row>
    <x:row r="1030">
      <x:c r="A1030" s="14" t="str">
        <x:v>CASE-01025</x:v>
      </x:c>
      <x:c r="B1030" s="14" t="str">
        <x:v>Warehouse</x:v>
      </x:c>
      <x:c r="C1030" s="14" t="str">
        <x:v>Record mismatch</x:v>
      </x:c>
      <x:c r="D1030" s="14" t="str">
        <x:v>Low</x:v>
      </x:c>
      <x:c r="E1030" s="15" t="n">
        <x:v>46265.5</x:v>
      </x:c>
      <x:c r="F1030" s="15" t="n">
        <x:v>46279.5</x:v>
      </x:c>
      <x:c r="G1030" s="15"/>
      <x:c r="H1030" s="14" t="n">
        <x:v>2</x:v>
      </x:c>
      <x:c r="I1030" s="1" t="n">
        <x:f>IF(AND(E1030&lt;Reporting!$B$4,OR(G1030="",G1030&gt;=Reporting!$B$4)),1,0)</x:f>
        <x:v>1</x:v>
      </x:c>
      <x:c r="J1030" s="1" t="n">
        <x:f>IF(AND(I1030=1,F1030&lt;Reporting!$B$4),1,0)</x:f>
        <x:v>1</x:v>
      </x:c>
      <x:c r="K1030" s="1" t="n">
        <x:f>IF(F1030&lt;Reporting!$B$4,1,0)</x:f>
        <x:v>1</x:v>
      </x:c>
      <x:c r="L1030" s="1" t="n">
        <x:f>IF(AND(K1030=1,G1030&lt;&gt;"",G1030&lt;=F1030),1,0)</x:f>
        <x:v>0</x:v>
      </x:c>
      <x:c r="M1030" s="1" t="n">
        <x:f>IF(AND(G1030&lt;&gt;"",G1030&lt;Reporting!$B$4),1,0)</x:f>
        <x:v>0</x:v>
      </x:c>
      <x:c r="N1030" s="16" t="str">
        <x:f>IF(M1030=1,G1030-E1030,"")</x:f>
      </x:c>
      <x:c r="O1030" s="1" t="str">
        <x:f>IF(E1030&gt;=Reporting!$B$4,"Outside cutoff",IF(M1030=1,"Closed",IF(J1030=1,"Overdue","Open - within SLA")))</x:f>
        <x:v>Overdue</x:v>
      </x:c>
    </x:row>
    <x:row r="1031">
      <x:c r="A1031" s="14" t="str">
        <x:v>CASE-01026</x:v>
      </x:c>
      <x:c r="B1031" s="14" t="str">
        <x:v>Warehouse</x:v>
      </x:c>
      <x:c r="C1031" s="14" t="str">
        <x:v>Record mismatch</x:v>
      </x:c>
      <x:c r="D1031" s="14" t="str">
        <x:v>Low</x:v>
      </x:c>
      <x:c r="E1031" s="15" t="n">
        <x:v>46268.333333333336</x:v>
      </x:c>
      <x:c r="F1031" s="15" t="n">
        <x:v>46282.333333333336</x:v>
      </x:c>
      <x:c r="G1031" s="15" t="n">
        <x:v>46282.333333333336</x:v>
      </x:c>
      <x:c r="H1031" s="14" t="n">
        <x:v>2</x:v>
      </x:c>
      <x:c r="I1031" s="1" t="n">
        <x:f>IF(AND(E1031&lt;Reporting!$B$4,OR(G1031="",G1031&gt;=Reporting!$B$4)),1,0)</x:f>
        <x:v>0</x:v>
      </x:c>
      <x:c r="J1031" s="1" t="n">
        <x:f>IF(AND(I1031=1,F1031&lt;Reporting!$B$4),1,0)</x:f>
        <x:v>0</x:v>
      </x:c>
      <x:c r="K1031" s="1" t="n">
        <x:f>IF(F1031&lt;Reporting!$B$4,1,0)</x:f>
        <x:v>1</x:v>
      </x:c>
      <x:c r="L1031" s="1" t="n">
        <x:f>IF(AND(K1031=1,G1031&lt;&gt;"",G1031&lt;=F1031),1,0)</x:f>
        <x:v>1</x:v>
      </x:c>
      <x:c r="M1031" s="1" t="n">
        <x:f>IF(AND(G1031&lt;&gt;"",G1031&lt;Reporting!$B$4),1,0)</x:f>
        <x:v>1</x:v>
      </x:c>
      <x:c r="N1031" s="16" t="n">
        <x:f>IF(M1031=1,G1031-E1031,"")</x:f>
        <x:v>14</x:v>
      </x:c>
      <x:c r="O1031" s="1" t="str">
        <x:f>IF(E1031&gt;=Reporting!$B$4,"Outside cutoff",IF(M1031=1,"Closed",IF(J1031=1,"Overdue","Open - within SLA")))</x:f>
        <x:v>Closed</x:v>
      </x:c>
    </x:row>
    <x:row r="1032">
      <x:c r="A1032" s="14" t="str">
        <x:v>CASE-01027</x:v>
      </x:c>
      <x:c r="B1032" s="14" t="str">
        <x:v>Installation</x:v>
      </x:c>
      <x:c r="C1032" s="14" t="str">
        <x:v>Record mismatch</x:v>
      </x:c>
      <x:c r="D1032" s="14" t="str">
        <x:v>Low</x:v>
      </x:c>
      <x:c r="E1032" s="15" t="n">
        <x:v>46203.625</x:v>
      </x:c>
      <x:c r="F1032" s="15" t="n">
        <x:v>46217.625</x:v>
      </x:c>
      <x:c r="G1032" s="15" t="n">
        <x:v>46216.666666666664</x:v>
      </x:c>
      <x:c r="H1032" s="14" t="n">
        <x:v>3</x:v>
      </x:c>
      <x:c r="I1032" s="1" t="n">
        <x:f>IF(AND(E1032&lt;Reporting!$B$4,OR(G1032="",G1032&gt;=Reporting!$B$4)),1,0)</x:f>
        <x:v>0</x:v>
      </x:c>
      <x:c r="J1032" s="1" t="n">
        <x:f>IF(AND(I1032=1,F1032&lt;Reporting!$B$4),1,0)</x:f>
        <x:v>0</x:v>
      </x:c>
      <x:c r="K1032" s="1" t="n">
        <x:f>IF(F1032&lt;Reporting!$B$4,1,0)</x:f>
        <x:v>1</x:v>
      </x:c>
      <x:c r="L1032" s="1" t="n">
        <x:f>IF(AND(K1032=1,G1032&lt;&gt;"",G1032&lt;=F1032),1,0)</x:f>
        <x:v>1</x:v>
      </x:c>
      <x:c r="M1032" s="1" t="n">
        <x:f>IF(AND(G1032&lt;&gt;"",G1032&lt;Reporting!$B$4),1,0)</x:f>
        <x:v>1</x:v>
      </x:c>
      <x:c r="N1032" s="16" t="n">
        <x:f>IF(M1032=1,G1032-E1032,"")</x:f>
        <x:v>13.041666666664241</x:v>
      </x:c>
      <x:c r="O1032" s="1" t="str">
        <x:f>IF(E1032&gt;=Reporting!$B$4,"Outside cutoff",IF(M1032=1,"Closed",IF(J1032=1,"Overdue","Open - within SLA")))</x:f>
        <x:v>Closed</x:v>
      </x:c>
    </x:row>
    <x:row r="1033">
      <x:c r="A1033" s="14" t="str">
        <x:v>CASE-01028</x:v>
      </x:c>
      <x:c r="B1033" s="14" t="str">
        <x:v>Customer Services</x:v>
      </x:c>
      <x:c r="C1033" s="14" t="str">
        <x:v>Late review</x:v>
      </x:c>
      <x:c r="D1033" s="14" t="str">
        <x:v>High</x:v>
      </x:c>
      <x:c r="E1033" s="15" t="n">
        <x:v>46283.583333333336</x:v>
      </x:c>
      <x:c r="F1033" s="15" t="n">
        <x:v>46286.583333333336</x:v>
      </x:c>
      <x:c r="G1033" s="15"/>
      <x:c r="H1033" s="14" t="n">
        <x:v>1</x:v>
      </x:c>
      <x:c r="I1033" s="1" t="n">
        <x:f>IF(AND(E1033&lt;Reporting!$B$4,OR(G1033="",G1033&gt;=Reporting!$B$4)),1,0)</x:f>
        <x:v>1</x:v>
      </x:c>
      <x:c r="J1033" s="1" t="n">
        <x:f>IF(AND(I1033=1,F1033&lt;Reporting!$B$4),1,0)</x:f>
        <x:v>0</x:v>
      </x:c>
      <x:c r="K1033" s="1" t="n">
        <x:f>IF(F1033&lt;Reporting!$B$4,1,0)</x:f>
        <x:v>0</x:v>
      </x:c>
      <x:c r="L1033" s="1" t="n">
        <x:f>IF(AND(K1033=1,G1033&lt;&gt;"",G1033&lt;=F1033),1,0)</x:f>
        <x:v>0</x:v>
      </x:c>
      <x:c r="M1033" s="1" t="n">
        <x:f>IF(AND(G1033&lt;&gt;"",G1033&lt;Reporting!$B$4),1,0)</x:f>
        <x:v>0</x:v>
      </x:c>
      <x:c r="N1033" s="16" t="str">
        <x:f>IF(M1033=1,G1033-E1033,"")</x:f>
      </x:c>
      <x:c r="O1033" s="1" t="str">
        <x:f>IF(E1033&gt;=Reporting!$B$4,"Outside cutoff",IF(M1033=1,"Closed",IF(J1033=1,"Overdue","Open - within SLA")))</x:f>
        <x:v>Open - within SLA</x:v>
      </x:c>
    </x:row>
    <x:row r="1034">
      <x:c r="A1034" s="14" t="str">
        <x:v>CASE-01029</x:v>
      </x:c>
      <x:c r="B1034" s="14" t="str">
        <x:v>Customer Services</x:v>
      </x:c>
      <x:c r="C1034" s="14" t="str">
        <x:v>Record mismatch</x:v>
      </x:c>
      <x:c r="D1034" s="14" t="str">
        <x:v>Medium</x:v>
      </x:c>
      <x:c r="E1034" s="15" t="n">
        <x:v>46283.5</x:v>
      </x:c>
      <x:c r="F1034" s="15" t="n">
        <x:v>46290.5</x:v>
      </x:c>
      <x:c r="G1034" s="15"/>
      <x:c r="H1034" s="14" t="n">
        <x:v>1</x:v>
      </x:c>
      <x:c r="I1034" s="1" t="n">
        <x:f>IF(AND(E1034&lt;Reporting!$B$4,OR(G1034="",G1034&gt;=Reporting!$B$4)),1,0)</x:f>
        <x:v>1</x:v>
      </x:c>
      <x:c r="J1034" s="1" t="n">
        <x:f>IF(AND(I1034=1,F1034&lt;Reporting!$B$4),1,0)</x:f>
        <x:v>0</x:v>
      </x:c>
      <x:c r="K1034" s="1" t="n">
        <x:f>IF(F1034&lt;Reporting!$B$4,1,0)</x:f>
        <x:v>0</x:v>
      </x:c>
      <x:c r="L1034" s="1" t="n">
        <x:f>IF(AND(K1034=1,G1034&lt;&gt;"",G1034&lt;=F1034),1,0)</x:f>
        <x:v>0</x:v>
      </x:c>
      <x:c r="M1034" s="1" t="n">
        <x:f>IF(AND(G1034&lt;&gt;"",G1034&lt;Reporting!$B$4),1,0)</x:f>
        <x:v>0</x:v>
      </x:c>
      <x:c r="N1034" s="16" t="str">
        <x:f>IF(M1034=1,G1034-E1034,"")</x:f>
      </x:c>
      <x:c r="O1034" s="1" t="str">
        <x:f>IF(E1034&gt;=Reporting!$B$4,"Outside cutoff",IF(M1034=1,"Closed",IF(J1034=1,"Overdue","Open - within SLA")))</x:f>
        <x:v>Open - within SLA</x:v>
      </x:c>
    </x:row>
    <x:row r="1035">
      <x:c r="A1035" s="14" t="str">
        <x:v>CASE-01030</x:v>
      </x:c>
      <x:c r="B1035" s="14" t="str">
        <x:v>Customer Services</x:v>
      </x:c>
      <x:c r="C1035" s="14" t="str">
        <x:v>Late review</x:v>
      </x:c>
      <x:c r="D1035" s="14" t="str">
        <x:v>Low</x:v>
      </x:c>
      <x:c r="E1035" s="15" t="n">
        <x:v>46212.541666666664</x:v>
      </x:c>
      <x:c r="F1035" s="15" t="n">
        <x:v>46226.541666666664</x:v>
      </x:c>
      <x:c r="G1035" s="15" t="n">
        <x:v>46230.583333333336</x:v>
      </x:c>
      <x:c r="H1035" s="14" t="n">
        <x:v>1</x:v>
      </x:c>
      <x:c r="I1035" s="1" t="n">
        <x:f>IF(AND(E1035&lt;Reporting!$B$4,OR(G1035="",G1035&gt;=Reporting!$B$4)),1,0)</x:f>
        <x:v>0</x:v>
      </x:c>
      <x:c r="J1035" s="1" t="n">
        <x:f>IF(AND(I1035=1,F1035&lt;Reporting!$B$4),1,0)</x:f>
        <x:v>0</x:v>
      </x:c>
      <x:c r="K1035" s="1" t="n">
        <x:f>IF(F1035&lt;Reporting!$B$4,1,0)</x:f>
        <x:v>1</x:v>
      </x:c>
      <x:c r="L1035" s="1" t="n">
        <x:f>IF(AND(K1035=1,G1035&lt;&gt;"",G1035&lt;=F1035),1,0)</x:f>
        <x:v>0</x:v>
      </x:c>
      <x:c r="M1035" s="1" t="n">
        <x:f>IF(AND(G1035&lt;&gt;"",G1035&lt;Reporting!$B$4),1,0)</x:f>
        <x:v>1</x:v>
      </x:c>
      <x:c r="N1035" s="16" t="n">
        <x:f>IF(M1035=1,G1035-E1035,"")</x:f>
        <x:v>18.041666666671517</x:v>
      </x:c>
      <x:c r="O1035" s="1" t="str">
        <x:f>IF(E1035&gt;=Reporting!$B$4,"Outside cutoff",IF(M1035=1,"Closed",IF(J1035=1,"Overdue","Open - within SLA")))</x:f>
        <x:v>Closed</x:v>
      </x:c>
    </x:row>
    <x:row r="1036">
      <x:c r="A1036" s="14" t="str">
        <x:v>CASE-01031</x:v>
      </x:c>
      <x:c r="B1036" s="14" t="str">
        <x:v>Customer Services</x:v>
      </x:c>
      <x:c r="C1036" s="14" t="str">
        <x:v>Late review</x:v>
      </x:c>
      <x:c r="D1036" s="14" t="str">
        <x:v>High</x:v>
      </x:c>
      <x:c r="E1036" s="15" t="n">
        <x:v>46202.5</x:v>
      </x:c>
      <x:c r="F1036" s="15" t="n">
        <x:v>46205.5</x:v>
      </x:c>
      <x:c r="G1036" s="15" t="n">
        <x:v>46217.583333333336</x:v>
      </x:c>
      <x:c r="H1036" s="14" t="n">
        <x:v>1</x:v>
      </x:c>
      <x:c r="I1036" s="1" t="n">
        <x:f>IF(AND(E1036&lt;Reporting!$B$4,OR(G1036="",G1036&gt;=Reporting!$B$4)),1,0)</x:f>
        <x:v>0</x:v>
      </x:c>
      <x:c r="J1036" s="1" t="n">
        <x:f>IF(AND(I1036=1,F1036&lt;Reporting!$B$4),1,0)</x:f>
        <x:v>0</x:v>
      </x:c>
      <x:c r="K1036" s="1" t="n">
        <x:f>IF(F1036&lt;Reporting!$B$4,1,0)</x:f>
        <x:v>1</x:v>
      </x:c>
      <x:c r="L1036" s="1" t="n">
        <x:f>IF(AND(K1036=1,G1036&lt;&gt;"",G1036&lt;=F1036),1,0)</x:f>
        <x:v>0</x:v>
      </x:c>
      <x:c r="M1036" s="1" t="n">
        <x:f>IF(AND(G1036&lt;&gt;"",G1036&lt;Reporting!$B$4),1,0)</x:f>
        <x:v>1</x:v>
      </x:c>
      <x:c r="N1036" s="16" t="n">
        <x:f>IF(M1036=1,G1036-E1036,"")</x:f>
        <x:v>15.083333333335759</x:v>
      </x:c>
      <x:c r="O1036" s="1" t="str">
        <x:f>IF(E1036&gt;=Reporting!$B$4,"Outside cutoff",IF(M1036=1,"Closed",IF(J1036=1,"Overdue","Open - within SLA")))</x:f>
        <x:v>Closed</x:v>
      </x:c>
    </x:row>
    <x:row r="1037">
      <x:c r="A1037" s="14" t="str">
        <x:v>CASE-01032</x:v>
      </x:c>
      <x:c r="B1037" s="14" t="str">
        <x:v>Installation</x:v>
      </x:c>
      <x:c r="C1037" s="14" t="str">
        <x:v>Process deviation</x:v>
      </x:c>
      <x:c r="D1037" s="14" t="str">
        <x:v>Low</x:v>
      </x:c>
      <x:c r="E1037" s="15" t="n">
        <x:v>46223.416666666664</x:v>
      </x:c>
      <x:c r="F1037" s="15" t="n">
        <x:v>46237.416666666664</x:v>
      </x:c>
      <x:c r="G1037" s="15" t="n">
        <x:v>46235.5</x:v>
      </x:c>
      <x:c r="H1037" s="14" t="n">
        <x:v>3</x:v>
      </x:c>
      <x:c r="I1037" s="1" t="n">
        <x:f>IF(AND(E1037&lt;Reporting!$B$4,OR(G1037="",G1037&gt;=Reporting!$B$4)),1,0)</x:f>
        <x:v>0</x:v>
      </x:c>
      <x:c r="J1037" s="1" t="n">
        <x:f>IF(AND(I1037=1,F1037&lt;Reporting!$B$4),1,0)</x:f>
        <x:v>0</x:v>
      </x:c>
      <x:c r="K1037" s="1" t="n">
        <x:f>IF(F1037&lt;Reporting!$B$4,1,0)</x:f>
        <x:v>1</x:v>
      </x:c>
      <x:c r="L1037" s="1" t="n">
        <x:f>IF(AND(K1037=1,G1037&lt;&gt;"",G1037&lt;=F1037),1,0)</x:f>
        <x:v>1</x:v>
      </x:c>
      <x:c r="M1037" s="1" t="n">
        <x:f>IF(AND(G1037&lt;&gt;"",G1037&lt;Reporting!$B$4),1,0)</x:f>
        <x:v>1</x:v>
      </x:c>
      <x:c r="N1037" s="16" t="n">
        <x:f>IF(M1037=1,G1037-E1037,"")</x:f>
        <x:v>12.083333333335759</x:v>
      </x:c>
      <x:c r="O1037" s="1" t="str">
        <x:f>IF(E1037&gt;=Reporting!$B$4,"Outside cutoff",IF(M1037=1,"Closed",IF(J1037=1,"Overdue","Open - within SLA")))</x:f>
        <x:v>Closed</x:v>
      </x:c>
    </x:row>
    <x:row r="1038">
      <x:c r="A1038" s="14" t="str">
        <x:v>CASE-01033</x:v>
      </x:c>
      <x:c r="B1038" s="14" t="str">
        <x:v>Warehouse</x:v>
      </x:c>
      <x:c r="C1038" s="14" t="str">
        <x:v>Process deviation</x:v>
      </x:c>
      <x:c r="D1038" s="14" t="str">
        <x:v>Medium</x:v>
      </x:c>
      <x:c r="E1038" s="15" t="n">
        <x:v>46265.416666666664</x:v>
      </x:c>
      <x:c r="F1038" s="15" t="n">
        <x:v>46272.416666666664</x:v>
      </x:c>
      <x:c r="G1038" s="15"/>
      <x:c r="H1038" s="14" t="n">
        <x:v>2</x:v>
      </x:c>
      <x:c r="I1038" s="1" t="n">
        <x:f>IF(AND(E1038&lt;Reporting!$B$4,OR(G1038="",G1038&gt;=Reporting!$B$4)),1,0)</x:f>
        <x:v>1</x:v>
      </x:c>
      <x:c r="J1038" s="1" t="n">
        <x:f>IF(AND(I1038=1,F1038&lt;Reporting!$B$4),1,0)</x:f>
        <x:v>1</x:v>
      </x:c>
      <x:c r="K1038" s="1" t="n">
        <x:f>IF(F1038&lt;Reporting!$B$4,1,0)</x:f>
        <x:v>1</x:v>
      </x:c>
      <x:c r="L1038" s="1" t="n">
        <x:f>IF(AND(K1038=1,G1038&lt;&gt;"",G1038&lt;=F1038),1,0)</x:f>
        <x:v>0</x:v>
      </x:c>
      <x:c r="M1038" s="1" t="n">
        <x:f>IF(AND(G1038&lt;&gt;"",G1038&lt;Reporting!$B$4),1,0)</x:f>
        <x:v>0</x:v>
      </x:c>
      <x:c r="N1038" s="16" t="str">
        <x:f>IF(M1038=1,G1038-E1038,"")</x:f>
      </x:c>
      <x:c r="O1038" s="1" t="str">
        <x:f>IF(E1038&gt;=Reporting!$B$4,"Outside cutoff",IF(M1038=1,"Closed",IF(J1038=1,"Overdue","Open - within SLA")))</x:f>
        <x:v>Overdue</x:v>
      </x:c>
    </x:row>
    <x:row r="1039">
      <x:c r="A1039" s="14" t="str">
        <x:v>CASE-01034</x:v>
      </x:c>
      <x:c r="B1039" s="14" t="str">
        <x:v>Installation</x:v>
      </x:c>
      <x:c r="C1039" s="14" t="str">
        <x:v>Process deviation</x:v>
      </x:c>
      <x:c r="D1039" s="14" t="str">
        <x:v>Medium</x:v>
      </x:c>
      <x:c r="E1039" s="15" t="n">
        <x:v>46270.583333333336</x:v>
      </x:c>
      <x:c r="F1039" s="15" t="n">
        <x:v>46277.583333333336</x:v>
      </x:c>
      <x:c r="G1039" s="15" t="n">
        <x:v>46271.583333333336</x:v>
      </x:c>
      <x:c r="H1039" s="14" t="n">
        <x:v>3</x:v>
      </x:c>
      <x:c r="I1039" s="1" t="n">
        <x:f>IF(AND(E1039&lt;Reporting!$B$4,OR(G1039="",G1039&gt;=Reporting!$B$4)),1,0)</x:f>
        <x:v>0</x:v>
      </x:c>
      <x:c r="J1039" s="1" t="n">
        <x:f>IF(AND(I1039=1,F1039&lt;Reporting!$B$4),1,0)</x:f>
        <x:v>0</x:v>
      </x:c>
      <x:c r="K1039" s="1" t="n">
        <x:f>IF(F1039&lt;Reporting!$B$4,1,0)</x:f>
        <x:v>1</x:v>
      </x:c>
      <x:c r="L1039" s="1" t="n">
        <x:f>IF(AND(K1039=1,G1039&lt;&gt;"",G1039&lt;=F1039),1,0)</x:f>
        <x:v>1</x:v>
      </x:c>
      <x:c r="M1039" s="1" t="n">
        <x:f>IF(AND(G1039&lt;&gt;"",G1039&lt;Reporting!$B$4),1,0)</x:f>
        <x:v>1</x:v>
      </x:c>
      <x:c r="N1039" s="16" t="n">
        <x:f>IF(M1039=1,G1039-E1039,"")</x:f>
        <x:v>1</x:v>
      </x:c>
      <x:c r="O1039" s="1" t="str">
        <x:f>IF(E1039&gt;=Reporting!$B$4,"Outside cutoff",IF(M1039=1,"Closed",IF(J1039=1,"Overdue","Open - within SLA")))</x:f>
        <x:v>Closed</x:v>
      </x:c>
    </x:row>
    <x:row r="1040">
      <x:c r="A1040" s="14" t="str">
        <x:v>CASE-01035</x:v>
      </x:c>
      <x:c r="B1040" s="14" t="str">
        <x:v>Customer Services</x:v>
      </x:c>
      <x:c r="C1040" s="14" t="str">
        <x:v>Record mismatch</x:v>
      </x:c>
      <x:c r="D1040" s="14" t="str">
        <x:v>Medium</x:v>
      </x:c>
      <x:c r="E1040" s="15" t="n">
        <x:v>46236.333333333336</x:v>
      </x:c>
      <x:c r="F1040" s="15" t="n">
        <x:v>46243.333333333336</x:v>
      </x:c>
      <x:c r="G1040" s="15" t="n">
        <x:v>46247.333333333336</x:v>
      </x:c>
      <x:c r="H1040" s="14" t="n">
        <x:v>1</x:v>
      </x:c>
      <x:c r="I1040" s="1" t="n">
        <x:f>IF(AND(E1040&lt;Reporting!$B$4,OR(G1040="",G1040&gt;=Reporting!$B$4)),1,0)</x:f>
        <x:v>0</x:v>
      </x:c>
      <x:c r="J1040" s="1" t="n">
        <x:f>IF(AND(I1040=1,F1040&lt;Reporting!$B$4),1,0)</x:f>
        <x:v>0</x:v>
      </x:c>
      <x:c r="K1040" s="1" t="n">
        <x:f>IF(F1040&lt;Reporting!$B$4,1,0)</x:f>
        <x:v>1</x:v>
      </x:c>
      <x:c r="L1040" s="1" t="n">
        <x:f>IF(AND(K1040=1,G1040&lt;&gt;"",G1040&lt;=F1040),1,0)</x:f>
        <x:v>0</x:v>
      </x:c>
      <x:c r="M1040" s="1" t="n">
        <x:f>IF(AND(G1040&lt;&gt;"",G1040&lt;Reporting!$B$4),1,0)</x:f>
        <x:v>1</x:v>
      </x:c>
      <x:c r="N1040" s="16" t="n">
        <x:f>IF(M1040=1,G1040-E1040,"")</x:f>
        <x:v>11</x:v>
      </x:c>
      <x:c r="O1040" s="1" t="str">
        <x:f>IF(E1040&gt;=Reporting!$B$4,"Outside cutoff",IF(M1040=1,"Closed",IF(J1040=1,"Overdue","Open - within SLA")))</x:f>
        <x:v>Closed</x:v>
      </x:c>
    </x:row>
    <x:row r="1041">
      <x:c r="A1041" s="14" t="str">
        <x:v>CASE-01036</x:v>
      </x:c>
      <x:c r="B1041" s="14" t="str">
        <x:v>Warehouse</x:v>
      </x:c>
      <x:c r="C1041" s="14" t="str">
        <x:v>Missing evidence</x:v>
      </x:c>
      <x:c r="D1041" s="14" t="str">
        <x:v>High</x:v>
      </x:c>
      <x:c r="E1041" s="15" t="n">
        <x:v>46269.5</x:v>
      </x:c>
      <x:c r="F1041" s="15" t="n">
        <x:v>46272.5</x:v>
      </x:c>
      <x:c r="G1041" s="15"/>
      <x:c r="H1041" s="14" t="n">
        <x:v>2</x:v>
      </x:c>
      <x:c r="I1041" s="1" t="n">
        <x:f>IF(AND(E1041&lt;Reporting!$B$4,OR(G1041="",G1041&gt;=Reporting!$B$4)),1,0)</x:f>
        <x:v>1</x:v>
      </x:c>
      <x:c r="J1041" s="1" t="n">
        <x:f>IF(AND(I1041=1,F1041&lt;Reporting!$B$4),1,0)</x:f>
        <x:v>1</x:v>
      </x:c>
      <x:c r="K1041" s="1" t="n">
        <x:f>IF(F1041&lt;Reporting!$B$4,1,0)</x:f>
        <x:v>1</x:v>
      </x:c>
      <x:c r="L1041" s="1" t="n">
        <x:f>IF(AND(K1041=1,G1041&lt;&gt;"",G1041&lt;=F1041),1,0)</x:f>
        <x:v>0</x:v>
      </x:c>
      <x:c r="M1041" s="1" t="n">
        <x:f>IF(AND(G1041&lt;&gt;"",G1041&lt;Reporting!$B$4),1,0)</x:f>
        <x:v>0</x:v>
      </x:c>
      <x:c r="N1041" s="16" t="str">
        <x:f>IF(M1041=1,G1041-E1041,"")</x:f>
      </x:c>
      <x:c r="O1041" s="1" t="str">
        <x:f>IF(E1041&gt;=Reporting!$B$4,"Outside cutoff",IF(M1041=1,"Closed",IF(J1041=1,"Overdue","Open - within SLA")))</x:f>
        <x:v>Overdue</x:v>
      </x:c>
    </x:row>
    <x:row r="1042">
      <x:c r="A1042" s="14" t="str">
        <x:v>CASE-01037</x:v>
      </x:c>
      <x:c r="B1042" s="14" t="str">
        <x:v>Customer Services</x:v>
      </x:c>
      <x:c r="C1042" s="14" t="str">
        <x:v>Late review</x:v>
      </x:c>
      <x:c r="D1042" s="14" t="str">
        <x:v>Medium</x:v>
      </x:c>
      <x:c r="E1042" s="15" t="n">
        <x:v>46203.333333333336</x:v>
      </x:c>
      <x:c r="F1042" s="15" t="n">
        <x:v>46210.333333333336</x:v>
      </x:c>
      <x:c r="G1042" s="15" t="n">
        <x:v>46204.416666666664</x:v>
      </x:c>
      <x:c r="H1042" s="14" t="n">
        <x:v>1</x:v>
      </x:c>
      <x:c r="I1042" s="1" t="n">
        <x:f>IF(AND(E1042&lt;Reporting!$B$4,OR(G1042="",G1042&gt;=Reporting!$B$4)),1,0)</x:f>
        <x:v>0</x:v>
      </x:c>
      <x:c r="J1042" s="1" t="n">
        <x:f>IF(AND(I1042=1,F1042&lt;Reporting!$B$4),1,0)</x:f>
        <x:v>0</x:v>
      </x:c>
      <x:c r="K1042" s="1" t="n">
        <x:f>IF(F1042&lt;Reporting!$B$4,1,0)</x:f>
        <x:v>1</x:v>
      </x:c>
      <x:c r="L1042" s="1" t="n">
        <x:f>IF(AND(K1042=1,G1042&lt;&gt;"",G1042&lt;=F1042),1,0)</x:f>
        <x:v>1</x:v>
      </x:c>
      <x:c r="M1042" s="1" t="n">
        <x:f>IF(AND(G1042&lt;&gt;"",G1042&lt;Reporting!$B$4),1,0)</x:f>
        <x:v>1</x:v>
      </x:c>
      <x:c r="N1042" s="16" t="n">
        <x:f>IF(M1042=1,G1042-E1042,"")</x:f>
        <x:v>1.0833333333284827</x:v>
      </x:c>
      <x:c r="O1042" s="1" t="str">
        <x:f>IF(E1042&gt;=Reporting!$B$4,"Outside cutoff",IF(M1042=1,"Closed",IF(J1042=1,"Overdue","Open - within SLA")))</x:f>
        <x:v>Closed</x:v>
      </x:c>
    </x:row>
    <x:row r="1043">
      <x:c r="A1043" s="14" t="str">
        <x:v>CASE-01038</x:v>
      </x:c>
      <x:c r="B1043" s="14" t="str">
        <x:v>Warehouse</x:v>
      </x:c>
      <x:c r="C1043" s="14" t="str">
        <x:v>Record mismatch</x:v>
      </x:c>
      <x:c r="D1043" s="14" t="str">
        <x:v>Low</x:v>
      </x:c>
      <x:c r="E1043" s="15" t="n">
        <x:v>46272.541666666664</x:v>
      </x:c>
      <x:c r="F1043" s="15" t="n">
        <x:v>46286.541666666664</x:v>
      </x:c>
      <x:c r="G1043" s="15"/>
      <x:c r="H1043" s="14" t="n">
        <x:v>2</x:v>
      </x:c>
      <x:c r="I1043" s="1" t="n">
        <x:f>IF(AND(E1043&lt;Reporting!$B$4,OR(G1043="",G1043&gt;=Reporting!$B$4)),1,0)</x:f>
        <x:v>1</x:v>
      </x:c>
      <x:c r="J1043" s="1" t="n">
        <x:f>IF(AND(I1043=1,F1043&lt;Reporting!$B$4),1,0)</x:f>
        <x:v>0</x:v>
      </x:c>
      <x:c r="K1043" s="1" t="n">
        <x:f>IF(F1043&lt;Reporting!$B$4,1,0)</x:f>
        <x:v>0</x:v>
      </x:c>
      <x:c r="L1043" s="1" t="n">
        <x:f>IF(AND(K1043=1,G1043&lt;&gt;"",G1043&lt;=F1043),1,0)</x:f>
        <x:v>0</x:v>
      </x:c>
      <x:c r="M1043" s="1" t="n">
        <x:f>IF(AND(G1043&lt;&gt;"",G1043&lt;Reporting!$B$4),1,0)</x:f>
        <x:v>0</x:v>
      </x:c>
      <x:c r="N1043" s="16" t="str">
        <x:f>IF(M1043=1,G1043-E1043,"")</x:f>
      </x:c>
      <x:c r="O1043" s="1" t="str">
        <x:f>IF(E1043&gt;=Reporting!$B$4,"Outside cutoff",IF(M1043=1,"Closed",IF(J1043=1,"Overdue","Open - within SLA")))</x:f>
        <x:v>Open - within SLA</x:v>
      </x:c>
    </x:row>
    <x:row r="1044">
      <x:c r="A1044" s="14" t="str">
        <x:v>CASE-01039</x:v>
      </x:c>
      <x:c r="B1044" s="14" t="str">
        <x:v>Installation</x:v>
      </x:c>
      <x:c r="C1044" s="14" t="str">
        <x:v>Process deviation</x:v>
      </x:c>
      <x:c r="D1044" s="14" t="str">
        <x:v>Low</x:v>
      </x:c>
      <x:c r="E1044" s="15" t="n">
        <x:v>46263.625</x:v>
      </x:c>
      <x:c r="F1044" s="15" t="n">
        <x:v>46277.625</x:v>
      </x:c>
      <x:c r="G1044" s="15" t="n">
        <x:v>46274.625</x:v>
      </x:c>
      <x:c r="H1044" s="14" t="n">
        <x:v>3</x:v>
      </x:c>
      <x:c r="I1044" s="1" t="n">
        <x:f>IF(AND(E1044&lt;Reporting!$B$4,OR(G1044="",G1044&gt;=Reporting!$B$4)),1,0)</x:f>
        <x:v>0</x:v>
      </x:c>
      <x:c r="J1044" s="1" t="n">
        <x:f>IF(AND(I1044=1,F1044&lt;Reporting!$B$4),1,0)</x:f>
        <x:v>0</x:v>
      </x:c>
      <x:c r="K1044" s="1" t="n">
        <x:f>IF(F1044&lt;Reporting!$B$4,1,0)</x:f>
        <x:v>1</x:v>
      </x:c>
      <x:c r="L1044" s="1" t="n">
        <x:f>IF(AND(K1044=1,G1044&lt;&gt;"",G1044&lt;=F1044),1,0)</x:f>
        <x:v>1</x:v>
      </x:c>
      <x:c r="M1044" s="1" t="n">
        <x:f>IF(AND(G1044&lt;&gt;"",G1044&lt;Reporting!$B$4),1,0)</x:f>
        <x:v>1</x:v>
      </x:c>
      <x:c r="N1044" s="16" t="n">
        <x:f>IF(M1044=1,G1044-E1044,"")</x:f>
        <x:v>11</x:v>
      </x:c>
      <x:c r="O1044" s="1" t="str">
        <x:f>IF(E1044&gt;=Reporting!$B$4,"Outside cutoff",IF(M1044=1,"Closed",IF(J1044=1,"Overdue","Open - within SLA")))</x:f>
        <x:v>Closed</x:v>
      </x:c>
    </x:row>
    <x:row r="1045">
      <x:c r="A1045" s="14" t="str">
        <x:v>CASE-01040</x:v>
      </x:c>
      <x:c r="B1045" s="14" t="str">
        <x:v>Installation</x:v>
      </x:c>
      <x:c r="C1045" s="14" t="str">
        <x:v>Late review</x:v>
      </x:c>
      <x:c r="D1045" s="14" t="str">
        <x:v>High</x:v>
      </x:c>
      <x:c r="E1045" s="15" t="n">
        <x:v>46260.583333333336</x:v>
      </x:c>
      <x:c r="F1045" s="15" t="n">
        <x:v>46263.583333333336</x:v>
      </x:c>
      <x:c r="G1045" s="15" t="n">
        <x:v>46265.583333333336</x:v>
      </x:c>
      <x:c r="H1045" s="14" t="n">
        <x:v>3</x:v>
      </x:c>
      <x:c r="I1045" s="1" t="n">
        <x:f>IF(AND(E1045&lt;Reporting!$B$4,OR(G1045="",G1045&gt;=Reporting!$B$4)),1,0)</x:f>
        <x:v>0</x:v>
      </x:c>
      <x:c r="J1045" s="1" t="n">
        <x:f>IF(AND(I1045=1,F1045&lt;Reporting!$B$4),1,0)</x:f>
        <x:v>0</x:v>
      </x:c>
      <x:c r="K1045" s="1" t="n">
        <x:f>IF(F1045&lt;Reporting!$B$4,1,0)</x:f>
        <x:v>1</x:v>
      </x:c>
      <x:c r="L1045" s="1" t="n">
        <x:f>IF(AND(K1045=1,G1045&lt;&gt;"",G1045&lt;=F1045),1,0)</x:f>
        <x:v>0</x:v>
      </x:c>
      <x:c r="M1045" s="1" t="n">
        <x:f>IF(AND(G1045&lt;&gt;"",G1045&lt;Reporting!$B$4),1,0)</x:f>
        <x:v>1</x:v>
      </x:c>
      <x:c r="N1045" s="16" t="n">
        <x:f>IF(M1045=1,G1045-E1045,"")</x:f>
        <x:v>5</x:v>
      </x:c>
      <x:c r="O1045" s="1" t="str">
        <x:f>IF(E1045&gt;=Reporting!$B$4,"Outside cutoff",IF(M1045=1,"Closed",IF(J1045=1,"Overdue","Open - within SLA")))</x:f>
        <x:v>Closed</x:v>
      </x:c>
    </x:row>
    <x:row r="1046">
      <x:c r="A1046" s="14" t="str">
        <x:v>CASE-01041</x:v>
      </x:c>
      <x:c r="B1046" s="14" t="str">
        <x:v>Customer Services</x:v>
      </x:c>
      <x:c r="C1046" s="14" t="str">
        <x:v>Record mismatch</x:v>
      </x:c>
      <x:c r="D1046" s="14" t="str">
        <x:v>High</x:v>
      </x:c>
      <x:c r="E1046" s="15" t="n">
        <x:v>46261.333333333336</x:v>
      </x:c>
      <x:c r="F1046" s="15" t="n">
        <x:v>46264.333333333336</x:v>
      </x:c>
      <x:c r="G1046" s="15" t="n">
        <x:v>46264.333333333336</x:v>
      </x:c>
      <x:c r="H1046" s="14" t="n">
        <x:v>1</x:v>
      </x:c>
      <x:c r="I1046" s="1" t="n">
        <x:f>IF(AND(E1046&lt;Reporting!$B$4,OR(G1046="",G1046&gt;=Reporting!$B$4)),1,0)</x:f>
        <x:v>0</x:v>
      </x:c>
      <x:c r="J1046" s="1" t="n">
        <x:f>IF(AND(I1046=1,F1046&lt;Reporting!$B$4),1,0)</x:f>
        <x:v>0</x:v>
      </x:c>
      <x:c r="K1046" s="1" t="n">
        <x:f>IF(F1046&lt;Reporting!$B$4,1,0)</x:f>
        <x:v>1</x:v>
      </x:c>
      <x:c r="L1046" s="1" t="n">
        <x:f>IF(AND(K1046=1,G1046&lt;&gt;"",G1046&lt;=F1046),1,0)</x:f>
        <x:v>1</x:v>
      </x:c>
      <x:c r="M1046" s="1" t="n">
        <x:f>IF(AND(G1046&lt;&gt;"",G1046&lt;Reporting!$B$4),1,0)</x:f>
        <x:v>1</x:v>
      </x:c>
      <x:c r="N1046" s="16" t="n">
        <x:f>IF(M1046=1,G1046-E1046,"")</x:f>
        <x:v>3</x:v>
      </x:c>
      <x:c r="O1046" s="1" t="str">
        <x:f>IF(E1046&gt;=Reporting!$B$4,"Outside cutoff",IF(M1046=1,"Closed",IF(J1046=1,"Overdue","Open - within SLA")))</x:f>
        <x:v>Closed</x:v>
      </x:c>
    </x:row>
    <x:row r="1047">
      <x:c r="A1047" s="14" t="str">
        <x:v>CASE-01042</x:v>
      </x:c>
      <x:c r="B1047" s="14" t="str">
        <x:v>Warehouse</x:v>
      </x:c>
      <x:c r="C1047" s="14" t="str">
        <x:v>Missing evidence</x:v>
      </x:c>
      <x:c r="D1047" s="14" t="str">
        <x:v>Medium</x:v>
      </x:c>
      <x:c r="E1047" s="15" t="n">
        <x:v>46218.666666666664</x:v>
      </x:c>
      <x:c r="F1047" s="15" t="n">
        <x:v>46225.666666666664</x:v>
      </x:c>
      <x:c r="G1047" s="15" t="n">
        <x:v>46231.666666666664</x:v>
      </x:c>
      <x:c r="H1047" s="14" t="n">
        <x:v>2</x:v>
      </x:c>
      <x:c r="I1047" s="1" t="n">
        <x:f>IF(AND(E1047&lt;Reporting!$B$4,OR(G1047="",G1047&gt;=Reporting!$B$4)),1,0)</x:f>
        <x:v>0</x:v>
      </x:c>
      <x:c r="J1047" s="1" t="n">
        <x:f>IF(AND(I1047=1,F1047&lt;Reporting!$B$4),1,0)</x:f>
        <x:v>0</x:v>
      </x:c>
      <x:c r="K1047" s="1" t="n">
        <x:f>IF(F1047&lt;Reporting!$B$4,1,0)</x:f>
        <x:v>1</x:v>
      </x:c>
      <x:c r="L1047" s="1" t="n">
        <x:f>IF(AND(K1047=1,G1047&lt;&gt;"",G1047&lt;=F1047),1,0)</x:f>
        <x:v>0</x:v>
      </x:c>
      <x:c r="M1047" s="1" t="n">
        <x:f>IF(AND(G1047&lt;&gt;"",G1047&lt;Reporting!$B$4),1,0)</x:f>
        <x:v>1</x:v>
      </x:c>
      <x:c r="N1047" s="16" t="n">
        <x:f>IF(M1047=1,G1047-E1047,"")</x:f>
        <x:v>13</x:v>
      </x:c>
      <x:c r="O1047" s="1" t="str">
        <x:f>IF(E1047&gt;=Reporting!$B$4,"Outside cutoff",IF(M1047=1,"Closed",IF(J1047=1,"Overdue","Open - within SLA")))</x:f>
        <x:v>Closed</x:v>
      </x:c>
    </x:row>
    <x:row r="1048">
      <x:c r="A1048" s="14" t="str">
        <x:v>CASE-01043</x:v>
      </x:c>
      <x:c r="B1048" s="14" t="str">
        <x:v>Customer Services</x:v>
      </x:c>
      <x:c r="C1048" s="14" t="str">
        <x:v>Process deviation</x:v>
      </x:c>
      <x:c r="D1048" s="14" t="str">
        <x:v>Medium</x:v>
      </x:c>
      <x:c r="E1048" s="15" t="n">
        <x:v>46214.541666666664</x:v>
      </x:c>
      <x:c r="F1048" s="15" t="n">
        <x:v>46221.541666666664</x:v>
      </x:c>
      <x:c r="G1048" s="15" t="n">
        <x:v>46219.541666666664</x:v>
      </x:c>
      <x:c r="H1048" s="14" t="n">
        <x:v>1</x:v>
      </x:c>
      <x:c r="I1048" s="1" t="n">
        <x:f>IF(AND(E1048&lt;Reporting!$B$4,OR(G1048="",G1048&gt;=Reporting!$B$4)),1,0)</x:f>
        <x:v>0</x:v>
      </x:c>
      <x:c r="J1048" s="1" t="n">
        <x:f>IF(AND(I1048=1,F1048&lt;Reporting!$B$4),1,0)</x:f>
        <x:v>0</x:v>
      </x:c>
      <x:c r="K1048" s="1" t="n">
        <x:f>IF(F1048&lt;Reporting!$B$4,1,0)</x:f>
        <x:v>1</x:v>
      </x:c>
      <x:c r="L1048" s="1" t="n">
        <x:f>IF(AND(K1048=1,G1048&lt;&gt;"",G1048&lt;=F1048),1,0)</x:f>
        <x:v>1</x:v>
      </x:c>
      <x:c r="M1048" s="1" t="n">
        <x:f>IF(AND(G1048&lt;&gt;"",G1048&lt;Reporting!$B$4),1,0)</x:f>
        <x:v>1</x:v>
      </x:c>
      <x:c r="N1048" s="16" t="n">
        <x:f>IF(M1048=1,G1048-E1048,"")</x:f>
        <x:v>5</x:v>
      </x:c>
      <x:c r="O1048" s="1" t="str">
        <x:f>IF(E1048&gt;=Reporting!$B$4,"Outside cutoff",IF(M1048=1,"Closed",IF(J1048=1,"Overdue","Open - within SLA")))</x:f>
        <x:v>Closed</x:v>
      </x:c>
    </x:row>
    <x:row r="1049">
      <x:c r="A1049" s="14" t="str">
        <x:v>CASE-01044</x:v>
      </x:c>
      <x:c r="B1049" s="14" t="str">
        <x:v>Warehouse</x:v>
      </x:c>
      <x:c r="C1049" s="14" t="str">
        <x:v>Record mismatch</x:v>
      </x:c>
      <x:c r="D1049" s="14" t="str">
        <x:v>Low</x:v>
      </x:c>
      <x:c r="E1049" s="15" t="n">
        <x:v>46282.375</x:v>
      </x:c>
      <x:c r="F1049" s="15" t="n">
        <x:v>46296.375</x:v>
      </x:c>
      <x:c r="G1049" s="15"/>
      <x:c r="H1049" s="14" t="n">
        <x:v>2</x:v>
      </x:c>
      <x:c r="I1049" s="1" t="n">
        <x:f>IF(AND(E1049&lt;Reporting!$B$4,OR(G1049="",G1049&gt;=Reporting!$B$4)),1,0)</x:f>
        <x:v>1</x:v>
      </x:c>
      <x:c r="J1049" s="1" t="n">
        <x:f>IF(AND(I1049=1,F1049&lt;Reporting!$B$4),1,0)</x:f>
        <x:v>0</x:v>
      </x:c>
      <x:c r="K1049" s="1" t="n">
        <x:f>IF(F1049&lt;Reporting!$B$4,1,0)</x:f>
        <x:v>0</x:v>
      </x:c>
      <x:c r="L1049" s="1" t="n">
        <x:f>IF(AND(K1049=1,G1049&lt;&gt;"",G1049&lt;=F1049),1,0)</x:f>
        <x:v>0</x:v>
      </x:c>
      <x:c r="M1049" s="1" t="n">
        <x:f>IF(AND(G1049&lt;&gt;"",G1049&lt;Reporting!$B$4),1,0)</x:f>
        <x:v>0</x:v>
      </x:c>
      <x:c r="N1049" s="16" t="str">
        <x:f>IF(M1049=1,G1049-E1049,"")</x:f>
      </x:c>
      <x:c r="O1049" s="1" t="str">
        <x:f>IF(E1049&gt;=Reporting!$B$4,"Outside cutoff",IF(M1049=1,"Closed",IF(J1049=1,"Overdue","Open - within SLA")))</x:f>
        <x:v>Open - within SLA</x:v>
      </x:c>
    </x:row>
    <x:row r="1050">
      <x:c r="A1050" s="14" t="str">
        <x:v>CASE-01045</x:v>
      </x:c>
      <x:c r="B1050" s="14" t="str">
        <x:v>Customer Services</x:v>
      </x:c>
      <x:c r="C1050" s="14" t="str">
        <x:v>Late review</x:v>
      </x:c>
      <x:c r="D1050" s="14" t="str">
        <x:v>High</x:v>
      </x:c>
      <x:c r="E1050" s="15" t="n">
        <x:v>46261.5</x:v>
      </x:c>
      <x:c r="F1050" s="15" t="n">
        <x:v>46264.5</x:v>
      </x:c>
      <x:c r="G1050" s="15" t="n">
        <x:v>46278.5</x:v>
      </x:c>
      <x:c r="H1050" s="14" t="n">
        <x:v>1</x:v>
      </x:c>
      <x:c r="I1050" s="1" t="n">
        <x:f>IF(AND(E1050&lt;Reporting!$B$4,OR(G1050="",G1050&gt;=Reporting!$B$4)),1,0)</x:f>
        <x:v>0</x:v>
      </x:c>
      <x:c r="J1050" s="1" t="n">
        <x:f>IF(AND(I1050=1,F1050&lt;Reporting!$B$4),1,0)</x:f>
        <x:v>0</x:v>
      </x:c>
      <x:c r="K1050" s="1" t="n">
        <x:f>IF(F1050&lt;Reporting!$B$4,1,0)</x:f>
        <x:v>1</x:v>
      </x:c>
      <x:c r="L1050" s="1" t="n">
        <x:f>IF(AND(K1050=1,G1050&lt;&gt;"",G1050&lt;=F1050),1,0)</x:f>
        <x:v>0</x:v>
      </x:c>
      <x:c r="M1050" s="1" t="n">
        <x:f>IF(AND(G1050&lt;&gt;"",G1050&lt;Reporting!$B$4),1,0)</x:f>
        <x:v>1</x:v>
      </x:c>
      <x:c r="N1050" s="16" t="n">
        <x:f>IF(M1050=1,G1050-E1050,"")</x:f>
        <x:v>17</x:v>
      </x:c>
      <x:c r="O1050" s="1" t="str">
        <x:f>IF(E1050&gt;=Reporting!$B$4,"Outside cutoff",IF(M1050=1,"Closed",IF(J1050=1,"Overdue","Open - within SLA")))</x:f>
        <x:v>Closed</x:v>
      </x:c>
    </x:row>
    <x:row r="1051">
      <x:c r="A1051" s="14" t="str">
        <x:v>CASE-01046</x:v>
      </x:c>
      <x:c r="B1051" s="14" t="str">
        <x:v>Installation</x:v>
      </x:c>
      <x:c r="C1051" s="14" t="str">
        <x:v>Process deviation</x:v>
      </x:c>
      <x:c r="D1051" s="14" t="str">
        <x:v>Medium</x:v>
      </x:c>
      <x:c r="E1051" s="15" t="n">
        <x:v>46257.625</x:v>
      </x:c>
      <x:c r="F1051" s="15" t="n">
        <x:v>46264.625</x:v>
      </x:c>
      <x:c r="G1051" s="15" t="n">
        <x:v>46261.666666666664</x:v>
      </x:c>
      <x:c r="H1051" s="14" t="n">
        <x:v>3</x:v>
      </x:c>
      <x:c r="I1051" s="1" t="n">
        <x:f>IF(AND(E1051&lt;Reporting!$B$4,OR(G1051="",G1051&gt;=Reporting!$B$4)),1,0)</x:f>
        <x:v>0</x:v>
      </x:c>
      <x:c r="J1051" s="1" t="n">
        <x:f>IF(AND(I1051=1,F1051&lt;Reporting!$B$4),1,0)</x:f>
        <x:v>0</x:v>
      </x:c>
      <x:c r="K1051" s="1" t="n">
        <x:f>IF(F1051&lt;Reporting!$B$4,1,0)</x:f>
        <x:v>1</x:v>
      </x:c>
      <x:c r="L1051" s="1" t="n">
        <x:f>IF(AND(K1051=1,G1051&lt;&gt;"",G1051&lt;=F1051),1,0)</x:f>
        <x:v>1</x:v>
      </x:c>
      <x:c r="M1051" s="1" t="n">
        <x:f>IF(AND(G1051&lt;&gt;"",G1051&lt;Reporting!$B$4),1,0)</x:f>
        <x:v>1</x:v>
      </x:c>
      <x:c r="N1051" s="16" t="n">
        <x:f>IF(M1051=1,G1051-E1051,"")</x:f>
        <x:v>4.041666666664241</x:v>
      </x:c>
      <x:c r="O1051" s="1" t="str">
        <x:f>IF(E1051&gt;=Reporting!$B$4,"Outside cutoff",IF(M1051=1,"Closed",IF(J1051=1,"Overdue","Open - within SLA")))</x:f>
        <x:v>Closed</x:v>
      </x:c>
    </x:row>
    <x:row r="1052">
      <x:c r="A1052" s="14" t="str">
        <x:v>CASE-01047</x:v>
      </x:c>
      <x:c r="B1052" s="14" t="str">
        <x:v>Installation</x:v>
      </x:c>
      <x:c r="C1052" s="14" t="str">
        <x:v>Late review</x:v>
      </x:c>
      <x:c r="D1052" s="14" t="str">
        <x:v>High</x:v>
      </x:c>
      <x:c r="E1052" s="15" t="n">
        <x:v>46272.666666666664</x:v>
      </x:c>
      <x:c r="F1052" s="15" t="n">
        <x:v>46275.666666666664</x:v>
      </x:c>
      <x:c r="G1052" s="15" t="n">
        <x:v>46285.666666666664</x:v>
      </x:c>
      <x:c r="H1052" s="14" t="n">
        <x:v>3</x:v>
      </x:c>
      <x:c r="I1052" s="1" t="n">
        <x:f>IF(AND(E1052&lt;Reporting!$B$4,OR(G1052="",G1052&gt;=Reporting!$B$4)),1,0)</x:f>
        <x:v>0</x:v>
      </x:c>
      <x:c r="J1052" s="1" t="n">
        <x:f>IF(AND(I1052=1,F1052&lt;Reporting!$B$4),1,0)</x:f>
        <x:v>0</x:v>
      </x:c>
      <x:c r="K1052" s="1" t="n">
        <x:f>IF(F1052&lt;Reporting!$B$4,1,0)</x:f>
        <x:v>1</x:v>
      </x:c>
      <x:c r="L1052" s="1" t="n">
        <x:f>IF(AND(K1052=1,G1052&lt;&gt;"",G1052&lt;=F1052),1,0)</x:f>
        <x:v>0</x:v>
      </x:c>
      <x:c r="M1052" s="1" t="n">
        <x:f>IF(AND(G1052&lt;&gt;"",G1052&lt;Reporting!$B$4),1,0)</x:f>
        <x:v>1</x:v>
      </x:c>
      <x:c r="N1052" s="16" t="n">
        <x:f>IF(M1052=1,G1052-E1052,"")</x:f>
        <x:v>13</x:v>
      </x:c>
      <x:c r="O1052" s="1" t="str">
        <x:f>IF(E1052&gt;=Reporting!$B$4,"Outside cutoff",IF(M1052=1,"Closed",IF(J1052=1,"Overdue","Open - within SLA")))</x:f>
        <x:v>Closed</x:v>
      </x:c>
    </x:row>
    <x:row r="1053">
      <x:c r="A1053" s="14" t="str">
        <x:v>CASE-01048</x:v>
      </x:c>
      <x:c r="B1053" s="14" t="str">
        <x:v>Warehouse</x:v>
      </x:c>
      <x:c r="C1053" s="14" t="str">
        <x:v>Missing evidence</x:v>
      </x:c>
      <x:c r="D1053" s="14" t="str">
        <x:v>High</x:v>
      </x:c>
      <x:c r="E1053" s="15" t="n">
        <x:v>46285.666666666664</x:v>
      </x:c>
      <x:c r="F1053" s="15" t="n">
        <x:v>46288.666666666664</x:v>
      </x:c>
      <x:c r="G1053" s="15"/>
      <x:c r="H1053" s="14" t="n">
        <x:v>2</x:v>
      </x:c>
      <x:c r="I1053" s="1" t="n">
        <x:f>IF(AND(E1053&lt;Reporting!$B$4,OR(G1053="",G1053&gt;=Reporting!$B$4)),1,0)</x:f>
        <x:v>1</x:v>
      </x:c>
      <x:c r="J1053" s="1" t="n">
        <x:f>IF(AND(I1053=1,F1053&lt;Reporting!$B$4),1,0)</x:f>
        <x:v>0</x:v>
      </x:c>
      <x:c r="K1053" s="1" t="n">
        <x:f>IF(F1053&lt;Reporting!$B$4,1,0)</x:f>
        <x:v>0</x:v>
      </x:c>
      <x:c r="L1053" s="1" t="n">
        <x:f>IF(AND(K1053=1,G1053&lt;&gt;"",G1053&lt;=F1053),1,0)</x:f>
        <x:v>0</x:v>
      </x:c>
      <x:c r="M1053" s="1" t="n">
        <x:f>IF(AND(G1053&lt;&gt;"",G1053&lt;Reporting!$B$4),1,0)</x:f>
        <x:v>0</x:v>
      </x:c>
      <x:c r="N1053" s="16" t="str">
        <x:f>IF(M1053=1,G1053-E1053,"")</x:f>
      </x:c>
      <x:c r="O1053" s="1" t="str">
        <x:f>IF(E1053&gt;=Reporting!$B$4,"Outside cutoff",IF(M1053=1,"Closed",IF(J1053=1,"Overdue","Open - within SLA")))</x:f>
        <x:v>Open - within SLA</x:v>
      </x:c>
    </x:row>
    <x:row r="1054">
      <x:c r="A1054" s="14" t="str">
        <x:v>CASE-01049</x:v>
      </x:c>
      <x:c r="B1054" s="14" t="str">
        <x:v>Installation</x:v>
      </x:c>
      <x:c r="C1054" s="14" t="str">
        <x:v>Missing evidence</x:v>
      </x:c>
      <x:c r="D1054" s="14" t="str">
        <x:v>Medium</x:v>
      </x:c>
      <x:c r="E1054" s="15" t="n">
        <x:v>46284.5</x:v>
      </x:c>
      <x:c r="F1054" s="15" t="n">
        <x:v>46291.5</x:v>
      </x:c>
      <x:c r="G1054" s="15"/>
      <x:c r="H1054" s="14" t="n">
        <x:v>3</x:v>
      </x:c>
      <x:c r="I1054" s="1" t="n">
        <x:f>IF(AND(E1054&lt;Reporting!$B$4,OR(G1054="",G1054&gt;=Reporting!$B$4)),1,0)</x:f>
        <x:v>1</x:v>
      </x:c>
      <x:c r="J1054" s="1" t="n">
        <x:f>IF(AND(I1054=1,F1054&lt;Reporting!$B$4),1,0)</x:f>
        <x:v>0</x:v>
      </x:c>
      <x:c r="K1054" s="1" t="n">
        <x:f>IF(F1054&lt;Reporting!$B$4,1,0)</x:f>
        <x:v>0</x:v>
      </x:c>
      <x:c r="L1054" s="1" t="n">
        <x:f>IF(AND(K1054=1,G1054&lt;&gt;"",G1054&lt;=F1054),1,0)</x:f>
        <x:v>0</x:v>
      </x:c>
      <x:c r="M1054" s="1" t="n">
        <x:f>IF(AND(G1054&lt;&gt;"",G1054&lt;Reporting!$B$4),1,0)</x:f>
        <x:v>0</x:v>
      </x:c>
      <x:c r="N1054" s="16" t="str">
        <x:f>IF(M1054=1,G1054-E1054,"")</x:f>
      </x:c>
      <x:c r="O1054" s="1" t="str">
        <x:f>IF(E1054&gt;=Reporting!$B$4,"Outside cutoff",IF(M1054=1,"Closed",IF(J1054=1,"Overdue","Open - within SLA")))</x:f>
        <x:v>Open - within SLA</x:v>
      </x:c>
    </x:row>
    <x:row r="1055">
      <x:c r="A1055" s="14" t="str">
        <x:v>CASE-01050</x:v>
      </x:c>
      <x:c r="B1055" s="14" t="str">
        <x:v>Installation</x:v>
      </x:c>
      <x:c r="C1055" s="14" t="str">
        <x:v>Process deviation</x:v>
      </x:c>
      <x:c r="D1055" s="14" t="str">
        <x:v>Medium</x:v>
      </x:c>
      <x:c r="E1055" s="15" t="n">
        <x:v>46251.583333333336</x:v>
      </x:c>
      <x:c r="F1055" s="15" t="n">
        <x:v>46258.583333333336</x:v>
      </x:c>
      <x:c r="G1055" s="15" t="n">
        <x:v>46259.625</x:v>
      </x:c>
      <x:c r="H1055" s="14" t="n">
        <x:v>3</x:v>
      </x:c>
      <x:c r="I1055" s="1" t="n">
        <x:f>IF(AND(E1055&lt;Reporting!$B$4,OR(G1055="",G1055&gt;=Reporting!$B$4)),1,0)</x:f>
        <x:v>0</x:v>
      </x:c>
      <x:c r="J1055" s="1" t="n">
        <x:f>IF(AND(I1055=1,F1055&lt;Reporting!$B$4),1,0)</x:f>
        <x:v>0</x:v>
      </x:c>
      <x:c r="K1055" s="1" t="n">
        <x:f>IF(F1055&lt;Reporting!$B$4,1,0)</x:f>
        <x:v>1</x:v>
      </x:c>
      <x:c r="L1055" s="1" t="n">
        <x:f>IF(AND(K1055=1,G1055&lt;&gt;"",G1055&lt;=F1055),1,0)</x:f>
        <x:v>0</x:v>
      </x:c>
      <x:c r="M1055" s="1" t="n">
        <x:f>IF(AND(G1055&lt;&gt;"",G1055&lt;Reporting!$B$4),1,0)</x:f>
        <x:v>1</x:v>
      </x:c>
      <x:c r="N1055" s="16" t="n">
        <x:f>IF(M1055=1,G1055-E1055,"")</x:f>
        <x:v>8.041666666664241</x:v>
      </x:c>
      <x:c r="O1055" s="1" t="str">
        <x:f>IF(E1055&gt;=Reporting!$B$4,"Outside cutoff",IF(M1055=1,"Closed",IF(J1055=1,"Overdue","Open - within SLA")))</x:f>
        <x:v>Closed</x:v>
      </x:c>
    </x:row>
    <x:row r="1056">
      <x:c r="A1056" s="14" t="str">
        <x:v>CASE-01051</x:v>
      </x:c>
      <x:c r="B1056" s="14" t="str">
        <x:v>Customer Services</x:v>
      </x:c>
      <x:c r="C1056" s="14" t="str">
        <x:v>Record mismatch</x:v>
      </x:c>
      <x:c r="D1056" s="14" t="str">
        <x:v>Low</x:v>
      </x:c>
      <x:c r="E1056" s="15" t="n">
        <x:v>46267.666666666664</x:v>
      </x:c>
      <x:c r="F1056" s="15" t="n">
        <x:v>46281.666666666664</x:v>
      </x:c>
      <x:c r="G1056" s="15" t="n">
        <x:v>46268.666666666664</x:v>
      </x:c>
      <x:c r="H1056" s="14" t="n">
        <x:v>1</x:v>
      </x:c>
      <x:c r="I1056" s="1" t="n">
        <x:f>IF(AND(E1056&lt;Reporting!$B$4,OR(G1056="",G1056&gt;=Reporting!$B$4)),1,0)</x:f>
        <x:v>0</x:v>
      </x:c>
      <x:c r="J1056" s="1" t="n">
        <x:f>IF(AND(I1056=1,F1056&lt;Reporting!$B$4),1,0)</x:f>
        <x:v>0</x:v>
      </x:c>
      <x:c r="K1056" s="1" t="n">
        <x:f>IF(F1056&lt;Reporting!$B$4,1,0)</x:f>
        <x:v>1</x:v>
      </x:c>
      <x:c r="L1056" s="1" t="n">
        <x:f>IF(AND(K1056=1,G1056&lt;&gt;"",G1056&lt;=F1056),1,0)</x:f>
        <x:v>1</x:v>
      </x:c>
      <x:c r="M1056" s="1" t="n">
        <x:f>IF(AND(G1056&lt;&gt;"",G1056&lt;Reporting!$B$4),1,0)</x:f>
        <x:v>1</x:v>
      </x:c>
      <x:c r="N1056" s="16" t="n">
        <x:f>IF(M1056=1,G1056-E1056,"")</x:f>
        <x:v>1</x:v>
      </x:c>
      <x:c r="O1056" s="1" t="str">
        <x:f>IF(E1056&gt;=Reporting!$B$4,"Outside cutoff",IF(M1056=1,"Closed",IF(J1056=1,"Overdue","Open - within SLA")))</x:f>
        <x:v>Closed</x:v>
      </x:c>
    </x:row>
    <x:row r="1057">
      <x:c r="A1057" s="14" t="str">
        <x:v>CASE-01052</x:v>
      </x:c>
      <x:c r="B1057" s="14" t="str">
        <x:v>Warehouse</x:v>
      </x:c>
      <x:c r="C1057" s="14" t="str">
        <x:v>Missing evidence</x:v>
      </x:c>
      <x:c r="D1057" s="14" t="str">
        <x:v>Low</x:v>
      </x:c>
      <x:c r="E1057" s="15" t="n">
        <x:v>46270.666666666664</x:v>
      </x:c>
      <x:c r="F1057" s="15" t="n">
        <x:v>46284.666666666664</x:v>
      </x:c>
      <x:c r="G1057" s="15"/>
      <x:c r="H1057" s="14" t="n">
        <x:v>2</x:v>
      </x:c>
      <x:c r="I1057" s="1" t="n">
        <x:f>IF(AND(E1057&lt;Reporting!$B$4,OR(G1057="",G1057&gt;=Reporting!$B$4)),1,0)</x:f>
        <x:v>1</x:v>
      </x:c>
      <x:c r="J1057" s="1" t="n">
        <x:f>IF(AND(I1057=1,F1057&lt;Reporting!$B$4),1,0)</x:f>
        <x:v>1</x:v>
      </x:c>
      <x:c r="K1057" s="1" t="n">
        <x:f>IF(F1057&lt;Reporting!$B$4,1,0)</x:f>
        <x:v>1</x:v>
      </x:c>
      <x:c r="L1057" s="1" t="n">
        <x:f>IF(AND(K1057=1,G1057&lt;&gt;"",G1057&lt;=F1057),1,0)</x:f>
        <x:v>0</x:v>
      </x:c>
      <x:c r="M1057" s="1" t="n">
        <x:f>IF(AND(G1057&lt;&gt;"",G1057&lt;Reporting!$B$4),1,0)</x:f>
        <x:v>0</x:v>
      </x:c>
      <x:c r="N1057" s="16" t="str">
        <x:f>IF(M1057=1,G1057-E1057,"")</x:f>
      </x:c>
      <x:c r="O1057" s="1" t="str">
        <x:f>IF(E1057&gt;=Reporting!$B$4,"Outside cutoff",IF(M1057=1,"Closed",IF(J1057=1,"Overdue","Open - within SLA")))</x:f>
        <x:v>Overdue</x:v>
      </x:c>
    </x:row>
    <x:row r="1058">
      <x:c r="A1058" s="14" t="str">
        <x:v>CASE-01053</x:v>
      </x:c>
      <x:c r="B1058" s="14" t="str">
        <x:v>Customer Services</x:v>
      </x:c>
      <x:c r="C1058" s="14" t="str">
        <x:v>Missing evidence</x:v>
      </x:c>
      <x:c r="D1058" s="14" t="str">
        <x:v>High</x:v>
      </x:c>
      <x:c r="E1058" s="15" t="n">
        <x:v>46254.416666666664</x:v>
      </x:c>
      <x:c r="F1058" s="15" t="n">
        <x:v>46257.416666666664</x:v>
      </x:c>
      <x:c r="G1058" s="15" t="n">
        <x:v>46272.458333333336</x:v>
      </x:c>
      <x:c r="H1058" s="14" t="n">
        <x:v>1</x:v>
      </x:c>
      <x:c r="I1058" s="1" t="n">
        <x:f>IF(AND(E1058&lt;Reporting!$B$4,OR(G1058="",G1058&gt;=Reporting!$B$4)),1,0)</x:f>
        <x:v>0</x:v>
      </x:c>
      <x:c r="J1058" s="1" t="n">
        <x:f>IF(AND(I1058=1,F1058&lt;Reporting!$B$4),1,0)</x:f>
        <x:v>0</x:v>
      </x:c>
      <x:c r="K1058" s="1" t="n">
        <x:f>IF(F1058&lt;Reporting!$B$4,1,0)</x:f>
        <x:v>1</x:v>
      </x:c>
      <x:c r="L1058" s="1" t="n">
        <x:f>IF(AND(K1058=1,G1058&lt;&gt;"",G1058&lt;=F1058),1,0)</x:f>
        <x:v>0</x:v>
      </x:c>
      <x:c r="M1058" s="1" t="n">
        <x:f>IF(AND(G1058&lt;&gt;"",G1058&lt;Reporting!$B$4),1,0)</x:f>
        <x:v>1</x:v>
      </x:c>
      <x:c r="N1058" s="16" t="n">
        <x:f>IF(M1058=1,G1058-E1058,"")</x:f>
        <x:v>18.041666666671517</x:v>
      </x:c>
      <x:c r="O1058" s="1" t="str">
        <x:f>IF(E1058&gt;=Reporting!$B$4,"Outside cutoff",IF(M1058=1,"Closed",IF(J1058=1,"Overdue","Open - within SLA")))</x:f>
        <x:v>Closed</x:v>
      </x:c>
    </x:row>
    <x:row r="1059">
      <x:c r="A1059" s="14" t="str">
        <x:v>CASE-01054</x:v>
      </x:c>
      <x:c r="B1059" s="14" t="str">
        <x:v>Installation</x:v>
      </x:c>
      <x:c r="C1059" s="14" t="str">
        <x:v>Late review</x:v>
      </x:c>
      <x:c r="D1059" s="14" t="str">
        <x:v>High</x:v>
      </x:c>
      <x:c r="E1059" s="15" t="n">
        <x:v>46205.458333333336</x:v>
      </x:c>
      <x:c r="F1059" s="15" t="n">
        <x:v>46208.458333333336</x:v>
      </x:c>
      <x:c r="G1059" s="15" t="n">
        <x:v>46211.5</x:v>
      </x:c>
      <x:c r="H1059" s="14" t="n">
        <x:v>3</x:v>
      </x:c>
      <x:c r="I1059" s="1" t="n">
        <x:f>IF(AND(E1059&lt;Reporting!$B$4,OR(G1059="",G1059&gt;=Reporting!$B$4)),1,0)</x:f>
        <x:v>0</x:v>
      </x:c>
      <x:c r="J1059" s="1" t="n">
        <x:f>IF(AND(I1059=1,F1059&lt;Reporting!$B$4),1,0)</x:f>
        <x:v>0</x:v>
      </x:c>
      <x:c r="K1059" s="1" t="n">
        <x:f>IF(F1059&lt;Reporting!$B$4,1,0)</x:f>
        <x:v>1</x:v>
      </x:c>
      <x:c r="L1059" s="1" t="n">
        <x:f>IF(AND(K1059=1,G1059&lt;&gt;"",G1059&lt;=F1059),1,0)</x:f>
        <x:v>0</x:v>
      </x:c>
      <x:c r="M1059" s="1" t="n">
        <x:f>IF(AND(G1059&lt;&gt;"",G1059&lt;Reporting!$B$4),1,0)</x:f>
        <x:v>1</x:v>
      </x:c>
      <x:c r="N1059" s="16" t="n">
        <x:f>IF(M1059=1,G1059-E1059,"")</x:f>
        <x:v>6.041666666664241</x:v>
      </x:c>
      <x:c r="O1059" s="1" t="str">
        <x:f>IF(E1059&gt;=Reporting!$B$4,"Outside cutoff",IF(M1059=1,"Closed",IF(J1059=1,"Overdue","Open - within SLA")))</x:f>
        <x:v>Closed</x:v>
      </x:c>
    </x:row>
    <x:row r="1060">
      <x:c r="A1060" s="14" t="str">
        <x:v>CASE-01055</x:v>
      </x:c>
      <x:c r="B1060" s="14" t="str">
        <x:v>Customer Services</x:v>
      </x:c>
      <x:c r="C1060" s="14" t="str">
        <x:v>Record mismatch</x:v>
      </x:c>
      <x:c r="D1060" s="14" t="str">
        <x:v>Low</x:v>
      </x:c>
      <x:c r="E1060" s="15" t="n">
        <x:v>46256.541666666664</x:v>
      </x:c>
      <x:c r="F1060" s="15" t="n">
        <x:v>46270.541666666664</x:v>
      </x:c>
      <x:c r="G1060" s="15" t="n">
        <x:v>46264.625</x:v>
      </x:c>
      <x:c r="H1060" s="14" t="n">
        <x:v>1</x:v>
      </x:c>
      <x:c r="I1060" s="1" t="n">
        <x:f>IF(AND(E1060&lt;Reporting!$B$4,OR(G1060="",G1060&gt;=Reporting!$B$4)),1,0)</x:f>
        <x:v>0</x:v>
      </x:c>
      <x:c r="J1060" s="1" t="n">
        <x:f>IF(AND(I1060=1,F1060&lt;Reporting!$B$4),1,0)</x:f>
        <x:v>0</x:v>
      </x:c>
      <x:c r="K1060" s="1" t="n">
        <x:f>IF(F1060&lt;Reporting!$B$4,1,0)</x:f>
        <x:v>1</x:v>
      </x:c>
      <x:c r="L1060" s="1" t="n">
        <x:f>IF(AND(K1060=1,G1060&lt;&gt;"",G1060&lt;=F1060),1,0)</x:f>
        <x:v>1</x:v>
      </x:c>
      <x:c r="M1060" s="1" t="n">
        <x:f>IF(AND(G1060&lt;&gt;"",G1060&lt;Reporting!$B$4),1,0)</x:f>
        <x:v>1</x:v>
      </x:c>
      <x:c r="N1060" s="16" t="n">
        <x:f>IF(M1060=1,G1060-E1060,"")</x:f>
        <x:v>8.083333333335759</x:v>
      </x:c>
      <x:c r="O1060" s="1" t="str">
        <x:f>IF(E1060&gt;=Reporting!$B$4,"Outside cutoff",IF(M1060=1,"Closed",IF(J1060=1,"Overdue","Open - within SLA")))</x:f>
        <x:v>Closed</x:v>
      </x:c>
    </x:row>
    <x:row r="1061">
      <x:c r="A1061" s="14" t="str">
        <x:v>CASE-01056</x:v>
      </x:c>
      <x:c r="B1061" s="14" t="str">
        <x:v>Customer Services</x:v>
      </x:c>
      <x:c r="C1061" s="14" t="str">
        <x:v>Missing evidence</x:v>
      </x:c>
      <x:c r="D1061" s="14" t="str">
        <x:v>Medium</x:v>
      </x:c>
      <x:c r="E1061" s="15" t="n">
        <x:v>46203.625</x:v>
      </x:c>
      <x:c r="F1061" s="15" t="n">
        <x:v>46210.625</x:v>
      </x:c>
      <x:c r="G1061" s="15" t="n">
        <x:v>46220.666666666664</x:v>
      </x:c>
      <x:c r="H1061" s="14" t="n">
        <x:v>1</x:v>
      </x:c>
      <x:c r="I1061" s="1" t="n">
        <x:f>IF(AND(E1061&lt;Reporting!$B$4,OR(G1061="",G1061&gt;=Reporting!$B$4)),1,0)</x:f>
        <x:v>0</x:v>
      </x:c>
      <x:c r="J1061" s="1" t="n">
        <x:f>IF(AND(I1061=1,F1061&lt;Reporting!$B$4),1,0)</x:f>
        <x:v>0</x:v>
      </x:c>
      <x:c r="K1061" s="1" t="n">
        <x:f>IF(F1061&lt;Reporting!$B$4,1,0)</x:f>
        <x:v>1</x:v>
      </x:c>
      <x:c r="L1061" s="1" t="n">
        <x:f>IF(AND(K1061=1,G1061&lt;&gt;"",G1061&lt;=F1061),1,0)</x:f>
        <x:v>0</x:v>
      </x:c>
      <x:c r="M1061" s="1" t="n">
        <x:f>IF(AND(G1061&lt;&gt;"",G1061&lt;Reporting!$B$4),1,0)</x:f>
        <x:v>1</x:v>
      </x:c>
      <x:c r="N1061" s="16" t="n">
        <x:f>IF(M1061=1,G1061-E1061,"")</x:f>
        <x:v>17.04166666666424</x:v>
      </x:c>
      <x:c r="O1061" s="1" t="str">
        <x:f>IF(E1061&gt;=Reporting!$B$4,"Outside cutoff",IF(M1061=1,"Closed",IF(J1061=1,"Overdue","Open - within SLA")))</x:f>
        <x:v>Closed</x:v>
      </x:c>
    </x:row>
    <x:row r="1062">
      <x:c r="A1062" s="14" t="str">
        <x:v>CASE-01057</x:v>
      </x:c>
      <x:c r="B1062" s="14" t="str">
        <x:v>Customer Services</x:v>
      </x:c>
      <x:c r="C1062" s="14" t="str">
        <x:v>Late review</x:v>
      </x:c>
      <x:c r="D1062" s="14" t="str">
        <x:v>Medium</x:v>
      </x:c>
      <x:c r="E1062" s="15" t="n">
        <x:v>46253.333333333336</x:v>
      </x:c>
      <x:c r="F1062" s="15" t="n">
        <x:v>46260.333333333336</x:v>
      </x:c>
      <x:c r="G1062" s="15" t="n">
        <x:v>46257.375</x:v>
      </x:c>
      <x:c r="H1062" s="14" t="n">
        <x:v>1</x:v>
      </x:c>
      <x:c r="I1062" s="1" t="n">
        <x:f>IF(AND(E1062&lt;Reporting!$B$4,OR(G1062="",G1062&gt;=Reporting!$B$4)),1,0)</x:f>
        <x:v>0</x:v>
      </x:c>
      <x:c r="J1062" s="1" t="n">
        <x:f>IF(AND(I1062=1,F1062&lt;Reporting!$B$4),1,0)</x:f>
        <x:v>0</x:v>
      </x:c>
      <x:c r="K1062" s="1" t="n">
        <x:f>IF(F1062&lt;Reporting!$B$4,1,0)</x:f>
        <x:v>1</x:v>
      </x:c>
      <x:c r="L1062" s="1" t="n">
        <x:f>IF(AND(K1062=1,G1062&lt;&gt;"",G1062&lt;=F1062),1,0)</x:f>
        <x:v>1</x:v>
      </x:c>
      <x:c r="M1062" s="1" t="n">
        <x:f>IF(AND(G1062&lt;&gt;"",G1062&lt;Reporting!$B$4),1,0)</x:f>
        <x:v>1</x:v>
      </x:c>
      <x:c r="N1062" s="16" t="n">
        <x:f>IF(M1062=1,G1062-E1062,"")</x:f>
        <x:v>4.041666666664241</x:v>
      </x:c>
      <x:c r="O1062" s="1" t="str">
        <x:f>IF(E1062&gt;=Reporting!$B$4,"Outside cutoff",IF(M1062=1,"Closed",IF(J1062=1,"Overdue","Open - within SLA")))</x:f>
        <x:v>Closed</x:v>
      </x:c>
    </x:row>
    <x:row r="1063">
      <x:c r="A1063" s="14" t="str">
        <x:v>CASE-01058</x:v>
      </x:c>
      <x:c r="B1063" s="14" t="str">
        <x:v>Installation</x:v>
      </x:c>
      <x:c r="C1063" s="14" t="str">
        <x:v>Late review</x:v>
      </x:c>
      <x:c r="D1063" s="14" t="str">
        <x:v>Medium</x:v>
      </x:c>
      <x:c r="E1063" s="15" t="n">
        <x:v>46205.541666666664</x:v>
      </x:c>
      <x:c r="F1063" s="15" t="n">
        <x:v>46212.541666666664</x:v>
      </x:c>
      <x:c r="G1063" s="15" t="n">
        <x:v>46216.541666666664</x:v>
      </x:c>
      <x:c r="H1063" s="14" t="n">
        <x:v>3</x:v>
      </x:c>
      <x:c r="I1063" s="1" t="n">
        <x:f>IF(AND(E1063&lt;Reporting!$B$4,OR(G1063="",G1063&gt;=Reporting!$B$4)),1,0)</x:f>
        <x:v>0</x:v>
      </x:c>
      <x:c r="J1063" s="1" t="n">
        <x:f>IF(AND(I1063=1,F1063&lt;Reporting!$B$4),1,0)</x:f>
        <x:v>0</x:v>
      </x:c>
      <x:c r="K1063" s="1" t="n">
        <x:f>IF(F1063&lt;Reporting!$B$4,1,0)</x:f>
        <x:v>1</x:v>
      </x:c>
      <x:c r="L1063" s="1" t="n">
        <x:f>IF(AND(K1063=1,G1063&lt;&gt;"",G1063&lt;=F1063),1,0)</x:f>
        <x:v>0</x:v>
      </x:c>
      <x:c r="M1063" s="1" t="n">
        <x:f>IF(AND(G1063&lt;&gt;"",G1063&lt;Reporting!$B$4),1,0)</x:f>
        <x:v>1</x:v>
      </x:c>
      <x:c r="N1063" s="16" t="n">
        <x:f>IF(M1063=1,G1063-E1063,"")</x:f>
        <x:v>11</x:v>
      </x:c>
      <x:c r="O1063" s="1" t="str">
        <x:f>IF(E1063&gt;=Reporting!$B$4,"Outside cutoff",IF(M1063=1,"Closed",IF(J1063=1,"Overdue","Open - within SLA")))</x:f>
        <x:v>Closed</x:v>
      </x:c>
    </x:row>
    <x:row r="1064">
      <x:c r="A1064" s="14" t="str">
        <x:v>CASE-01059</x:v>
      </x:c>
      <x:c r="B1064" s="14" t="str">
        <x:v>Installation</x:v>
      </x:c>
      <x:c r="C1064" s="14" t="str">
        <x:v>Late review</x:v>
      </x:c>
      <x:c r="D1064" s="14" t="str">
        <x:v>Medium</x:v>
      </x:c>
      <x:c r="E1064" s="15" t="n">
        <x:v>46220.625</x:v>
      </x:c>
      <x:c r="F1064" s="15" t="n">
        <x:v>46227.625</x:v>
      </x:c>
      <x:c r="G1064" s="15" t="n">
        <x:v>46230.625</x:v>
      </x:c>
      <x:c r="H1064" s="14" t="n">
        <x:v>3</x:v>
      </x:c>
      <x:c r="I1064" s="1" t="n">
        <x:f>IF(AND(E1064&lt;Reporting!$B$4,OR(G1064="",G1064&gt;=Reporting!$B$4)),1,0)</x:f>
        <x:v>0</x:v>
      </x:c>
      <x:c r="J1064" s="1" t="n">
        <x:f>IF(AND(I1064=1,F1064&lt;Reporting!$B$4),1,0)</x:f>
        <x:v>0</x:v>
      </x:c>
      <x:c r="K1064" s="1" t="n">
        <x:f>IF(F1064&lt;Reporting!$B$4,1,0)</x:f>
        <x:v>1</x:v>
      </x:c>
      <x:c r="L1064" s="1" t="n">
        <x:f>IF(AND(K1064=1,G1064&lt;&gt;"",G1064&lt;=F1064),1,0)</x:f>
        <x:v>0</x:v>
      </x:c>
      <x:c r="M1064" s="1" t="n">
        <x:f>IF(AND(G1064&lt;&gt;"",G1064&lt;Reporting!$B$4),1,0)</x:f>
        <x:v>1</x:v>
      </x:c>
      <x:c r="N1064" s="16" t="n">
        <x:f>IF(M1064=1,G1064-E1064,"")</x:f>
        <x:v>10</x:v>
      </x:c>
      <x:c r="O1064" s="1" t="str">
        <x:f>IF(E1064&gt;=Reporting!$B$4,"Outside cutoff",IF(M1064=1,"Closed",IF(J1064=1,"Overdue","Open - within SLA")))</x:f>
        <x:v>Closed</x:v>
      </x:c>
    </x:row>
    <x:row r="1065">
      <x:c r="A1065" s="14" t="str">
        <x:v>CASE-01060</x:v>
      </x:c>
      <x:c r="B1065" s="14" t="str">
        <x:v>Warehouse</x:v>
      </x:c>
      <x:c r="C1065" s="14" t="str">
        <x:v>Record mismatch</x:v>
      </x:c>
      <x:c r="D1065" s="14" t="str">
        <x:v>Medium</x:v>
      </x:c>
      <x:c r="E1065" s="15" t="n">
        <x:v>46256.5</x:v>
      </x:c>
      <x:c r="F1065" s="15" t="n">
        <x:v>46263.5</x:v>
      </x:c>
      <x:c r="G1065" s="15" t="n">
        <x:v>46284.5</x:v>
      </x:c>
      <x:c r="H1065" s="14" t="n">
        <x:v>2</x:v>
      </x:c>
      <x:c r="I1065" s="1" t="n">
        <x:f>IF(AND(E1065&lt;Reporting!$B$4,OR(G1065="",G1065&gt;=Reporting!$B$4)),1,0)</x:f>
        <x:v>0</x:v>
      </x:c>
      <x:c r="J1065" s="1" t="n">
        <x:f>IF(AND(I1065=1,F1065&lt;Reporting!$B$4),1,0)</x:f>
        <x:v>0</x:v>
      </x:c>
      <x:c r="K1065" s="1" t="n">
        <x:f>IF(F1065&lt;Reporting!$B$4,1,0)</x:f>
        <x:v>1</x:v>
      </x:c>
      <x:c r="L1065" s="1" t="n">
        <x:f>IF(AND(K1065=1,G1065&lt;&gt;"",G1065&lt;=F1065),1,0)</x:f>
        <x:v>0</x:v>
      </x:c>
      <x:c r="M1065" s="1" t="n">
        <x:f>IF(AND(G1065&lt;&gt;"",G1065&lt;Reporting!$B$4),1,0)</x:f>
        <x:v>1</x:v>
      </x:c>
      <x:c r="N1065" s="16" t="n">
        <x:f>IF(M1065=1,G1065-E1065,"")</x:f>
        <x:v>28</x:v>
      </x:c>
      <x:c r="O1065" s="1" t="str">
        <x:f>IF(E1065&gt;=Reporting!$B$4,"Outside cutoff",IF(M1065=1,"Closed",IF(J1065=1,"Overdue","Open - within SLA")))</x:f>
        <x:v>Closed</x:v>
      </x:c>
    </x:row>
    <x:row r="1066">
      <x:c r="A1066" s="14" t="str">
        <x:v>CASE-01061</x:v>
      </x:c>
      <x:c r="B1066" s="14" t="str">
        <x:v>Customer Services</x:v>
      </x:c>
      <x:c r="C1066" s="14" t="str">
        <x:v>Missing evidence</x:v>
      </x:c>
      <x:c r="D1066" s="14" t="str">
        <x:v>Medium</x:v>
      </x:c>
      <x:c r="E1066" s="15" t="n">
        <x:v>46267.5</x:v>
      </x:c>
      <x:c r="F1066" s="15" t="n">
        <x:v>46274.5</x:v>
      </x:c>
      <x:c r="G1066" s="15" t="n">
        <x:v>46272.541666666664</x:v>
      </x:c>
      <x:c r="H1066" s="14" t="n">
        <x:v>1</x:v>
      </x:c>
      <x:c r="I1066" s="1" t="n">
        <x:f>IF(AND(E1066&lt;Reporting!$B$4,OR(G1066="",G1066&gt;=Reporting!$B$4)),1,0)</x:f>
        <x:v>0</x:v>
      </x:c>
      <x:c r="J1066" s="1" t="n">
        <x:f>IF(AND(I1066=1,F1066&lt;Reporting!$B$4),1,0)</x:f>
        <x:v>0</x:v>
      </x:c>
      <x:c r="K1066" s="1" t="n">
        <x:f>IF(F1066&lt;Reporting!$B$4,1,0)</x:f>
        <x:v>1</x:v>
      </x:c>
      <x:c r="L1066" s="1" t="n">
        <x:f>IF(AND(K1066=1,G1066&lt;&gt;"",G1066&lt;=F1066),1,0)</x:f>
        <x:v>1</x:v>
      </x:c>
      <x:c r="M1066" s="1" t="n">
        <x:f>IF(AND(G1066&lt;&gt;"",G1066&lt;Reporting!$B$4),1,0)</x:f>
        <x:v>1</x:v>
      </x:c>
      <x:c r="N1066" s="16" t="n">
        <x:f>IF(M1066=1,G1066-E1066,"")</x:f>
        <x:v>5.041666666664241</x:v>
      </x:c>
      <x:c r="O1066" s="1" t="str">
        <x:f>IF(E1066&gt;=Reporting!$B$4,"Outside cutoff",IF(M1066=1,"Closed",IF(J1066=1,"Overdue","Open - within SLA")))</x:f>
        <x:v>Closed</x:v>
      </x:c>
    </x:row>
    <x:row r="1067">
      <x:c r="A1067" s="14" t="str">
        <x:v>CASE-01062</x:v>
      </x:c>
      <x:c r="B1067" s="14" t="str">
        <x:v>Warehouse</x:v>
      </x:c>
      <x:c r="C1067" s="14" t="str">
        <x:v>Late review</x:v>
      </x:c>
      <x:c r="D1067" s="14" t="str">
        <x:v>Low</x:v>
      </x:c>
      <x:c r="E1067" s="15" t="n">
        <x:v>46214.625</x:v>
      </x:c>
      <x:c r="F1067" s="15" t="n">
        <x:v>46228.625</x:v>
      </x:c>
      <x:c r="G1067" s="15" t="n">
        <x:v>46232.625</x:v>
      </x:c>
      <x:c r="H1067" s="14" t="n">
        <x:v>2</x:v>
      </x:c>
      <x:c r="I1067" s="1" t="n">
        <x:f>IF(AND(E1067&lt;Reporting!$B$4,OR(G1067="",G1067&gt;=Reporting!$B$4)),1,0)</x:f>
        <x:v>0</x:v>
      </x:c>
      <x:c r="J1067" s="1" t="n">
        <x:f>IF(AND(I1067=1,F1067&lt;Reporting!$B$4),1,0)</x:f>
        <x:v>0</x:v>
      </x:c>
      <x:c r="K1067" s="1" t="n">
        <x:f>IF(F1067&lt;Reporting!$B$4,1,0)</x:f>
        <x:v>1</x:v>
      </x:c>
      <x:c r="L1067" s="1" t="n">
        <x:f>IF(AND(K1067=1,G1067&lt;&gt;"",G1067&lt;=F1067),1,0)</x:f>
        <x:v>0</x:v>
      </x:c>
      <x:c r="M1067" s="1" t="n">
        <x:f>IF(AND(G1067&lt;&gt;"",G1067&lt;Reporting!$B$4),1,0)</x:f>
        <x:v>1</x:v>
      </x:c>
      <x:c r="N1067" s="16" t="n">
        <x:f>IF(M1067=1,G1067-E1067,"")</x:f>
        <x:v>18</x:v>
      </x:c>
      <x:c r="O1067" s="1" t="str">
        <x:f>IF(E1067&gt;=Reporting!$B$4,"Outside cutoff",IF(M1067=1,"Closed",IF(J1067=1,"Overdue","Open - within SLA")))</x:f>
        <x:v>Closed</x:v>
      </x:c>
    </x:row>
    <x:row r="1068">
      <x:c r="A1068" s="14" t="str">
        <x:v>CASE-01063</x:v>
      </x:c>
      <x:c r="B1068" s="14" t="str">
        <x:v>Warehouse</x:v>
      </x:c>
      <x:c r="C1068" s="14" t="str">
        <x:v>Record mismatch</x:v>
      </x:c>
      <x:c r="D1068" s="14" t="str">
        <x:v>Medium</x:v>
      </x:c>
      <x:c r="E1068" s="15" t="n">
        <x:v>46257.416666666664</x:v>
      </x:c>
      <x:c r="F1068" s="15" t="n">
        <x:v>46264.416666666664</x:v>
      </x:c>
      <x:c r="G1068" s="15" t="n">
        <x:v>46270.5</x:v>
      </x:c>
      <x:c r="H1068" s="14" t="n">
        <x:v>2</x:v>
      </x:c>
      <x:c r="I1068" s="1" t="n">
        <x:f>IF(AND(E1068&lt;Reporting!$B$4,OR(G1068="",G1068&gt;=Reporting!$B$4)),1,0)</x:f>
        <x:v>0</x:v>
      </x:c>
      <x:c r="J1068" s="1" t="n">
        <x:f>IF(AND(I1068=1,F1068&lt;Reporting!$B$4),1,0)</x:f>
        <x:v>0</x:v>
      </x:c>
      <x:c r="K1068" s="1" t="n">
        <x:f>IF(F1068&lt;Reporting!$B$4,1,0)</x:f>
        <x:v>1</x:v>
      </x:c>
      <x:c r="L1068" s="1" t="n">
        <x:f>IF(AND(K1068=1,G1068&lt;&gt;"",G1068&lt;=F1068),1,0)</x:f>
        <x:v>0</x:v>
      </x:c>
      <x:c r="M1068" s="1" t="n">
        <x:f>IF(AND(G1068&lt;&gt;"",G1068&lt;Reporting!$B$4),1,0)</x:f>
        <x:v>1</x:v>
      </x:c>
      <x:c r="N1068" s="16" t="n">
        <x:f>IF(M1068=1,G1068-E1068,"")</x:f>
        <x:v>13.083333333335759</x:v>
      </x:c>
      <x:c r="O1068" s="1" t="str">
        <x:f>IF(E1068&gt;=Reporting!$B$4,"Outside cutoff",IF(M1068=1,"Closed",IF(J1068=1,"Overdue","Open - within SLA")))</x:f>
        <x:v>Closed</x:v>
      </x:c>
    </x:row>
    <x:row r="1069">
      <x:c r="A1069" s="14" t="str">
        <x:v>CASE-01064</x:v>
      </x:c>
      <x:c r="B1069" s="14" t="str">
        <x:v>Installation</x:v>
      </x:c>
      <x:c r="C1069" s="14" t="str">
        <x:v>Process deviation</x:v>
      </x:c>
      <x:c r="D1069" s="14" t="str">
        <x:v>High</x:v>
      </x:c>
      <x:c r="E1069" s="15" t="n">
        <x:v>46206.666666666664</x:v>
      </x:c>
      <x:c r="F1069" s="15" t="n">
        <x:v>46209.666666666664</x:v>
      </x:c>
      <x:c r="G1069" s="15" t="n">
        <x:v>46217.708333333336</x:v>
      </x:c>
      <x:c r="H1069" s="14" t="n">
        <x:v>3</x:v>
      </x:c>
      <x:c r="I1069" s="1" t="n">
        <x:f>IF(AND(E1069&lt;Reporting!$B$4,OR(G1069="",G1069&gt;=Reporting!$B$4)),1,0)</x:f>
        <x:v>0</x:v>
      </x:c>
      <x:c r="J1069" s="1" t="n">
        <x:f>IF(AND(I1069=1,F1069&lt;Reporting!$B$4),1,0)</x:f>
        <x:v>0</x:v>
      </x:c>
      <x:c r="K1069" s="1" t="n">
        <x:f>IF(F1069&lt;Reporting!$B$4,1,0)</x:f>
        <x:v>1</x:v>
      </x:c>
      <x:c r="L1069" s="1" t="n">
        <x:f>IF(AND(K1069=1,G1069&lt;&gt;"",G1069&lt;=F1069),1,0)</x:f>
        <x:v>0</x:v>
      </x:c>
      <x:c r="M1069" s="1" t="n">
        <x:f>IF(AND(G1069&lt;&gt;"",G1069&lt;Reporting!$B$4),1,0)</x:f>
        <x:v>1</x:v>
      </x:c>
      <x:c r="N1069" s="16" t="n">
        <x:f>IF(M1069=1,G1069-E1069,"")</x:f>
        <x:v>11.041666666671517</x:v>
      </x:c>
      <x:c r="O1069" s="1" t="str">
        <x:f>IF(E1069&gt;=Reporting!$B$4,"Outside cutoff",IF(M1069=1,"Closed",IF(J1069=1,"Overdue","Open - within SLA")))</x:f>
        <x:v>Closed</x:v>
      </x:c>
    </x:row>
    <x:row r="1070">
      <x:c r="A1070" s="14" t="str">
        <x:v>CASE-01065</x:v>
      </x:c>
      <x:c r="B1070" s="14" t="str">
        <x:v>Installation</x:v>
      </x:c>
      <x:c r="C1070" s="14" t="str">
        <x:v>Late review</x:v>
      </x:c>
      <x:c r="D1070" s="14" t="str">
        <x:v>Medium</x:v>
      </x:c>
      <x:c r="E1070" s="15" t="n">
        <x:v>46227.375</x:v>
      </x:c>
      <x:c r="F1070" s="15" t="n">
        <x:v>46234.375</x:v>
      </x:c>
      <x:c r="G1070" s="15" t="n">
        <x:v>46245.416666666664</x:v>
      </x:c>
      <x:c r="H1070" s="14" t="n">
        <x:v>3</x:v>
      </x:c>
      <x:c r="I1070" s="1" t="n">
        <x:f>IF(AND(E1070&lt;Reporting!$B$4,OR(G1070="",G1070&gt;=Reporting!$B$4)),1,0)</x:f>
        <x:v>0</x:v>
      </x:c>
      <x:c r="J1070" s="1" t="n">
        <x:f>IF(AND(I1070=1,F1070&lt;Reporting!$B$4),1,0)</x:f>
        <x:v>0</x:v>
      </x:c>
      <x:c r="K1070" s="1" t="n">
        <x:f>IF(F1070&lt;Reporting!$B$4,1,0)</x:f>
        <x:v>1</x:v>
      </x:c>
      <x:c r="L1070" s="1" t="n">
        <x:f>IF(AND(K1070=1,G1070&lt;&gt;"",G1070&lt;=F1070),1,0)</x:f>
        <x:v>0</x:v>
      </x:c>
      <x:c r="M1070" s="1" t="n">
        <x:f>IF(AND(G1070&lt;&gt;"",G1070&lt;Reporting!$B$4),1,0)</x:f>
        <x:v>1</x:v>
      </x:c>
      <x:c r="N1070" s="16" t="n">
        <x:f>IF(M1070=1,G1070-E1070,"")</x:f>
        <x:v>18.04166666666424</x:v>
      </x:c>
      <x:c r="O1070" s="1" t="str">
        <x:f>IF(E1070&gt;=Reporting!$B$4,"Outside cutoff",IF(M1070=1,"Closed",IF(J1070=1,"Overdue","Open - within SLA")))</x:f>
        <x:v>Closed</x:v>
      </x:c>
    </x:row>
    <x:row r="1071">
      <x:c r="A1071" s="14" t="str">
        <x:v>CASE-01066</x:v>
      </x:c>
      <x:c r="B1071" s="14" t="str">
        <x:v>Installation</x:v>
      </x:c>
      <x:c r="C1071" s="14" t="str">
        <x:v>Record mismatch</x:v>
      </x:c>
      <x:c r="D1071" s="14" t="str">
        <x:v>Medium</x:v>
      </x:c>
      <x:c r="E1071" s="15" t="n">
        <x:v>46267.541666666664</x:v>
      </x:c>
      <x:c r="F1071" s="15" t="n">
        <x:v>46274.541666666664</x:v>
      </x:c>
      <x:c r="G1071" s="15" t="n">
        <x:v>46273.541666666664</x:v>
      </x:c>
      <x:c r="H1071" s="14" t="n">
        <x:v>3</x:v>
      </x:c>
      <x:c r="I1071" s="1" t="n">
        <x:f>IF(AND(E1071&lt;Reporting!$B$4,OR(G1071="",G1071&gt;=Reporting!$B$4)),1,0)</x:f>
        <x:v>0</x:v>
      </x:c>
      <x:c r="J1071" s="1" t="n">
        <x:f>IF(AND(I1071=1,F1071&lt;Reporting!$B$4),1,0)</x:f>
        <x:v>0</x:v>
      </x:c>
      <x:c r="K1071" s="1" t="n">
        <x:f>IF(F1071&lt;Reporting!$B$4,1,0)</x:f>
        <x:v>1</x:v>
      </x:c>
      <x:c r="L1071" s="1" t="n">
        <x:f>IF(AND(K1071=1,G1071&lt;&gt;"",G1071&lt;=F1071),1,0)</x:f>
        <x:v>1</x:v>
      </x:c>
      <x:c r="M1071" s="1" t="n">
        <x:f>IF(AND(G1071&lt;&gt;"",G1071&lt;Reporting!$B$4),1,0)</x:f>
        <x:v>1</x:v>
      </x:c>
      <x:c r="N1071" s="16" t="n">
        <x:f>IF(M1071=1,G1071-E1071,"")</x:f>
        <x:v>6</x:v>
      </x:c>
      <x:c r="O1071" s="1" t="str">
        <x:f>IF(E1071&gt;=Reporting!$B$4,"Outside cutoff",IF(M1071=1,"Closed",IF(J1071=1,"Overdue","Open - within SLA")))</x:f>
        <x:v>Closed</x:v>
      </x:c>
    </x:row>
    <x:row r="1072">
      <x:c r="A1072" s="14" t="str">
        <x:v>CASE-01067</x:v>
      </x:c>
      <x:c r="B1072" s="14" t="str">
        <x:v>Customer Services</x:v>
      </x:c>
      <x:c r="C1072" s="14" t="str">
        <x:v>Late review</x:v>
      </x:c>
      <x:c r="D1072" s="14" t="str">
        <x:v>Low</x:v>
      </x:c>
      <x:c r="E1072" s="15" t="n">
        <x:v>46270.375</x:v>
      </x:c>
      <x:c r="F1072" s="15" t="n">
        <x:v>46284.375</x:v>
      </x:c>
      <x:c r="G1072" s="15" t="n">
        <x:v>46278.416666666664</x:v>
      </x:c>
      <x:c r="H1072" s="14" t="n">
        <x:v>1</x:v>
      </x:c>
      <x:c r="I1072" s="1" t="n">
        <x:f>IF(AND(E1072&lt;Reporting!$B$4,OR(G1072="",G1072&gt;=Reporting!$B$4)),1,0)</x:f>
        <x:v>0</x:v>
      </x:c>
      <x:c r="J1072" s="1" t="n">
        <x:f>IF(AND(I1072=1,F1072&lt;Reporting!$B$4),1,0)</x:f>
        <x:v>0</x:v>
      </x:c>
      <x:c r="K1072" s="1" t="n">
        <x:f>IF(F1072&lt;Reporting!$B$4,1,0)</x:f>
        <x:v>1</x:v>
      </x:c>
      <x:c r="L1072" s="1" t="n">
        <x:f>IF(AND(K1072=1,G1072&lt;&gt;"",G1072&lt;=F1072),1,0)</x:f>
        <x:v>1</x:v>
      </x:c>
      <x:c r="M1072" s="1" t="n">
        <x:f>IF(AND(G1072&lt;&gt;"",G1072&lt;Reporting!$B$4),1,0)</x:f>
        <x:v>1</x:v>
      </x:c>
      <x:c r="N1072" s="16" t="n">
        <x:f>IF(M1072=1,G1072-E1072,"")</x:f>
        <x:v>8.041666666664241</x:v>
      </x:c>
      <x:c r="O1072" s="1" t="str">
        <x:f>IF(E1072&gt;=Reporting!$B$4,"Outside cutoff",IF(M1072=1,"Closed",IF(J1072=1,"Overdue","Open - within SLA")))</x:f>
        <x:v>Closed</x:v>
      </x:c>
    </x:row>
    <x:row r="1073">
      <x:c r="A1073" s="14" t="str">
        <x:v>CASE-01068</x:v>
      </x:c>
      <x:c r="B1073" s="14" t="str">
        <x:v>Customer Services</x:v>
      </x:c>
      <x:c r="C1073" s="14" t="str">
        <x:v>Missing evidence</x:v>
      </x:c>
      <x:c r="D1073" s="14" t="str">
        <x:v>High</x:v>
      </x:c>
      <x:c r="E1073" s="15" t="n">
        <x:v>46269.625</x:v>
      </x:c>
      <x:c r="F1073" s="15" t="n">
        <x:v>46272.625</x:v>
      </x:c>
      <x:c r="G1073" s="15" t="n">
        <x:v>46275.708333333336</x:v>
      </x:c>
      <x:c r="H1073" s="14" t="n">
        <x:v>1</x:v>
      </x:c>
      <x:c r="I1073" s="1" t="n">
        <x:f>IF(AND(E1073&lt;Reporting!$B$4,OR(G1073="",G1073&gt;=Reporting!$B$4)),1,0)</x:f>
        <x:v>0</x:v>
      </x:c>
      <x:c r="J1073" s="1" t="n">
        <x:f>IF(AND(I1073=1,F1073&lt;Reporting!$B$4),1,0)</x:f>
        <x:v>0</x:v>
      </x:c>
      <x:c r="K1073" s="1" t="n">
        <x:f>IF(F1073&lt;Reporting!$B$4,1,0)</x:f>
        <x:v>1</x:v>
      </x:c>
      <x:c r="L1073" s="1" t="n">
        <x:f>IF(AND(K1073=1,G1073&lt;&gt;"",G1073&lt;=F1073),1,0)</x:f>
        <x:v>0</x:v>
      </x:c>
      <x:c r="M1073" s="1" t="n">
        <x:f>IF(AND(G1073&lt;&gt;"",G1073&lt;Reporting!$B$4),1,0)</x:f>
        <x:v>1</x:v>
      </x:c>
      <x:c r="N1073" s="16" t="n">
        <x:f>IF(M1073=1,G1073-E1073,"")</x:f>
        <x:v>6.083333333335759</x:v>
      </x:c>
      <x:c r="O1073" s="1" t="str">
        <x:f>IF(E1073&gt;=Reporting!$B$4,"Outside cutoff",IF(M1073=1,"Closed",IF(J1073=1,"Overdue","Open - within SLA")))</x:f>
        <x:v>Closed</x:v>
      </x:c>
    </x:row>
    <x:row r="1074">
      <x:c r="A1074" s="14" t="str">
        <x:v>CASE-01069</x:v>
      </x:c>
      <x:c r="B1074" s="14" t="str">
        <x:v>Installation</x:v>
      </x:c>
      <x:c r="C1074" s="14" t="str">
        <x:v>Late review</x:v>
      </x:c>
      <x:c r="D1074" s="14" t="str">
        <x:v>Medium</x:v>
      </x:c>
      <x:c r="E1074" s="15" t="n">
        <x:v>46230.5</x:v>
      </x:c>
      <x:c r="F1074" s="15" t="n">
        <x:v>46237.5</x:v>
      </x:c>
      <x:c r="G1074" s="15" t="n">
        <x:v>46235.583333333336</x:v>
      </x:c>
      <x:c r="H1074" s="14" t="n">
        <x:v>3</x:v>
      </x:c>
      <x:c r="I1074" s="1" t="n">
        <x:f>IF(AND(E1074&lt;Reporting!$B$4,OR(G1074="",G1074&gt;=Reporting!$B$4)),1,0)</x:f>
        <x:v>0</x:v>
      </x:c>
      <x:c r="J1074" s="1" t="n">
        <x:f>IF(AND(I1074=1,F1074&lt;Reporting!$B$4),1,0)</x:f>
        <x:v>0</x:v>
      </x:c>
      <x:c r="K1074" s="1" t="n">
        <x:f>IF(F1074&lt;Reporting!$B$4,1,0)</x:f>
        <x:v>1</x:v>
      </x:c>
      <x:c r="L1074" s="1" t="n">
        <x:f>IF(AND(K1074=1,G1074&lt;&gt;"",G1074&lt;=F1074),1,0)</x:f>
        <x:v>1</x:v>
      </x:c>
      <x:c r="M1074" s="1" t="n">
        <x:f>IF(AND(G1074&lt;&gt;"",G1074&lt;Reporting!$B$4),1,0)</x:f>
        <x:v>1</x:v>
      </x:c>
      <x:c r="N1074" s="16" t="n">
        <x:f>IF(M1074=1,G1074-E1074,"")</x:f>
        <x:v>5.083333333335759</x:v>
      </x:c>
      <x:c r="O1074" s="1" t="str">
        <x:f>IF(E1074&gt;=Reporting!$B$4,"Outside cutoff",IF(M1074=1,"Closed",IF(J1074=1,"Overdue","Open - within SLA")))</x:f>
        <x:v>Closed</x:v>
      </x:c>
    </x:row>
    <x:row r="1075">
      <x:c r="A1075" s="14" t="str">
        <x:v>CASE-01070</x:v>
      </x:c>
      <x:c r="B1075" s="14" t="str">
        <x:v>Warehouse</x:v>
      </x:c>
      <x:c r="C1075" s="14" t="str">
        <x:v>Late review</x:v>
      </x:c>
      <x:c r="D1075" s="14" t="str">
        <x:v>Medium</x:v>
      </x:c>
      <x:c r="E1075" s="15" t="n">
        <x:v>46273.541666666664</x:v>
      </x:c>
      <x:c r="F1075" s="15" t="n">
        <x:v>46280.541666666664</x:v>
      </x:c>
      <x:c r="G1075" s="15"/>
      <x:c r="H1075" s="14" t="n">
        <x:v>2</x:v>
      </x:c>
      <x:c r="I1075" s="1" t="n">
        <x:f>IF(AND(E1075&lt;Reporting!$B$4,OR(G1075="",G1075&gt;=Reporting!$B$4)),1,0)</x:f>
        <x:v>1</x:v>
      </x:c>
      <x:c r="J1075" s="1" t="n">
        <x:f>IF(AND(I1075=1,F1075&lt;Reporting!$B$4),1,0)</x:f>
        <x:v>1</x:v>
      </x:c>
      <x:c r="K1075" s="1" t="n">
        <x:f>IF(F1075&lt;Reporting!$B$4,1,0)</x:f>
        <x:v>1</x:v>
      </x:c>
      <x:c r="L1075" s="1" t="n">
        <x:f>IF(AND(K1075=1,G1075&lt;&gt;"",G1075&lt;=F1075),1,0)</x:f>
        <x:v>0</x:v>
      </x:c>
      <x:c r="M1075" s="1" t="n">
        <x:f>IF(AND(G1075&lt;&gt;"",G1075&lt;Reporting!$B$4),1,0)</x:f>
        <x:v>0</x:v>
      </x:c>
      <x:c r="N1075" s="16" t="str">
        <x:f>IF(M1075=1,G1075-E1075,"")</x:f>
      </x:c>
      <x:c r="O1075" s="1" t="str">
        <x:f>IF(E1075&gt;=Reporting!$B$4,"Outside cutoff",IF(M1075=1,"Closed",IF(J1075=1,"Overdue","Open - within SLA")))</x:f>
        <x:v>Overdue</x:v>
      </x:c>
    </x:row>
    <x:row r="1076">
      <x:c r="A1076" s="14" t="str">
        <x:v>CASE-01071</x:v>
      </x:c>
      <x:c r="B1076" s="14" t="str">
        <x:v>Customer Services</x:v>
      </x:c>
      <x:c r="C1076" s="14" t="str">
        <x:v>Process deviation</x:v>
      </x:c>
      <x:c r="D1076" s="14" t="str">
        <x:v>Low</x:v>
      </x:c>
      <x:c r="E1076" s="15" t="n">
        <x:v>46220.333333333336</x:v>
      </x:c>
      <x:c r="F1076" s="15" t="n">
        <x:v>46234.333333333336</x:v>
      </x:c>
      <x:c r="G1076" s="15" t="n">
        <x:v>46236.375</x:v>
      </x:c>
      <x:c r="H1076" s="14" t="n">
        <x:v>1</x:v>
      </x:c>
      <x:c r="I1076" s="1" t="n">
        <x:f>IF(AND(E1076&lt;Reporting!$B$4,OR(G1076="",G1076&gt;=Reporting!$B$4)),1,0)</x:f>
        <x:v>0</x:v>
      </x:c>
      <x:c r="J1076" s="1" t="n">
        <x:f>IF(AND(I1076=1,F1076&lt;Reporting!$B$4),1,0)</x:f>
        <x:v>0</x:v>
      </x:c>
      <x:c r="K1076" s="1" t="n">
        <x:f>IF(F1076&lt;Reporting!$B$4,1,0)</x:f>
        <x:v>1</x:v>
      </x:c>
      <x:c r="L1076" s="1" t="n">
        <x:f>IF(AND(K1076=1,G1076&lt;&gt;"",G1076&lt;=F1076),1,0)</x:f>
        <x:v>0</x:v>
      </x:c>
      <x:c r="M1076" s="1" t="n">
        <x:f>IF(AND(G1076&lt;&gt;"",G1076&lt;Reporting!$B$4),1,0)</x:f>
        <x:v>1</x:v>
      </x:c>
      <x:c r="N1076" s="16" t="n">
        <x:f>IF(M1076=1,G1076-E1076,"")</x:f>
        <x:v>16.04166666666424</x:v>
      </x:c>
      <x:c r="O1076" s="1" t="str">
        <x:f>IF(E1076&gt;=Reporting!$B$4,"Outside cutoff",IF(M1076=1,"Closed",IF(J1076=1,"Overdue","Open - within SLA")))</x:f>
        <x:v>Closed</x:v>
      </x:c>
    </x:row>
    <x:row r="1077">
      <x:c r="A1077" s="14" t="str">
        <x:v>CASE-01072</x:v>
      </x:c>
      <x:c r="B1077" s="14" t="str">
        <x:v>Warehouse</x:v>
      </x:c>
      <x:c r="C1077" s="14" t="str">
        <x:v>Record mismatch</x:v>
      </x:c>
      <x:c r="D1077" s="14" t="str">
        <x:v>Low</x:v>
      </x:c>
      <x:c r="E1077" s="15" t="n">
        <x:v>46272.458333333336</x:v>
      </x:c>
      <x:c r="F1077" s="15" t="n">
        <x:v>46286.458333333336</x:v>
      </x:c>
      <x:c r="G1077" s="15"/>
      <x:c r="H1077" s="14" t="n">
        <x:v>2</x:v>
      </x:c>
      <x:c r="I1077" s="1" t="n">
        <x:f>IF(AND(E1077&lt;Reporting!$B$4,OR(G1077="",G1077&gt;=Reporting!$B$4)),1,0)</x:f>
        <x:v>1</x:v>
      </x:c>
      <x:c r="J1077" s="1" t="n">
        <x:f>IF(AND(I1077=1,F1077&lt;Reporting!$B$4),1,0)</x:f>
        <x:v>0</x:v>
      </x:c>
      <x:c r="K1077" s="1" t="n">
        <x:f>IF(F1077&lt;Reporting!$B$4,1,0)</x:f>
        <x:v>0</x:v>
      </x:c>
      <x:c r="L1077" s="1" t="n">
        <x:f>IF(AND(K1077=1,G1077&lt;&gt;"",G1077&lt;=F1077),1,0)</x:f>
        <x:v>0</x:v>
      </x:c>
      <x:c r="M1077" s="1" t="n">
        <x:f>IF(AND(G1077&lt;&gt;"",G1077&lt;Reporting!$B$4),1,0)</x:f>
        <x:v>0</x:v>
      </x:c>
      <x:c r="N1077" s="16" t="str">
        <x:f>IF(M1077=1,G1077-E1077,"")</x:f>
      </x:c>
      <x:c r="O1077" s="1" t="str">
        <x:f>IF(E1077&gt;=Reporting!$B$4,"Outside cutoff",IF(M1077=1,"Closed",IF(J1077=1,"Overdue","Open - within SLA")))</x:f>
        <x:v>Open - within SLA</x:v>
      </x:c>
    </x:row>
    <x:row r="1078">
      <x:c r="A1078" s="14" t="str">
        <x:v>CASE-01073</x:v>
      </x:c>
      <x:c r="B1078" s="14" t="str">
        <x:v>Customer Services</x:v>
      </x:c>
      <x:c r="C1078" s="14" t="str">
        <x:v>Late review</x:v>
      </x:c>
      <x:c r="D1078" s="14" t="str">
        <x:v>High</x:v>
      </x:c>
      <x:c r="E1078" s="15" t="n">
        <x:v>46269.375</x:v>
      </x:c>
      <x:c r="F1078" s="15" t="n">
        <x:v>46272.375</x:v>
      </x:c>
      <x:c r="G1078" s="15" t="n">
        <x:v>46274.416666666664</x:v>
      </x:c>
      <x:c r="H1078" s="14" t="n">
        <x:v>1</x:v>
      </x:c>
      <x:c r="I1078" s="1" t="n">
        <x:f>IF(AND(E1078&lt;Reporting!$B$4,OR(G1078="",G1078&gt;=Reporting!$B$4)),1,0)</x:f>
        <x:v>0</x:v>
      </x:c>
      <x:c r="J1078" s="1" t="n">
        <x:f>IF(AND(I1078=1,F1078&lt;Reporting!$B$4),1,0)</x:f>
        <x:v>0</x:v>
      </x:c>
      <x:c r="K1078" s="1" t="n">
        <x:f>IF(F1078&lt;Reporting!$B$4,1,0)</x:f>
        <x:v>1</x:v>
      </x:c>
      <x:c r="L1078" s="1" t="n">
        <x:f>IF(AND(K1078=1,G1078&lt;&gt;"",G1078&lt;=F1078),1,0)</x:f>
        <x:v>0</x:v>
      </x:c>
      <x:c r="M1078" s="1" t="n">
        <x:f>IF(AND(G1078&lt;&gt;"",G1078&lt;Reporting!$B$4),1,0)</x:f>
        <x:v>1</x:v>
      </x:c>
      <x:c r="N1078" s="16" t="n">
        <x:f>IF(M1078=1,G1078-E1078,"")</x:f>
        <x:v>5.041666666664241</x:v>
      </x:c>
      <x:c r="O1078" s="1" t="str">
        <x:f>IF(E1078&gt;=Reporting!$B$4,"Outside cutoff",IF(M1078=1,"Closed",IF(J1078=1,"Overdue","Open - within SLA")))</x:f>
        <x:v>Closed</x:v>
      </x:c>
    </x:row>
    <x:row r="1079">
      <x:c r="A1079" s="14" t="str">
        <x:v>CASE-01074</x:v>
      </x:c>
      <x:c r="B1079" s="14" t="str">
        <x:v>Installation</x:v>
      </x:c>
      <x:c r="C1079" s="14" t="str">
        <x:v>Missing evidence</x:v>
      </x:c>
      <x:c r="D1079" s="14" t="str">
        <x:v>High</x:v>
      </x:c>
      <x:c r="E1079" s="15" t="n">
        <x:v>46218.333333333336</x:v>
      </x:c>
      <x:c r="F1079" s="15" t="n">
        <x:v>46221.333333333336</x:v>
      </x:c>
      <x:c r="G1079" s="15" t="n">
        <x:v>46236.333333333336</x:v>
      </x:c>
      <x:c r="H1079" s="14" t="n">
        <x:v>3</x:v>
      </x:c>
      <x:c r="I1079" s="1" t="n">
        <x:f>IF(AND(E1079&lt;Reporting!$B$4,OR(G1079="",G1079&gt;=Reporting!$B$4)),1,0)</x:f>
        <x:v>0</x:v>
      </x:c>
      <x:c r="J1079" s="1" t="n">
        <x:f>IF(AND(I1079=1,F1079&lt;Reporting!$B$4),1,0)</x:f>
        <x:v>0</x:v>
      </x:c>
      <x:c r="K1079" s="1" t="n">
        <x:f>IF(F1079&lt;Reporting!$B$4,1,0)</x:f>
        <x:v>1</x:v>
      </x:c>
      <x:c r="L1079" s="1" t="n">
        <x:f>IF(AND(K1079=1,G1079&lt;&gt;"",G1079&lt;=F1079),1,0)</x:f>
        <x:v>0</x:v>
      </x:c>
      <x:c r="M1079" s="1" t="n">
        <x:f>IF(AND(G1079&lt;&gt;"",G1079&lt;Reporting!$B$4),1,0)</x:f>
        <x:v>1</x:v>
      </x:c>
      <x:c r="N1079" s="16" t="n">
        <x:f>IF(M1079=1,G1079-E1079,"")</x:f>
        <x:v>18</x:v>
      </x:c>
      <x:c r="O1079" s="1" t="str">
        <x:f>IF(E1079&gt;=Reporting!$B$4,"Outside cutoff",IF(M1079=1,"Closed",IF(J1079=1,"Overdue","Open - within SLA")))</x:f>
        <x:v>Closed</x:v>
      </x:c>
    </x:row>
    <x:row r="1080">
      <x:c r="A1080" s="14" t="str">
        <x:v>CASE-01075</x:v>
      </x:c>
      <x:c r="B1080" s="14" t="str">
        <x:v>Customer Services</x:v>
      </x:c>
      <x:c r="C1080" s="14" t="str">
        <x:v>Missing evidence</x:v>
      </x:c>
      <x:c r="D1080" s="14" t="str">
        <x:v>Medium</x:v>
      </x:c>
      <x:c r="E1080" s="15" t="n">
        <x:v>46270.5</x:v>
      </x:c>
      <x:c r="F1080" s="15" t="n">
        <x:v>46277.5</x:v>
      </x:c>
      <x:c r="G1080" s="15" t="n">
        <x:v>46275.583333333336</x:v>
      </x:c>
      <x:c r="H1080" s="14" t="n">
        <x:v>1</x:v>
      </x:c>
      <x:c r="I1080" s="1" t="n">
        <x:f>IF(AND(E1080&lt;Reporting!$B$4,OR(G1080="",G1080&gt;=Reporting!$B$4)),1,0)</x:f>
        <x:v>0</x:v>
      </x:c>
      <x:c r="J1080" s="1" t="n">
        <x:f>IF(AND(I1080=1,F1080&lt;Reporting!$B$4),1,0)</x:f>
        <x:v>0</x:v>
      </x:c>
      <x:c r="K1080" s="1" t="n">
        <x:f>IF(F1080&lt;Reporting!$B$4,1,0)</x:f>
        <x:v>1</x:v>
      </x:c>
      <x:c r="L1080" s="1" t="n">
        <x:f>IF(AND(K1080=1,G1080&lt;&gt;"",G1080&lt;=F1080),1,0)</x:f>
        <x:v>1</x:v>
      </x:c>
      <x:c r="M1080" s="1" t="n">
        <x:f>IF(AND(G1080&lt;&gt;"",G1080&lt;Reporting!$B$4),1,0)</x:f>
        <x:v>1</x:v>
      </x:c>
      <x:c r="N1080" s="16" t="n">
        <x:f>IF(M1080=1,G1080-E1080,"")</x:f>
        <x:v>5.083333333335759</x:v>
      </x:c>
      <x:c r="O1080" s="1" t="str">
        <x:f>IF(E1080&gt;=Reporting!$B$4,"Outside cutoff",IF(M1080=1,"Closed",IF(J1080=1,"Overdue","Open - within SLA")))</x:f>
        <x:v>Closed</x:v>
      </x:c>
    </x:row>
    <x:row r="1081">
      <x:c r="A1081" s="14" t="str">
        <x:v>CASE-01076</x:v>
      </x:c>
      <x:c r="B1081" s="14" t="str">
        <x:v>Customer Services</x:v>
      </x:c>
      <x:c r="C1081" s="14" t="str">
        <x:v>Late review</x:v>
      </x:c>
      <x:c r="D1081" s="14" t="str">
        <x:v>Medium</x:v>
      </x:c>
      <x:c r="E1081" s="15" t="n">
        <x:v>46282.5</x:v>
      </x:c>
      <x:c r="F1081" s="15" t="n">
        <x:v>46289.5</x:v>
      </x:c>
      <x:c r="G1081" s="15"/>
      <x:c r="H1081" s="14" t="n">
        <x:v>1</x:v>
      </x:c>
      <x:c r="I1081" s="1" t="n">
        <x:f>IF(AND(E1081&lt;Reporting!$B$4,OR(G1081="",G1081&gt;=Reporting!$B$4)),1,0)</x:f>
        <x:v>1</x:v>
      </x:c>
      <x:c r="J1081" s="1" t="n">
        <x:f>IF(AND(I1081=1,F1081&lt;Reporting!$B$4),1,0)</x:f>
        <x:v>0</x:v>
      </x:c>
      <x:c r="K1081" s="1" t="n">
        <x:f>IF(F1081&lt;Reporting!$B$4,1,0)</x:f>
        <x:v>0</x:v>
      </x:c>
      <x:c r="L1081" s="1" t="n">
        <x:f>IF(AND(K1081=1,G1081&lt;&gt;"",G1081&lt;=F1081),1,0)</x:f>
        <x:v>0</x:v>
      </x:c>
      <x:c r="M1081" s="1" t="n">
        <x:f>IF(AND(G1081&lt;&gt;"",G1081&lt;Reporting!$B$4),1,0)</x:f>
        <x:v>0</x:v>
      </x:c>
      <x:c r="N1081" s="16" t="str">
        <x:f>IF(M1081=1,G1081-E1081,"")</x:f>
      </x:c>
      <x:c r="O1081" s="1" t="str">
        <x:f>IF(E1081&gt;=Reporting!$B$4,"Outside cutoff",IF(M1081=1,"Closed",IF(J1081=1,"Overdue","Open - within SLA")))</x:f>
        <x:v>Open - within SLA</x:v>
      </x:c>
    </x:row>
    <x:row r="1082">
      <x:c r="A1082" s="14" t="str">
        <x:v>CASE-01077</x:v>
      </x:c>
      <x:c r="B1082" s="14" t="str">
        <x:v>Installation</x:v>
      </x:c>
      <x:c r="C1082" s="14" t="str">
        <x:v>Late review</x:v>
      </x:c>
      <x:c r="D1082" s="14" t="str">
        <x:v>Medium</x:v>
      </x:c>
      <x:c r="E1082" s="15" t="n">
        <x:v>46211.333333333336</x:v>
      </x:c>
      <x:c r="F1082" s="15" t="n">
        <x:v>46218.333333333336</x:v>
      </x:c>
      <x:c r="G1082" s="15" t="n">
        <x:v>46212.375</x:v>
      </x:c>
      <x:c r="H1082" s="14" t="n">
        <x:v>3</x:v>
      </x:c>
      <x:c r="I1082" s="1" t="n">
        <x:f>IF(AND(E1082&lt;Reporting!$B$4,OR(G1082="",G1082&gt;=Reporting!$B$4)),1,0)</x:f>
        <x:v>0</x:v>
      </x:c>
      <x:c r="J1082" s="1" t="n">
        <x:f>IF(AND(I1082=1,F1082&lt;Reporting!$B$4),1,0)</x:f>
        <x:v>0</x:v>
      </x:c>
      <x:c r="K1082" s="1" t="n">
        <x:f>IF(F1082&lt;Reporting!$B$4,1,0)</x:f>
        <x:v>1</x:v>
      </x:c>
      <x:c r="L1082" s="1" t="n">
        <x:f>IF(AND(K1082=1,G1082&lt;&gt;"",G1082&lt;=F1082),1,0)</x:f>
        <x:v>1</x:v>
      </x:c>
      <x:c r="M1082" s="1" t="n">
        <x:f>IF(AND(G1082&lt;&gt;"",G1082&lt;Reporting!$B$4),1,0)</x:f>
        <x:v>1</x:v>
      </x:c>
      <x:c r="N1082" s="16" t="n">
        <x:f>IF(M1082=1,G1082-E1082,"")</x:f>
        <x:v>1.0416666666642413</x:v>
      </x:c>
      <x:c r="O1082" s="1" t="str">
        <x:f>IF(E1082&gt;=Reporting!$B$4,"Outside cutoff",IF(M1082=1,"Closed",IF(J1082=1,"Overdue","Open - within SLA")))</x:f>
        <x:v>Closed</x:v>
      </x:c>
    </x:row>
    <x:row r="1083">
      <x:c r="A1083" s="14" t="str">
        <x:v>CASE-01078</x:v>
      </x:c>
      <x:c r="B1083" s="14" t="str">
        <x:v>Warehouse</x:v>
      </x:c>
      <x:c r="C1083" s="14" t="str">
        <x:v>Missing evidence</x:v>
      </x:c>
      <x:c r="D1083" s="14" t="str">
        <x:v>High</x:v>
      </x:c>
      <x:c r="E1083" s="15" t="n">
        <x:v>46276.333333333336</x:v>
      </x:c>
      <x:c r="F1083" s="15" t="n">
        <x:v>46279.333333333336</x:v>
      </x:c>
      <x:c r="G1083" s="15"/>
      <x:c r="H1083" s="14" t="n">
        <x:v>2</x:v>
      </x:c>
      <x:c r="I1083" s="1" t="n">
        <x:f>IF(AND(E1083&lt;Reporting!$B$4,OR(G1083="",G1083&gt;=Reporting!$B$4)),1,0)</x:f>
        <x:v>1</x:v>
      </x:c>
      <x:c r="J1083" s="1" t="n">
        <x:f>IF(AND(I1083=1,F1083&lt;Reporting!$B$4),1,0)</x:f>
        <x:v>1</x:v>
      </x:c>
      <x:c r="K1083" s="1" t="n">
        <x:f>IF(F1083&lt;Reporting!$B$4,1,0)</x:f>
        <x:v>1</x:v>
      </x:c>
      <x:c r="L1083" s="1" t="n">
        <x:f>IF(AND(K1083=1,G1083&lt;&gt;"",G1083&lt;=F1083),1,0)</x:f>
        <x:v>0</x:v>
      </x:c>
      <x:c r="M1083" s="1" t="n">
        <x:f>IF(AND(G1083&lt;&gt;"",G1083&lt;Reporting!$B$4),1,0)</x:f>
        <x:v>0</x:v>
      </x:c>
      <x:c r="N1083" s="16" t="str">
        <x:f>IF(M1083=1,G1083-E1083,"")</x:f>
      </x:c>
      <x:c r="O1083" s="1" t="str">
        <x:f>IF(E1083&gt;=Reporting!$B$4,"Outside cutoff",IF(M1083=1,"Closed",IF(J1083=1,"Overdue","Open - within SLA")))</x:f>
        <x:v>Overdue</x:v>
      </x:c>
    </x:row>
    <x:row r="1084">
      <x:c r="A1084" s="14" t="str">
        <x:v>CASE-01079</x:v>
      </x:c>
      <x:c r="B1084" s="14" t="str">
        <x:v>Customer Services</x:v>
      </x:c>
      <x:c r="C1084" s="14" t="str">
        <x:v>Record mismatch</x:v>
      </x:c>
      <x:c r="D1084" s="14" t="str">
        <x:v>Medium</x:v>
      </x:c>
      <x:c r="E1084" s="15" t="n">
        <x:v>46246.416666666664</x:v>
      </x:c>
      <x:c r="F1084" s="15" t="n">
        <x:v>46253.416666666664</x:v>
      </x:c>
      <x:c r="G1084" s="15" t="n">
        <x:v>46249.458333333336</x:v>
      </x:c>
      <x:c r="H1084" s="14" t="n">
        <x:v>1</x:v>
      </x:c>
      <x:c r="I1084" s="1" t="n">
        <x:f>IF(AND(E1084&lt;Reporting!$B$4,OR(G1084="",G1084&gt;=Reporting!$B$4)),1,0)</x:f>
        <x:v>0</x:v>
      </x:c>
      <x:c r="J1084" s="1" t="n">
        <x:f>IF(AND(I1084=1,F1084&lt;Reporting!$B$4),1,0)</x:f>
        <x:v>0</x:v>
      </x:c>
      <x:c r="K1084" s="1" t="n">
        <x:f>IF(F1084&lt;Reporting!$B$4,1,0)</x:f>
        <x:v>1</x:v>
      </x:c>
      <x:c r="L1084" s="1" t="n">
        <x:f>IF(AND(K1084=1,G1084&lt;&gt;"",G1084&lt;=F1084),1,0)</x:f>
        <x:v>1</x:v>
      </x:c>
      <x:c r="M1084" s="1" t="n">
        <x:f>IF(AND(G1084&lt;&gt;"",G1084&lt;Reporting!$B$4),1,0)</x:f>
        <x:v>1</x:v>
      </x:c>
      <x:c r="N1084" s="16" t="n">
        <x:f>IF(M1084=1,G1084-E1084,"")</x:f>
        <x:v>3.0416666666715173</x:v>
      </x:c>
      <x:c r="O1084" s="1" t="str">
        <x:f>IF(E1084&gt;=Reporting!$B$4,"Outside cutoff",IF(M1084=1,"Closed",IF(J1084=1,"Overdue","Open - within SLA")))</x:f>
        <x:v>Closed</x:v>
      </x:c>
    </x:row>
    <x:row r="1085">
      <x:c r="A1085" s="14" t="str">
        <x:v>CASE-01080</x:v>
      </x:c>
      <x:c r="B1085" s="14" t="str">
        <x:v>Customer Services</x:v>
      </x:c>
      <x:c r="C1085" s="14" t="str">
        <x:v>Missing evidence</x:v>
      </x:c>
      <x:c r="D1085" s="14" t="str">
        <x:v>High</x:v>
      </x:c>
      <x:c r="E1085" s="15" t="n">
        <x:v>46285.458333333336</x:v>
      </x:c>
      <x:c r="F1085" s="15" t="n">
        <x:v>46288.458333333336</x:v>
      </x:c>
      <x:c r="G1085" s="15"/>
      <x:c r="H1085" s="14" t="n">
        <x:v>1</x:v>
      </x:c>
      <x:c r="I1085" s="1" t="n">
        <x:f>IF(AND(E1085&lt;Reporting!$B$4,OR(G1085="",G1085&gt;=Reporting!$B$4)),1,0)</x:f>
        <x:v>1</x:v>
      </x:c>
      <x:c r="J1085" s="1" t="n">
        <x:f>IF(AND(I1085=1,F1085&lt;Reporting!$B$4),1,0)</x:f>
        <x:v>0</x:v>
      </x:c>
      <x:c r="K1085" s="1" t="n">
        <x:f>IF(F1085&lt;Reporting!$B$4,1,0)</x:f>
        <x:v>0</x:v>
      </x:c>
      <x:c r="L1085" s="1" t="n">
        <x:f>IF(AND(K1085=1,G1085&lt;&gt;"",G1085&lt;=F1085),1,0)</x:f>
        <x:v>0</x:v>
      </x:c>
      <x:c r="M1085" s="1" t="n">
        <x:f>IF(AND(G1085&lt;&gt;"",G1085&lt;Reporting!$B$4),1,0)</x:f>
        <x:v>0</x:v>
      </x:c>
      <x:c r="N1085" s="16" t="str">
        <x:f>IF(M1085=1,G1085-E1085,"")</x:f>
      </x:c>
      <x:c r="O1085" s="1" t="str">
        <x:f>IF(E1085&gt;=Reporting!$B$4,"Outside cutoff",IF(M1085=1,"Closed",IF(J1085=1,"Overdue","Open - within SLA")))</x:f>
        <x:v>Open - within SLA</x:v>
      </x:c>
    </x:row>
    <x:row r="1086">
      <x:c r="A1086" s="14" t="str">
        <x:v>CASE-01081</x:v>
      </x:c>
      <x:c r="B1086" s="14" t="str">
        <x:v>Warehouse</x:v>
      </x:c>
      <x:c r="C1086" s="14" t="str">
        <x:v>Record mismatch</x:v>
      </x:c>
      <x:c r="D1086" s="14" t="str">
        <x:v>Medium</x:v>
      </x:c>
      <x:c r="E1086" s="15" t="n">
        <x:v>46233.375</x:v>
      </x:c>
      <x:c r="F1086" s="15" t="n">
        <x:v>46240.375</x:v>
      </x:c>
      <x:c r="G1086" s="15" t="n">
        <x:v>46247.416666666664</x:v>
      </x:c>
      <x:c r="H1086" s="14" t="n">
        <x:v>2</x:v>
      </x:c>
      <x:c r="I1086" s="1" t="n">
        <x:f>IF(AND(E1086&lt;Reporting!$B$4,OR(G1086="",G1086&gt;=Reporting!$B$4)),1,0)</x:f>
        <x:v>0</x:v>
      </x:c>
      <x:c r="J1086" s="1" t="n">
        <x:f>IF(AND(I1086=1,F1086&lt;Reporting!$B$4),1,0)</x:f>
        <x:v>0</x:v>
      </x:c>
      <x:c r="K1086" s="1" t="n">
        <x:f>IF(F1086&lt;Reporting!$B$4,1,0)</x:f>
        <x:v>1</x:v>
      </x:c>
      <x:c r="L1086" s="1" t="n">
        <x:f>IF(AND(K1086=1,G1086&lt;&gt;"",G1086&lt;=F1086),1,0)</x:f>
        <x:v>0</x:v>
      </x:c>
      <x:c r="M1086" s="1" t="n">
        <x:f>IF(AND(G1086&lt;&gt;"",G1086&lt;Reporting!$B$4),1,0)</x:f>
        <x:v>1</x:v>
      </x:c>
      <x:c r="N1086" s="16" t="n">
        <x:f>IF(M1086=1,G1086-E1086,"")</x:f>
        <x:v>14.041666666664241</x:v>
      </x:c>
      <x:c r="O1086" s="1" t="str">
        <x:f>IF(E1086&gt;=Reporting!$B$4,"Outside cutoff",IF(M1086=1,"Closed",IF(J1086=1,"Overdue","Open - within SLA")))</x:f>
        <x:v>Closed</x:v>
      </x:c>
    </x:row>
    <x:row r="1087">
      <x:c r="A1087" s="14" t="str">
        <x:v>CASE-01082</x:v>
      </x:c>
      <x:c r="B1087" s="14" t="str">
        <x:v>Installation</x:v>
      </x:c>
      <x:c r="C1087" s="14" t="str">
        <x:v>Record mismatch</x:v>
      </x:c>
      <x:c r="D1087" s="14" t="str">
        <x:v>Low</x:v>
      </x:c>
      <x:c r="E1087" s="15" t="n">
        <x:v>46223.333333333336</x:v>
      </x:c>
      <x:c r="F1087" s="15" t="n">
        <x:v>46237.333333333336</x:v>
      </x:c>
      <x:c r="G1087" s="15"/>
      <x:c r="H1087" s="14" t="n">
        <x:v>3</x:v>
      </x:c>
      <x:c r="I1087" s="1" t="n">
        <x:f>IF(AND(E1087&lt;Reporting!$B$4,OR(G1087="",G1087&gt;=Reporting!$B$4)),1,0)</x:f>
        <x:v>1</x:v>
      </x:c>
      <x:c r="J1087" s="1" t="n">
        <x:f>IF(AND(I1087=1,F1087&lt;Reporting!$B$4),1,0)</x:f>
        <x:v>1</x:v>
      </x:c>
      <x:c r="K1087" s="1" t="n">
        <x:f>IF(F1087&lt;Reporting!$B$4,1,0)</x:f>
        <x:v>1</x:v>
      </x:c>
      <x:c r="L1087" s="1" t="n">
        <x:f>IF(AND(K1087=1,G1087&lt;&gt;"",G1087&lt;=F1087),1,0)</x:f>
        <x:v>0</x:v>
      </x:c>
      <x:c r="M1087" s="1" t="n">
        <x:f>IF(AND(G1087&lt;&gt;"",G1087&lt;Reporting!$B$4),1,0)</x:f>
        <x:v>0</x:v>
      </x:c>
      <x:c r="N1087" s="16" t="str">
        <x:f>IF(M1087=1,G1087-E1087,"")</x:f>
      </x:c>
      <x:c r="O1087" s="1" t="str">
        <x:f>IF(E1087&gt;=Reporting!$B$4,"Outside cutoff",IF(M1087=1,"Closed",IF(J1087=1,"Overdue","Open - within SLA")))</x:f>
        <x:v>Overdue</x:v>
      </x:c>
    </x:row>
    <x:row r="1088">
      <x:c r="A1088" s="14" t="str">
        <x:v>CASE-01083</x:v>
      </x:c>
      <x:c r="B1088" s="14" t="str">
        <x:v>Installation</x:v>
      </x:c>
      <x:c r="C1088" s="14" t="str">
        <x:v>Missing evidence</x:v>
      </x:c>
      <x:c r="D1088" s="14" t="str">
        <x:v>Medium</x:v>
      </x:c>
      <x:c r="E1088" s="15" t="n">
        <x:v>46276.333333333336</x:v>
      </x:c>
      <x:c r="F1088" s="15" t="n">
        <x:v>46283.333333333336</x:v>
      </x:c>
      <x:c r="G1088" s="15"/>
      <x:c r="H1088" s="14" t="n">
        <x:v>3</x:v>
      </x:c>
      <x:c r="I1088" s="1" t="n">
        <x:f>IF(AND(E1088&lt;Reporting!$B$4,OR(G1088="",G1088&gt;=Reporting!$B$4)),1,0)</x:f>
        <x:v>1</x:v>
      </x:c>
      <x:c r="J1088" s="1" t="n">
        <x:f>IF(AND(I1088=1,F1088&lt;Reporting!$B$4),1,0)</x:f>
        <x:v>1</x:v>
      </x:c>
      <x:c r="K1088" s="1" t="n">
        <x:f>IF(F1088&lt;Reporting!$B$4,1,0)</x:f>
        <x:v>1</x:v>
      </x:c>
      <x:c r="L1088" s="1" t="n">
        <x:f>IF(AND(K1088=1,G1088&lt;&gt;"",G1088&lt;=F1088),1,0)</x:f>
        <x:v>0</x:v>
      </x:c>
      <x:c r="M1088" s="1" t="n">
        <x:f>IF(AND(G1088&lt;&gt;"",G1088&lt;Reporting!$B$4),1,0)</x:f>
        <x:v>0</x:v>
      </x:c>
      <x:c r="N1088" s="16" t="str">
        <x:f>IF(M1088=1,G1088-E1088,"")</x:f>
      </x:c>
      <x:c r="O1088" s="1" t="str">
        <x:f>IF(E1088&gt;=Reporting!$B$4,"Outside cutoff",IF(M1088=1,"Closed",IF(J1088=1,"Overdue","Open - within SLA")))</x:f>
        <x:v>Overdue</x:v>
      </x:c>
    </x:row>
    <x:row r="1089">
      <x:c r="A1089" s="14" t="str">
        <x:v>CASE-01084</x:v>
      </x:c>
      <x:c r="B1089" s="14" t="str">
        <x:v>Warehouse</x:v>
      </x:c>
      <x:c r="C1089" s="14" t="str">
        <x:v>Record mismatch</x:v>
      </x:c>
      <x:c r="D1089" s="14" t="str">
        <x:v>High</x:v>
      </x:c>
      <x:c r="E1089" s="15" t="n">
        <x:v>46265.416666666664</x:v>
      </x:c>
      <x:c r="F1089" s="15" t="n">
        <x:v>46268.416666666664</x:v>
      </x:c>
      <x:c r="G1089" s="15" t="n">
        <x:v>46284.416666666664</x:v>
      </x:c>
      <x:c r="H1089" s="14" t="n">
        <x:v>2</x:v>
      </x:c>
      <x:c r="I1089" s="1" t="n">
        <x:f>IF(AND(E1089&lt;Reporting!$B$4,OR(G1089="",G1089&gt;=Reporting!$B$4)),1,0)</x:f>
        <x:v>0</x:v>
      </x:c>
      <x:c r="J1089" s="1" t="n">
        <x:f>IF(AND(I1089=1,F1089&lt;Reporting!$B$4),1,0)</x:f>
        <x:v>0</x:v>
      </x:c>
      <x:c r="K1089" s="1" t="n">
        <x:f>IF(F1089&lt;Reporting!$B$4,1,0)</x:f>
        <x:v>1</x:v>
      </x:c>
      <x:c r="L1089" s="1" t="n">
        <x:f>IF(AND(K1089=1,G1089&lt;&gt;"",G1089&lt;=F1089),1,0)</x:f>
        <x:v>0</x:v>
      </x:c>
      <x:c r="M1089" s="1" t="n">
        <x:f>IF(AND(G1089&lt;&gt;"",G1089&lt;Reporting!$B$4),1,0)</x:f>
        <x:v>1</x:v>
      </x:c>
      <x:c r="N1089" s="16" t="n">
        <x:f>IF(M1089=1,G1089-E1089,"")</x:f>
        <x:v>19</x:v>
      </x:c>
      <x:c r="O1089" s="1" t="str">
        <x:f>IF(E1089&gt;=Reporting!$B$4,"Outside cutoff",IF(M1089=1,"Closed",IF(J1089=1,"Overdue","Open - within SLA")))</x:f>
        <x:v>Closed</x:v>
      </x:c>
    </x:row>
    <x:row r="1090">
      <x:c r="A1090" s="14" t="str">
        <x:v>CASE-01085</x:v>
      </x:c>
      <x:c r="B1090" s="14" t="str">
        <x:v>Installation</x:v>
      </x:c>
      <x:c r="C1090" s="14" t="str">
        <x:v>Record mismatch</x:v>
      </x:c>
      <x:c r="D1090" s="14" t="str">
        <x:v>High</x:v>
      </x:c>
      <x:c r="E1090" s="15" t="n">
        <x:v>46250.666666666664</x:v>
      </x:c>
      <x:c r="F1090" s="15" t="n">
        <x:v>46253.666666666664</x:v>
      </x:c>
      <x:c r="G1090" s="15" t="n">
        <x:v>46265.75</x:v>
      </x:c>
      <x:c r="H1090" s="14" t="n">
        <x:v>3</x:v>
      </x:c>
      <x:c r="I1090" s="1" t="n">
        <x:f>IF(AND(E1090&lt;Reporting!$B$4,OR(G1090="",G1090&gt;=Reporting!$B$4)),1,0)</x:f>
        <x:v>0</x:v>
      </x:c>
      <x:c r="J1090" s="1" t="n">
        <x:f>IF(AND(I1090=1,F1090&lt;Reporting!$B$4),1,0)</x:f>
        <x:v>0</x:v>
      </x:c>
      <x:c r="K1090" s="1" t="n">
        <x:f>IF(F1090&lt;Reporting!$B$4,1,0)</x:f>
        <x:v>1</x:v>
      </x:c>
      <x:c r="L1090" s="1" t="n">
        <x:f>IF(AND(K1090=1,G1090&lt;&gt;"",G1090&lt;=F1090),1,0)</x:f>
        <x:v>0</x:v>
      </x:c>
      <x:c r="M1090" s="1" t="n">
        <x:f>IF(AND(G1090&lt;&gt;"",G1090&lt;Reporting!$B$4),1,0)</x:f>
        <x:v>1</x:v>
      </x:c>
      <x:c r="N1090" s="16" t="n">
        <x:f>IF(M1090=1,G1090-E1090,"")</x:f>
        <x:v>15.083333333335759</x:v>
      </x:c>
      <x:c r="O1090" s="1" t="str">
        <x:f>IF(E1090&gt;=Reporting!$B$4,"Outside cutoff",IF(M1090=1,"Closed",IF(J1090=1,"Overdue","Open - within SLA")))</x:f>
        <x:v>Closed</x:v>
      </x:c>
    </x:row>
    <x:row r="1091">
      <x:c r="A1091" s="14" t="str">
        <x:v>CASE-01086</x:v>
      </x:c>
      <x:c r="B1091" s="14" t="str">
        <x:v>Installation</x:v>
      </x:c>
      <x:c r="C1091" s="14" t="str">
        <x:v>Late review</x:v>
      </x:c>
      <x:c r="D1091" s="14" t="str">
        <x:v>Medium</x:v>
      </x:c>
      <x:c r="E1091" s="15" t="n">
        <x:v>46222.375</x:v>
      </x:c>
      <x:c r="F1091" s="15" t="n">
        <x:v>46229.375</x:v>
      </x:c>
      <x:c r="G1091" s="15" t="n">
        <x:v>46238.416666666664</x:v>
      </x:c>
      <x:c r="H1091" s="14" t="n">
        <x:v>3</x:v>
      </x:c>
      <x:c r="I1091" s="1" t="n">
        <x:f>IF(AND(E1091&lt;Reporting!$B$4,OR(G1091="",G1091&gt;=Reporting!$B$4)),1,0)</x:f>
        <x:v>0</x:v>
      </x:c>
      <x:c r="J1091" s="1" t="n">
        <x:f>IF(AND(I1091=1,F1091&lt;Reporting!$B$4),1,0)</x:f>
        <x:v>0</x:v>
      </x:c>
      <x:c r="K1091" s="1" t="n">
        <x:f>IF(F1091&lt;Reporting!$B$4,1,0)</x:f>
        <x:v>1</x:v>
      </x:c>
      <x:c r="L1091" s="1" t="n">
        <x:f>IF(AND(K1091=1,G1091&lt;&gt;"",G1091&lt;=F1091),1,0)</x:f>
        <x:v>0</x:v>
      </x:c>
      <x:c r="M1091" s="1" t="n">
        <x:f>IF(AND(G1091&lt;&gt;"",G1091&lt;Reporting!$B$4),1,0)</x:f>
        <x:v>1</x:v>
      </x:c>
      <x:c r="N1091" s="16" t="n">
        <x:f>IF(M1091=1,G1091-E1091,"")</x:f>
        <x:v>16.04166666666424</x:v>
      </x:c>
      <x:c r="O1091" s="1" t="str">
        <x:f>IF(E1091&gt;=Reporting!$B$4,"Outside cutoff",IF(M1091=1,"Closed",IF(J1091=1,"Overdue","Open - within SLA")))</x:f>
        <x:v>Closed</x:v>
      </x:c>
    </x:row>
    <x:row r="1092">
      <x:c r="A1092" s="14" t="str">
        <x:v>CASE-01087</x:v>
      </x:c>
      <x:c r="B1092" s="14" t="str">
        <x:v>Customer Services</x:v>
      </x:c>
      <x:c r="C1092" s="14" t="str">
        <x:v>Late review</x:v>
      </x:c>
      <x:c r="D1092" s="14" t="str">
        <x:v>Medium</x:v>
      </x:c>
      <x:c r="E1092" s="15" t="n">
        <x:v>46211.458333333336</x:v>
      </x:c>
      <x:c r="F1092" s="15" t="n">
        <x:v>46218.458333333336</x:v>
      </x:c>
      <x:c r="G1092" s="15" t="n">
        <x:v>46213.5</x:v>
      </x:c>
      <x:c r="H1092" s="14" t="n">
        <x:v>1</x:v>
      </x:c>
      <x:c r="I1092" s="1" t="n">
        <x:f>IF(AND(E1092&lt;Reporting!$B$4,OR(G1092="",G1092&gt;=Reporting!$B$4)),1,0)</x:f>
        <x:v>0</x:v>
      </x:c>
      <x:c r="J1092" s="1" t="n">
        <x:f>IF(AND(I1092=1,F1092&lt;Reporting!$B$4),1,0)</x:f>
        <x:v>0</x:v>
      </x:c>
      <x:c r="K1092" s="1" t="n">
        <x:f>IF(F1092&lt;Reporting!$B$4,1,0)</x:f>
        <x:v>1</x:v>
      </x:c>
      <x:c r="L1092" s="1" t="n">
        <x:f>IF(AND(K1092=1,G1092&lt;&gt;"",G1092&lt;=F1092),1,0)</x:f>
        <x:v>1</x:v>
      </x:c>
      <x:c r="M1092" s="1" t="n">
        <x:f>IF(AND(G1092&lt;&gt;"",G1092&lt;Reporting!$B$4),1,0)</x:f>
        <x:v>1</x:v>
      </x:c>
      <x:c r="N1092" s="16" t="n">
        <x:f>IF(M1092=1,G1092-E1092,"")</x:f>
        <x:v>2.0416666666642413</x:v>
      </x:c>
      <x:c r="O1092" s="1" t="str">
        <x:f>IF(E1092&gt;=Reporting!$B$4,"Outside cutoff",IF(M1092=1,"Closed",IF(J1092=1,"Overdue","Open - within SLA")))</x:f>
        <x:v>Closed</x:v>
      </x:c>
    </x:row>
    <x:row r="1093">
      <x:c r="A1093" s="14" t="str">
        <x:v>CASE-01088</x:v>
      </x:c>
      <x:c r="B1093" s="14" t="str">
        <x:v>Installation</x:v>
      </x:c>
      <x:c r="C1093" s="14" t="str">
        <x:v>Late review</x:v>
      </x:c>
      <x:c r="D1093" s="14" t="str">
        <x:v>Medium</x:v>
      </x:c>
      <x:c r="E1093" s="15" t="n">
        <x:v>46232.625</x:v>
      </x:c>
      <x:c r="F1093" s="15" t="n">
        <x:v>46239.625</x:v>
      </x:c>
      <x:c r="G1093" s="15" t="n">
        <x:v>46241.625</x:v>
      </x:c>
      <x:c r="H1093" s="14" t="n">
        <x:v>3</x:v>
      </x:c>
      <x:c r="I1093" s="1" t="n">
        <x:f>IF(AND(E1093&lt;Reporting!$B$4,OR(G1093="",G1093&gt;=Reporting!$B$4)),1,0)</x:f>
        <x:v>0</x:v>
      </x:c>
      <x:c r="J1093" s="1" t="n">
        <x:f>IF(AND(I1093=1,F1093&lt;Reporting!$B$4),1,0)</x:f>
        <x:v>0</x:v>
      </x:c>
      <x:c r="K1093" s="1" t="n">
        <x:f>IF(F1093&lt;Reporting!$B$4,1,0)</x:f>
        <x:v>1</x:v>
      </x:c>
      <x:c r="L1093" s="1" t="n">
        <x:f>IF(AND(K1093=1,G1093&lt;&gt;"",G1093&lt;=F1093),1,0)</x:f>
        <x:v>0</x:v>
      </x:c>
      <x:c r="M1093" s="1" t="n">
        <x:f>IF(AND(G1093&lt;&gt;"",G1093&lt;Reporting!$B$4),1,0)</x:f>
        <x:v>1</x:v>
      </x:c>
      <x:c r="N1093" s="16" t="n">
        <x:f>IF(M1093=1,G1093-E1093,"")</x:f>
        <x:v>9</x:v>
      </x:c>
      <x:c r="O1093" s="1" t="str">
        <x:f>IF(E1093&gt;=Reporting!$B$4,"Outside cutoff",IF(M1093=1,"Closed",IF(J1093=1,"Overdue","Open - within SLA")))</x:f>
        <x:v>Closed</x:v>
      </x:c>
    </x:row>
    <x:row r="1094">
      <x:c r="A1094" s="14" t="str">
        <x:v>CASE-01089</x:v>
      </x:c>
      <x:c r="B1094" s="14" t="str">
        <x:v>Installation</x:v>
      </x:c>
      <x:c r="C1094" s="14" t="str">
        <x:v>Process deviation</x:v>
      </x:c>
      <x:c r="D1094" s="14" t="str">
        <x:v>Medium</x:v>
      </x:c>
      <x:c r="E1094" s="15" t="n">
        <x:v>46244.625</x:v>
      </x:c>
      <x:c r="F1094" s="15" t="n">
        <x:v>46251.625</x:v>
      </x:c>
      <x:c r="G1094" s="15" t="n">
        <x:v>46251.625</x:v>
      </x:c>
      <x:c r="H1094" s="14" t="n">
        <x:v>3</x:v>
      </x:c>
      <x:c r="I1094" s="1" t="n">
        <x:f>IF(AND(E1094&lt;Reporting!$B$4,OR(G1094="",G1094&gt;=Reporting!$B$4)),1,0)</x:f>
        <x:v>0</x:v>
      </x:c>
      <x:c r="J1094" s="1" t="n">
        <x:f>IF(AND(I1094=1,F1094&lt;Reporting!$B$4),1,0)</x:f>
        <x:v>0</x:v>
      </x:c>
      <x:c r="K1094" s="1" t="n">
        <x:f>IF(F1094&lt;Reporting!$B$4,1,0)</x:f>
        <x:v>1</x:v>
      </x:c>
      <x:c r="L1094" s="1" t="n">
        <x:f>IF(AND(K1094=1,G1094&lt;&gt;"",G1094&lt;=F1094),1,0)</x:f>
        <x:v>1</x:v>
      </x:c>
      <x:c r="M1094" s="1" t="n">
        <x:f>IF(AND(G1094&lt;&gt;"",G1094&lt;Reporting!$B$4),1,0)</x:f>
        <x:v>1</x:v>
      </x:c>
      <x:c r="N1094" s="16" t="n">
        <x:f>IF(M1094=1,G1094-E1094,"")</x:f>
        <x:v>7</x:v>
      </x:c>
      <x:c r="O1094" s="1" t="str">
        <x:f>IF(E1094&gt;=Reporting!$B$4,"Outside cutoff",IF(M1094=1,"Closed",IF(J1094=1,"Overdue","Open - within SLA")))</x:f>
        <x:v>Closed</x:v>
      </x:c>
    </x:row>
    <x:row r="1095">
      <x:c r="A1095" s="14" t="str">
        <x:v>CASE-01090</x:v>
      </x:c>
      <x:c r="B1095" s="14" t="str">
        <x:v>Installation</x:v>
      </x:c>
      <x:c r="C1095" s="14" t="str">
        <x:v>Missing evidence</x:v>
      </x:c>
      <x:c r="D1095" s="14" t="str">
        <x:v>Medium</x:v>
      </x:c>
      <x:c r="E1095" s="15" t="n">
        <x:v>46245.333333333336</x:v>
      </x:c>
      <x:c r="F1095" s="15" t="n">
        <x:v>46252.333333333336</x:v>
      </x:c>
      <x:c r="G1095" s="15" t="n">
        <x:v>46250.375</x:v>
      </x:c>
      <x:c r="H1095" s="14" t="n">
        <x:v>3</x:v>
      </x:c>
      <x:c r="I1095" s="1" t="n">
        <x:f>IF(AND(E1095&lt;Reporting!$B$4,OR(G1095="",G1095&gt;=Reporting!$B$4)),1,0)</x:f>
        <x:v>0</x:v>
      </x:c>
      <x:c r="J1095" s="1" t="n">
        <x:f>IF(AND(I1095=1,F1095&lt;Reporting!$B$4),1,0)</x:f>
        <x:v>0</x:v>
      </x:c>
      <x:c r="K1095" s="1" t="n">
        <x:f>IF(F1095&lt;Reporting!$B$4,1,0)</x:f>
        <x:v>1</x:v>
      </x:c>
      <x:c r="L1095" s="1" t="n">
        <x:f>IF(AND(K1095=1,G1095&lt;&gt;"",G1095&lt;=F1095),1,0)</x:f>
        <x:v>1</x:v>
      </x:c>
      <x:c r="M1095" s="1" t="n">
        <x:f>IF(AND(G1095&lt;&gt;"",G1095&lt;Reporting!$B$4),1,0)</x:f>
        <x:v>1</x:v>
      </x:c>
      <x:c r="N1095" s="16" t="n">
        <x:f>IF(M1095=1,G1095-E1095,"")</x:f>
        <x:v>5.041666666664241</x:v>
      </x:c>
      <x:c r="O1095" s="1" t="str">
        <x:f>IF(E1095&gt;=Reporting!$B$4,"Outside cutoff",IF(M1095=1,"Closed",IF(J1095=1,"Overdue","Open - within SLA")))</x:f>
        <x:v>Closed</x:v>
      </x:c>
    </x:row>
    <x:row r="1096">
      <x:c r="A1096" s="14" t="str">
        <x:v>CASE-01091</x:v>
      </x:c>
      <x:c r="B1096" s="14" t="str">
        <x:v>Warehouse</x:v>
      </x:c>
      <x:c r="C1096" s="14" t="str">
        <x:v>Missing evidence</x:v>
      </x:c>
      <x:c r="D1096" s="14" t="str">
        <x:v>High</x:v>
      </x:c>
      <x:c r="E1096" s="15" t="n">
        <x:v>46240.583333333336</x:v>
      </x:c>
      <x:c r="F1096" s="15" t="n">
        <x:v>46243.583333333336</x:v>
      </x:c>
      <x:c r="G1096" s="15" t="n">
        <x:v>46255.583333333336</x:v>
      </x:c>
      <x:c r="H1096" s="14" t="n">
        <x:v>2</x:v>
      </x:c>
      <x:c r="I1096" s="1" t="n">
        <x:f>IF(AND(E1096&lt;Reporting!$B$4,OR(G1096="",G1096&gt;=Reporting!$B$4)),1,0)</x:f>
        <x:v>0</x:v>
      </x:c>
      <x:c r="J1096" s="1" t="n">
        <x:f>IF(AND(I1096=1,F1096&lt;Reporting!$B$4),1,0)</x:f>
        <x:v>0</x:v>
      </x:c>
      <x:c r="K1096" s="1" t="n">
        <x:f>IF(F1096&lt;Reporting!$B$4,1,0)</x:f>
        <x:v>1</x:v>
      </x:c>
      <x:c r="L1096" s="1" t="n">
        <x:f>IF(AND(K1096=1,G1096&lt;&gt;"",G1096&lt;=F1096),1,0)</x:f>
        <x:v>0</x:v>
      </x:c>
      <x:c r="M1096" s="1" t="n">
        <x:f>IF(AND(G1096&lt;&gt;"",G1096&lt;Reporting!$B$4),1,0)</x:f>
        <x:v>1</x:v>
      </x:c>
      <x:c r="N1096" s="16" t="n">
        <x:f>IF(M1096=1,G1096-E1096,"")</x:f>
        <x:v>15</x:v>
      </x:c>
      <x:c r="O1096" s="1" t="str">
        <x:f>IF(E1096&gt;=Reporting!$B$4,"Outside cutoff",IF(M1096=1,"Closed",IF(J1096=1,"Overdue","Open - within SLA")))</x:f>
        <x:v>Closed</x:v>
      </x:c>
    </x:row>
    <x:row r="1097">
      <x:c r="A1097" s="14" t="str">
        <x:v>CASE-01092</x:v>
      </x:c>
      <x:c r="B1097" s="14" t="str">
        <x:v>Installation</x:v>
      </x:c>
      <x:c r="C1097" s="14" t="str">
        <x:v>Record mismatch</x:v>
      </x:c>
      <x:c r="D1097" s="14" t="str">
        <x:v>High</x:v>
      </x:c>
      <x:c r="E1097" s="15" t="n">
        <x:v>46220.583333333336</x:v>
      </x:c>
      <x:c r="F1097" s="15" t="n">
        <x:v>46223.583333333336</x:v>
      </x:c>
      <x:c r="G1097" s="15" t="n">
        <x:v>46231.625</x:v>
      </x:c>
      <x:c r="H1097" s="14" t="n">
        <x:v>3</x:v>
      </x:c>
      <x:c r="I1097" s="1" t="n">
        <x:f>IF(AND(E1097&lt;Reporting!$B$4,OR(G1097="",G1097&gt;=Reporting!$B$4)),1,0)</x:f>
        <x:v>0</x:v>
      </x:c>
      <x:c r="J1097" s="1" t="n">
        <x:f>IF(AND(I1097=1,F1097&lt;Reporting!$B$4),1,0)</x:f>
        <x:v>0</x:v>
      </x:c>
      <x:c r="K1097" s="1" t="n">
        <x:f>IF(F1097&lt;Reporting!$B$4,1,0)</x:f>
        <x:v>1</x:v>
      </x:c>
      <x:c r="L1097" s="1" t="n">
        <x:f>IF(AND(K1097=1,G1097&lt;&gt;"",G1097&lt;=F1097),1,0)</x:f>
        <x:v>0</x:v>
      </x:c>
      <x:c r="M1097" s="1" t="n">
        <x:f>IF(AND(G1097&lt;&gt;"",G1097&lt;Reporting!$B$4),1,0)</x:f>
        <x:v>1</x:v>
      </x:c>
      <x:c r="N1097" s="16" t="n">
        <x:f>IF(M1097=1,G1097-E1097,"")</x:f>
        <x:v>11.041666666664241</x:v>
      </x:c>
      <x:c r="O1097" s="1" t="str">
        <x:f>IF(E1097&gt;=Reporting!$B$4,"Outside cutoff",IF(M1097=1,"Closed",IF(J1097=1,"Overdue","Open - within SLA")))</x:f>
        <x:v>Closed</x:v>
      </x:c>
    </x:row>
    <x:row r="1098">
      <x:c r="A1098" s="14" t="str">
        <x:v>CASE-01093</x:v>
      </x:c>
      <x:c r="B1098" s="14" t="str">
        <x:v>Customer Services</x:v>
      </x:c>
      <x:c r="C1098" s="14" t="str">
        <x:v>Missing evidence</x:v>
      </x:c>
      <x:c r="D1098" s="14" t="str">
        <x:v>Low</x:v>
      </x:c>
      <x:c r="E1098" s="15" t="n">
        <x:v>46282.666666666664</x:v>
      </x:c>
      <x:c r="F1098" s="15" t="n">
        <x:v>46296.666666666664</x:v>
      </x:c>
      <x:c r="G1098" s="15"/>
      <x:c r="H1098" s="14" t="n">
        <x:v>1</x:v>
      </x:c>
      <x:c r="I1098" s="1" t="n">
        <x:f>IF(AND(E1098&lt;Reporting!$B$4,OR(G1098="",G1098&gt;=Reporting!$B$4)),1,0)</x:f>
        <x:v>1</x:v>
      </x:c>
      <x:c r="J1098" s="1" t="n">
        <x:f>IF(AND(I1098=1,F1098&lt;Reporting!$B$4),1,0)</x:f>
        <x:v>0</x:v>
      </x:c>
      <x:c r="K1098" s="1" t="n">
        <x:f>IF(F1098&lt;Reporting!$B$4,1,0)</x:f>
        <x:v>0</x:v>
      </x:c>
      <x:c r="L1098" s="1" t="n">
        <x:f>IF(AND(K1098=1,G1098&lt;&gt;"",G1098&lt;=F1098),1,0)</x:f>
        <x:v>0</x:v>
      </x:c>
      <x:c r="M1098" s="1" t="n">
        <x:f>IF(AND(G1098&lt;&gt;"",G1098&lt;Reporting!$B$4),1,0)</x:f>
        <x:v>0</x:v>
      </x:c>
      <x:c r="N1098" s="16" t="str">
        <x:f>IF(M1098=1,G1098-E1098,"")</x:f>
      </x:c>
      <x:c r="O1098" s="1" t="str">
        <x:f>IF(E1098&gt;=Reporting!$B$4,"Outside cutoff",IF(M1098=1,"Closed",IF(J1098=1,"Overdue","Open - within SLA")))</x:f>
        <x:v>Open - within SLA</x:v>
      </x:c>
    </x:row>
    <x:row r="1099">
      <x:c r="A1099" s="14" t="str">
        <x:v>CASE-01094</x:v>
      </x:c>
      <x:c r="B1099" s="14" t="str">
        <x:v>Installation</x:v>
      </x:c>
      <x:c r="C1099" s="14" t="str">
        <x:v>Process deviation</x:v>
      </x:c>
      <x:c r="D1099" s="14" t="str">
        <x:v>Medium</x:v>
      </x:c>
      <x:c r="E1099" s="15" t="n">
        <x:v>46221.333333333336</x:v>
      </x:c>
      <x:c r="F1099" s="15" t="n">
        <x:v>46228.333333333336</x:v>
      </x:c>
      <x:c r="G1099" s="15" t="n">
        <x:v>46226.416666666664</x:v>
      </x:c>
      <x:c r="H1099" s="14" t="n">
        <x:v>3</x:v>
      </x:c>
      <x:c r="I1099" s="1" t="n">
        <x:f>IF(AND(E1099&lt;Reporting!$B$4,OR(G1099="",G1099&gt;=Reporting!$B$4)),1,0)</x:f>
        <x:v>0</x:v>
      </x:c>
      <x:c r="J1099" s="1" t="n">
        <x:f>IF(AND(I1099=1,F1099&lt;Reporting!$B$4),1,0)</x:f>
        <x:v>0</x:v>
      </x:c>
      <x:c r="K1099" s="1" t="n">
        <x:f>IF(F1099&lt;Reporting!$B$4,1,0)</x:f>
        <x:v>1</x:v>
      </x:c>
      <x:c r="L1099" s="1" t="n">
        <x:f>IF(AND(K1099=1,G1099&lt;&gt;"",G1099&lt;=F1099),1,0)</x:f>
        <x:v>1</x:v>
      </x:c>
      <x:c r="M1099" s="1" t="n">
        <x:f>IF(AND(G1099&lt;&gt;"",G1099&lt;Reporting!$B$4),1,0)</x:f>
        <x:v>1</x:v>
      </x:c>
      <x:c r="N1099" s="16" t="n">
        <x:f>IF(M1099=1,G1099-E1099,"")</x:f>
        <x:v>5.083333333328483</x:v>
      </x:c>
      <x:c r="O1099" s="1" t="str">
        <x:f>IF(E1099&gt;=Reporting!$B$4,"Outside cutoff",IF(M1099=1,"Closed",IF(J1099=1,"Overdue","Open - within SLA")))</x:f>
        <x:v>Closed</x:v>
      </x:c>
    </x:row>
    <x:row r="1100">
      <x:c r="A1100" s="14" t="str">
        <x:v>CASE-01095</x:v>
      </x:c>
      <x:c r="B1100" s="14" t="str">
        <x:v>Customer Services</x:v>
      </x:c>
      <x:c r="C1100" s="14" t="str">
        <x:v>Late review</x:v>
      </x:c>
      <x:c r="D1100" s="14" t="str">
        <x:v>Low</x:v>
      </x:c>
      <x:c r="E1100" s="15" t="n">
        <x:v>46207.5</x:v>
      </x:c>
      <x:c r="F1100" s="15" t="n">
        <x:v>46221.5</x:v>
      </x:c>
      <x:c r="G1100" s="15" t="n">
        <x:v>46212.541666666664</x:v>
      </x:c>
      <x:c r="H1100" s="14" t="n">
        <x:v>1</x:v>
      </x:c>
      <x:c r="I1100" s="1" t="n">
        <x:f>IF(AND(E1100&lt;Reporting!$B$4,OR(G1100="",G1100&gt;=Reporting!$B$4)),1,0)</x:f>
        <x:v>0</x:v>
      </x:c>
      <x:c r="J1100" s="1" t="n">
        <x:f>IF(AND(I1100=1,F1100&lt;Reporting!$B$4),1,0)</x:f>
        <x:v>0</x:v>
      </x:c>
      <x:c r="K1100" s="1" t="n">
        <x:f>IF(F1100&lt;Reporting!$B$4,1,0)</x:f>
        <x:v>1</x:v>
      </x:c>
      <x:c r="L1100" s="1" t="n">
        <x:f>IF(AND(K1100=1,G1100&lt;&gt;"",G1100&lt;=F1100),1,0)</x:f>
        <x:v>1</x:v>
      </x:c>
      <x:c r="M1100" s="1" t="n">
        <x:f>IF(AND(G1100&lt;&gt;"",G1100&lt;Reporting!$B$4),1,0)</x:f>
        <x:v>1</x:v>
      </x:c>
      <x:c r="N1100" s="16" t="n">
        <x:f>IF(M1100=1,G1100-E1100,"")</x:f>
        <x:v>5.041666666664241</x:v>
      </x:c>
      <x:c r="O1100" s="1" t="str">
        <x:f>IF(E1100&gt;=Reporting!$B$4,"Outside cutoff",IF(M1100=1,"Closed",IF(J1100=1,"Overdue","Open - within SLA")))</x:f>
        <x:v>Closed</x:v>
      </x:c>
    </x:row>
    <x:row r="1101">
      <x:c r="A1101" s="14" t="str">
        <x:v>CASE-01096</x:v>
      </x:c>
      <x:c r="B1101" s="14" t="str">
        <x:v>Installation</x:v>
      </x:c>
      <x:c r="C1101" s="14" t="str">
        <x:v>Late review</x:v>
      </x:c>
      <x:c r="D1101" s="14" t="str">
        <x:v>Medium</x:v>
      </x:c>
      <x:c r="E1101" s="15" t="n">
        <x:v>46240.375</x:v>
      </x:c>
      <x:c r="F1101" s="15" t="n">
        <x:v>46247.375</x:v>
      </x:c>
      <x:c r="G1101" s="15" t="n">
        <x:v>46252.416666666664</x:v>
      </x:c>
      <x:c r="H1101" s="14" t="n">
        <x:v>3</x:v>
      </x:c>
      <x:c r="I1101" s="1" t="n">
        <x:f>IF(AND(E1101&lt;Reporting!$B$4,OR(G1101="",G1101&gt;=Reporting!$B$4)),1,0)</x:f>
        <x:v>0</x:v>
      </x:c>
      <x:c r="J1101" s="1" t="n">
        <x:f>IF(AND(I1101=1,F1101&lt;Reporting!$B$4),1,0)</x:f>
        <x:v>0</x:v>
      </x:c>
      <x:c r="K1101" s="1" t="n">
        <x:f>IF(F1101&lt;Reporting!$B$4,1,0)</x:f>
        <x:v>1</x:v>
      </x:c>
      <x:c r="L1101" s="1" t="n">
        <x:f>IF(AND(K1101=1,G1101&lt;&gt;"",G1101&lt;=F1101),1,0)</x:f>
        <x:v>0</x:v>
      </x:c>
      <x:c r="M1101" s="1" t="n">
        <x:f>IF(AND(G1101&lt;&gt;"",G1101&lt;Reporting!$B$4),1,0)</x:f>
        <x:v>1</x:v>
      </x:c>
      <x:c r="N1101" s="16" t="n">
        <x:f>IF(M1101=1,G1101-E1101,"")</x:f>
        <x:v>12.041666666664241</x:v>
      </x:c>
      <x:c r="O1101" s="1" t="str">
        <x:f>IF(E1101&gt;=Reporting!$B$4,"Outside cutoff",IF(M1101=1,"Closed",IF(J1101=1,"Overdue","Open - within SLA")))</x:f>
        <x:v>Closed</x:v>
      </x:c>
    </x:row>
    <x:row r="1102">
      <x:c r="A1102" s="14" t="str">
        <x:v>CASE-01097</x:v>
      </x:c>
      <x:c r="B1102" s="14" t="str">
        <x:v>Customer Services</x:v>
      </x:c>
      <x:c r="C1102" s="14" t="str">
        <x:v>Missing evidence</x:v>
      </x:c>
      <x:c r="D1102" s="14" t="str">
        <x:v>Medium</x:v>
      </x:c>
      <x:c r="E1102" s="15" t="n">
        <x:v>46219.458333333336</x:v>
      </x:c>
      <x:c r="F1102" s="15" t="n">
        <x:v>46226.458333333336</x:v>
      </x:c>
      <x:c r="G1102" s="15" t="n">
        <x:v>46220.458333333336</x:v>
      </x:c>
      <x:c r="H1102" s="14" t="n">
        <x:v>1</x:v>
      </x:c>
      <x:c r="I1102" s="1" t="n">
        <x:f>IF(AND(E1102&lt;Reporting!$B$4,OR(G1102="",G1102&gt;=Reporting!$B$4)),1,0)</x:f>
        <x:v>0</x:v>
      </x:c>
      <x:c r="J1102" s="1" t="n">
        <x:f>IF(AND(I1102=1,F1102&lt;Reporting!$B$4),1,0)</x:f>
        <x:v>0</x:v>
      </x:c>
      <x:c r="K1102" s="1" t="n">
        <x:f>IF(F1102&lt;Reporting!$B$4,1,0)</x:f>
        <x:v>1</x:v>
      </x:c>
      <x:c r="L1102" s="1" t="n">
        <x:f>IF(AND(K1102=1,G1102&lt;&gt;"",G1102&lt;=F1102),1,0)</x:f>
        <x:v>1</x:v>
      </x:c>
      <x:c r="M1102" s="1" t="n">
        <x:f>IF(AND(G1102&lt;&gt;"",G1102&lt;Reporting!$B$4),1,0)</x:f>
        <x:v>1</x:v>
      </x:c>
      <x:c r="N1102" s="16" t="n">
        <x:f>IF(M1102=1,G1102-E1102,"")</x:f>
        <x:v>1</x:v>
      </x:c>
      <x:c r="O1102" s="1" t="str">
        <x:f>IF(E1102&gt;=Reporting!$B$4,"Outside cutoff",IF(M1102=1,"Closed",IF(J1102=1,"Overdue","Open - within SLA")))</x:f>
        <x:v>Closed</x:v>
      </x:c>
    </x:row>
    <x:row r="1103">
      <x:c r="A1103" s="14" t="str">
        <x:v>CASE-01098</x:v>
      </x:c>
      <x:c r="B1103" s="14" t="str">
        <x:v>Customer Services</x:v>
      </x:c>
      <x:c r="C1103" s="14" t="str">
        <x:v>Record mismatch</x:v>
      </x:c>
      <x:c r="D1103" s="14" t="str">
        <x:v>Medium</x:v>
      </x:c>
      <x:c r="E1103" s="15" t="n">
        <x:v>46280.583333333336</x:v>
      </x:c>
      <x:c r="F1103" s="15" t="n">
        <x:v>46287.583333333336</x:v>
      </x:c>
      <x:c r="G1103" s="15"/>
      <x:c r="H1103" s="14" t="n">
        <x:v>1</x:v>
      </x:c>
      <x:c r="I1103" s="1" t="n">
        <x:f>IF(AND(E1103&lt;Reporting!$B$4,OR(G1103="",G1103&gt;=Reporting!$B$4)),1,0)</x:f>
        <x:v>1</x:v>
      </x:c>
      <x:c r="J1103" s="1" t="n">
        <x:f>IF(AND(I1103=1,F1103&lt;Reporting!$B$4),1,0)</x:f>
        <x:v>0</x:v>
      </x:c>
      <x:c r="K1103" s="1" t="n">
        <x:f>IF(F1103&lt;Reporting!$B$4,1,0)</x:f>
        <x:v>0</x:v>
      </x:c>
      <x:c r="L1103" s="1" t="n">
        <x:f>IF(AND(K1103=1,G1103&lt;&gt;"",G1103&lt;=F1103),1,0)</x:f>
        <x:v>0</x:v>
      </x:c>
      <x:c r="M1103" s="1" t="n">
        <x:f>IF(AND(G1103&lt;&gt;"",G1103&lt;Reporting!$B$4),1,0)</x:f>
        <x:v>0</x:v>
      </x:c>
      <x:c r="N1103" s="16" t="str">
        <x:f>IF(M1103=1,G1103-E1103,"")</x:f>
      </x:c>
      <x:c r="O1103" s="1" t="str">
        <x:f>IF(E1103&gt;=Reporting!$B$4,"Outside cutoff",IF(M1103=1,"Closed",IF(J1103=1,"Overdue","Open - within SLA")))</x:f>
        <x:v>Open - within SLA</x:v>
      </x:c>
    </x:row>
    <x:row r="1104">
      <x:c r="A1104" s="14" t="str">
        <x:v>CASE-01099</x:v>
      </x:c>
      <x:c r="B1104" s="14" t="str">
        <x:v>Customer Services</x:v>
      </x:c>
      <x:c r="C1104" s="14" t="str">
        <x:v>Process deviation</x:v>
      </x:c>
      <x:c r="D1104" s="14" t="str">
        <x:v>Low</x:v>
      </x:c>
      <x:c r="E1104" s="15" t="n">
        <x:v>46229.625</x:v>
      </x:c>
      <x:c r="F1104" s="15" t="n">
        <x:v>46243.625</x:v>
      </x:c>
      <x:c r="G1104" s="15" t="n">
        <x:v>46241.708333333336</x:v>
      </x:c>
      <x:c r="H1104" s="14" t="n">
        <x:v>1</x:v>
      </x:c>
      <x:c r="I1104" s="1" t="n">
        <x:f>IF(AND(E1104&lt;Reporting!$B$4,OR(G1104="",G1104&gt;=Reporting!$B$4)),1,0)</x:f>
        <x:v>0</x:v>
      </x:c>
      <x:c r="J1104" s="1" t="n">
        <x:f>IF(AND(I1104=1,F1104&lt;Reporting!$B$4),1,0)</x:f>
        <x:v>0</x:v>
      </x:c>
      <x:c r="K1104" s="1" t="n">
        <x:f>IF(F1104&lt;Reporting!$B$4,1,0)</x:f>
        <x:v>1</x:v>
      </x:c>
      <x:c r="L1104" s="1" t="n">
        <x:f>IF(AND(K1104=1,G1104&lt;&gt;"",G1104&lt;=F1104),1,0)</x:f>
        <x:v>1</x:v>
      </x:c>
      <x:c r="M1104" s="1" t="n">
        <x:f>IF(AND(G1104&lt;&gt;"",G1104&lt;Reporting!$B$4),1,0)</x:f>
        <x:v>1</x:v>
      </x:c>
      <x:c r="N1104" s="16" t="n">
        <x:f>IF(M1104=1,G1104-E1104,"")</x:f>
        <x:v>12.083333333335759</x:v>
      </x:c>
      <x:c r="O1104" s="1" t="str">
        <x:f>IF(E1104&gt;=Reporting!$B$4,"Outside cutoff",IF(M1104=1,"Closed",IF(J1104=1,"Overdue","Open - within SLA")))</x:f>
        <x:v>Closed</x:v>
      </x:c>
    </x:row>
    <x:row r="1105">
      <x:c r="A1105" s="14" t="str">
        <x:v>CASE-01100</x:v>
      </x:c>
      <x:c r="B1105" s="14" t="str">
        <x:v>Warehouse</x:v>
      </x:c>
      <x:c r="C1105" s="14" t="str">
        <x:v>Late review</x:v>
      </x:c>
      <x:c r="D1105" s="14" t="str">
        <x:v>Low</x:v>
      </x:c>
      <x:c r="E1105" s="15" t="n">
        <x:v>46256.666666666664</x:v>
      </x:c>
      <x:c r="F1105" s="15" t="n">
        <x:v>46270.666666666664</x:v>
      </x:c>
      <x:c r="G1105" s="15" t="n">
        <x:v>46271.666666666664</x:v>
      </x:c>
      <x:c r="H1105" s="14" t="n">
        <x:v>2</x:v>
      </x:c>
      <x:c r="I1105" s="1" t="n">
        <x:f>IF(AND(E1105&lt;Reporting!$B$4,OR(G1105="",G1105&gt;=Reporting!$B$4)),1,0)</x:f>
        <x:v>0</x:v>
      </x:c>
      <x:c r="J1105" s="1" t="n">
        <x:f>IF(AND(I1105=1,F1105&lt;Reporting!$B$4),1,0)</x:f>
        <x:v>0</x:v>
      </x:c>
      <x:c r="K1105" s="1" t="n">
        <x:f>IF(F1105&lt;Reporting!$B$4,1,0)</x:f>
        <x:v>1</x:v>
      </x:c>
      <x:c r="L1105" s="1" t="n">
        <x:f>IF(AND(K1105=1,G1105&lt;&gt;"",G1105&lt;=F1105),1,0)</x:f>
        <x:v>0</x:v>
      </x:c>
      <x:c r="M1105" s="1" t="n">
        <x:f>IF(AND(G1105&lt;&gt;"",G1105&lt;Reporting!$B$4),1,0)</x:f>
        <x:v>1</x:v>
      </x:c>
      <x:c r="N1105" s="16" t="n">
        <x:f>IF(M1105=1,G1105-E1105,"")</x:f>
        <x:v>15</x:v>
      </x:c>
      <x:c r="O1105" s="1" t="str">
        <x:f>IF(E1105&gt;=Reporting!$B$4,"Outside cutoff",IF(M1105=1,"Closed",IF(J1105=1,"Overdue","Open - within SLA")))</x:f>
        <x:v>Closed</x:v>
      </x:c>
    </x:row>
    <x:row r="1106">
      <x:c r="A1106" s="14" t="str">
        <x:v>CASE-01101</x:v>
      </x:c>
      <x:c r="B1106" s="14" t="str">
        <x:v>Customer Services</x:v>
      </x:c>
      <x:c r="C1106" s="14" t="str">
        <x:v>Record mismatch</x:v>
      </x:c>
      <x:c r="D1106" s="14" t="str">
        <x:v>High</x:v>
      </x:c>
      <x:c r="E1106" s="15" t="n">
        <x:v>46267.458333333336</x:v>
      </x:c>
      <x:c r="F1106" s="15" t="n">
        <x:v>46270.458333333336</x:v>
      </x:c>
      <x:c r="G1106" s="15" t="n">
        <x:v>46270.541666666664</x:v>
      </x:c>
      <x:c r="H1106" s="14" t="n">
        <x:v>1</x:v>
      </x:c>
      <x:c r="I1106" s="1" t="n">
        <x:f>IF(AND(E1106&lt;Reporting!$B$4,OR(G1106="",G1106&gt;=Reporting!$B$4)),1,0)</x:f>
        <x:v>0</x:v>
      </x:c>
      <x:c r="J1106" s="1" t="n">
        <x:f>IF(AND(I1106=1,F1106&lt;Reporting!$B$4),1,0)</x:f>
        <x:v>0</x:v>
      </x:c>
      <x:c r="K1106" s="1" t="n">
        <x:f>IF(F1106&lt;Reporting!$B$4,1,0)</x:f>
        <x:v>1</x:v>
      </x:c>
      <x:c r="L1106" s="1" t="n">
        <x:f>IF(AND(K1106=1,G1106&lt;&gt;"",G1106&lt;=F1106),1,0)</x:f>
        <x:v>0</x:v>
      </x:c>
      <x:c r="M1106" s="1" t="n">
        <x:f>IF(AND(G1106&lt;&gt;"",G1106&lt;Reporting!$B$4),1,0)</x:f>
        <x:v>1</x:v>
      </x:c>
      <x:c r="N1106" s="16" t="n">
        <x:f>IF(M1106=1,G1106-E1106,"")</x:f>
        <x:v>3.0833333333284827</x:v>
      </x:c>
      <x:c r="O1106" s="1" t="str">
        <x:f>IF(E1106&gt;=Reporting!$B$4,"Outside cutoff",IF(M1106=1,"Closed",IF(J1106=1,"Overdue","Open - within SLA")))</x:f>
        <x:v>Closed</x:v>
      </x:c>
    </x:row>
    <x:row r="1107">
      <x:c r="A1107" s="14" t="str">
        <x:v>CASE-01102</x:v>
      </x:c>
      <x:c r="B1107" s="14" t="str">
        <x:v>Customer Services</x:v>
      </x:c>
      <x:c r="C1107" s="14" t="str">
        <x:v>Process deviation</x:v>
      </x:c>
      <x:c r="D1107" s="14" t="str">
        <x:v>Low</x:v>
      </x:c>
      <x:c r="E1107" s="15" t="n">
        <x:v>46207.333333333336</x:v>
      </x:c>
      <x:c r="F1107" s="15" t="n">
        <x:v>46221.333333333336</x:v>
      </x:c>
      <x:c r="G1107" s="15" t="n">
        <x:v>46213.333333333336</x:v>
      </x:c>
      <x:c r="H1107" s="14" t="n">
        <x:v>1</x:v>
      </x:c>
      <x:c r="I1107" s="1" t="n">
        <x:f>IF(AND(E1107&lt;Reporting!$B$4,OR(G1107="",G1107&gt;=Reporting!$B$4)),1,0)</x:f>
        <x:v>0</x:v>
      </x:c>
      <x:c r="J1107" s="1" t="n">
        <x:f>IF(AND(I1107=1,F1107&lt;Reporting!$B$4),1,0)</x:f>
        <x:v>0</x:v>
      </x:c>
      <x:c r="K1107" s="1" t="n">
        <x:f>IF(F1107&lt;Reporting!$B$4,1,0)</x:f>
        <x:v>1</x:v>
      </x:c>
      <x:c r="L1107" s="1" t="n">
        <x:f>IF(AND(K1107=1,G1107&lt;&gt;"",G1107&lt;=F1107),1,0)</x:f>
        <x:v>1</x:v>
      </x:c>
      <x:c r="M1107" s="1" t="n">
        <x:f>IF(AND(G1107&lt;&gt;"",G1107&lt;Reporting!$B$4),1,0)</x:f>
        <x:v>1</x:v>
      </x:c>
      <x:c r="N1107" s="16" t="n">
        <x:f>IF(M1107=1,G1107-E1107,"")</x:f>
        <x:v>6</x:v>
      </x:c>
      <x:c r="O1107" s="1" t="str">
        <x:f>IF(E1107&gt;=Reporting!$B$4,"Outside cutoff",IF(M1107=1,"Closed",IF(J1107=1,"Overdue","Open - within SLA")))</x:f>
        <x:v>Closed</x:v>
      </x:c>
    </x:row>
    <x:row r="1108">
      <x:c r="A1108" s="14" t="str">
        <x:v>CASE-01103</x:v>
      </x:c>
      <x:c r="B1108" s="14" t="str">
        <x:v>Installation</x:v>
      </x:c>
      <x:c r="C1108" s="14" t="str">
        <x:v>Missing evidence</x:v>
      </x:c>
      <x:c r="D1108" s="14" t="str">
        <x:v>Low</x:v>
      </x:c>
      <x:c r="E1108" s="15" t="n">
        <x:v>46257.666666666664</x:v>
      </x:c>
      <x:c r="F1108" s="15" t="n">
        <x:v>46271.666666666664</x:v>
      </x:c>
      <x:c r="G1108" s="15" t="n">
        <x:v>46260.75</x:v>
      </x:c>
      <x:c r="H1108" s="14" t="n">
        <x:v>3</x:v>
      </x:c>
      <x:c r="I1108" s="1" t="n">
        <x:f>IF(AND(E1108&lt;Reporting!$B$4,OR(G1108="",G1108&gt;=Reporting!$B$4)),1,0)</x:f>
        <x:v>0</x:v>
      </x:c>
      <x:c r="J1108" s="1" t="n">
        <x:f>IF(AND(I1108=1,F1108&lt;Reporting!$B$4),1,0)</x:f>
        <x:v>0</x:v>
      </x:c>
      <x:c r="K1108" s="1" t="n">
        <x:f>IF(F1108&lt;Reporting!$B$4,1,0)</x:f>
        <x:v>1</x:v>
      </x:c>
      <x:c r="L1108" s="1" t="n">
        <x:f>IF(AND(K1108=1,G1108&lt;&gt;"",G1108&lt;=F1108),1,0)</x:f>
        <x:v>1</x:v>
      </x:c>
      <x:c r="M1108" s="1" t="n">
        <x:f>IF(AND(G1108&lt;&gt;"",G1108&lt;Reporting!$B$4),1,0)</x:f>
        <x:v>1</x:v>
      </x:c>
      <x:c r="N1108" s="16" t="n">
        <x:f>IF(M1108=1,G1108-E1108,"")</x:f>
        <x:v>3.0833333333357587</x:v>
      </x:c>
      <x:c r="O1108" s="1" t="str">
        <x:f>IF(E1108&gt;=Reporting!$B$4,"Outside cutoff",IF(M1108=1,"Closed",IF(J1108=1,"Overdue","Open - within SLA")))</x:f>
        <x:v>Closed</x:v>
      </x:c>
    </x:row>
    <x:row r="1109">
      <x:c r="A1109" s="14" t="str">
        <x:v>CASE-01104</x:v>
      </x:c>
      <x:c r="B1109" s="14" t="str">
        <x:v>Installation</x:v>
      </x:c>
      <x:c r="C1109" s="14" t="str">
        <x:v>Missing evidence</x:v>
      </x:c>
      <x:c r="D1109" s="14" t="str">
        <x:v>Medium</x:v>
      </x:c>
      <x:c r="E1109" s="15" t="n">
        <x:v>46231.333333333336</x:v>
      </x:c>
      <x:c r="F1109" s="15" t="n">
        <x:v>46238.333333333336</x:v>
      </x:c>
      <x:c r="G1109" s="15" t="n">
        <x:v>46233.375</x:v>
      </x:c>
      <x:c r="H1109" s="14" t="n">
        <x:v>3</x:v>
      </x:c>
      <x:c r="I1109" s="1" t="n">
        <x:f>IF(AND(E1109&lt;Reporting!$B$4,OR(G1109="",G1109&gt;=Reporting!$B$4)),1,0)</x:f>
        <x:v>0</x:v>
      </x:c>
      <x:c r="J1109" s="1" t="n">
        <x:f>IF(AND(I1109=1,F1109&lt;Reporting!$B$4),1,0)</x:f>
        <x:v>0</x:v>
      </x:c>
      <x:c r="K1109" s="1" t="n">
        <x:f>IF(F1109&lt;Reporting!$B$4,1,0)</x:f>
        <x:v>1</x:v>
      </x:c>
      <x:c r="L1109" s="1" t="n">
        <x:f>IF(AND(K1109=1,G1109&lt;&gt;"",G1109&lt;=F1109),1,0)</x:f>
        <x:v>1</x:v>
      </x:c>
      <x:c r="M1109" s="1" t="n">
        <x:f>IF(AND(G1109&lt;&gt;"",G1109&lt;Reporting!$B$4),1,0)</x:f>
        <x:v>1</x:v>
      </x:c>
      <x:c r="N1109" s="16" t="n">
        <x:f>IF(M1109=1,G1109-E1109,"")</x:f>
        <x:v>2.0416666666642413</x:v>
      </x:c>
      <x:c r="O1109" s="1" t="str">
        <x:f>IF(E1109&gt;=Reporting!$B$4,"Outside cutoff",IF(M1109=1,"Closed",IF(J1109=1,"Overdue","Open - within SLA")))</x:f>
        <x:v>Closed</x:v>
      </x:c>
    </x:row>
    <x:row r="1110">
      <x:c r="A1110" s="14" t="str">
        <x:v>CASE-01105</x:v>
      </x:c>
      <x:c r="B1110" s="14" t="str">
        <x:v>Customer Services</x:v>
      </x:c>
      <x:c r="C1110" s="14" t="str">
        <x:v>Missing evidence</x:v>
      </x:c>
      <x:c r="D1110" s="14" t="str">
        <x:v>Medium</x:v>
      </x:c>
      <x:c r="E1110" s="15" t="n">
        <x:v>46260.416666666664</x:v>
      </x:c>
      <x:c r="F1110" s="15" t="n">
        <x:v>46267.416666666664</x:v>
      </x:c>
      <x:c r="G1110" s="15" t="n">
        <x:v>46274.5</x:v>
      </x:c>
      <x:c r="H1110" s="14" t="n">
        <x:v>1</x:v>
      </x:c>
      <x:c r="I1110" s="1" t="n">
        <x:f>IF(AND(E1110&lt;Reporting!$B$4,OR(G1110="",G1110&gt;=Reporting!$B$4)),1,0)</x:f>
        <x:v>0</x:v>
      </x:c>
      <x:c r="J1110" s="1" t="n">
        <x:f>IF(AND(I1110=1,F1110&lt;Reporting!$B$4),1,0)</x:f>
        <x:v>0</x:v>
      </x:c>
      <x:c r="K1110" s="1" t="n">
        <x:f>IF(F1110&lt;Reporting!$B$4,1,0)</x:f>
        <x:v>1</x:v>
      </x:c>
      <x:c r="L1110" s="1" t="n">
        <x:f>IF(AND(K1110=1,G1110&lt;&gt;"",G1110&lt;=F1110),1,0)</x:f>
        <x:v>0</x:v>
      </x:c>
      <x:c r="M1110" s="1" t="n">
        <x:f>IF(AND(G1110&lt;&gt;"",G1110&lt;Reporting!$B$4),1,0)</x:f>
        <x:v>1</x:v>
      </x:c>
      <x:c r="N1110" s="16" t="n">
        <x:f>IF(M1110=1,G1110-E1110,"")</x:f>
        <x:v>14.083333333335759</x:v>
      </x:c>
      <x:c r="O1110" s="1" t="str">
        <x:f>IF(E1110&gt;=Reporting!$B$4,"Outside cutoff",IF(M1110=1,"Closed",IF(J1110=1,"Overdue","Open - within SLA")))</x:f>
        <x:v>Closed</x:v>
      </x:c>
    </x:row>
    <x:row r="1111">
      <x:c r="A1111" s="14" t="str">
        <x:v>CASE-01106</x:v>
      </x:c>
      <x:c r="B1111" s="14" t="str">
        <x:v>Installation</x:v>
      </x:c>
      <x:c r="C1111" s="14" t="str">
        <x:v>Missing evidence</x:v>
      </x:c>
      <x:c r="D1111" s="14" t="str">
        <x:v>Medium</x:v>
      </x:c>
      <x:c r="E1111" s="15" t="n">
        <x:v>46244.5</x:v>
      </x:c>
      <x:c r="F1111" s="15" t="n">
        <x:v>46251.5</x:v>
      </x:c>
      <x:c r="G1111" s="15"/>
      <x:c r="H1111" s="14" t="n">
        <x:v>3</x:v>
      </x:c>
      <x:c r="I1111" s="1" t="n">
        <x:f>IF(AND(E1111&lt;Reporting!$B$4,OR(G1111="",G1111&gt;=Reporting!$B$4)),1,0)</x:f>
        <x:v>1</x:v>
      </x:c>
      <x:c r="J1111" s="1" t="n">
        <x:f>IF(AND(I1111=1,F1111&lt;Reporting!$B$4),1,0)</x:f>
        <x:v>1</x:v>
      </x:c>
      <x:c r="K1111" s="1" t="n">
        <x:f>IF(F1111&lt;Reporting!$B$4,1,0)</x:f>
        <x:v>1</x:v>
      </x:c>
      <x:c r="L1111" s="1" t="n">
        <x:f>IF(AND(K1111=1,G1111&lt;&gt;"",G1111&lt;=F1111),1,0)</x:f>
        <x:v>0</x:v>
      </x:c>
      <x:c r="M1111" s="1" t="n">
        <x:f>IF(AND(G1111&lt;&gt;"",G1111&lt;Reporting!$B$4),1,0)</x:f>
        <x:v>0</x:v>
      </x:c>
      <x:c r="N1111" s="16" t="str">
        <x:f>IF(M1111=1,G1111-E1111,"")</x:f>
      </x:c>
      <x:c r="O1111" s="1" t="str">
        <x:f>IF(E1111&gt;=Reporting!$B$4,"Outside cutoff",IF(M1111=1,"Closed",IF(J1111=1,"Overdue","Open - within SLA")))</x:f>
        <x:v>Overdue</x:v>
      </x:c>
    </x:row>
    <x:row r="1112">
      <x:c r="A1112" s="14" t="str">
        <x:v>CASE-01107</x:v>
      </x:c>
      <x:c r="B1112" s="14" t="str">
        <x:v>Installation</x:v>
      </x:c>
      <x:c r="C1112" s="14" t="str">
        <x:v>Missing evidence</x:v>
      </x:c>
      <x:c r="D1112" s="14" t="str">
        <x:v>Medium</x:v>
      </x:c>
      <x:c r="E1112" s="15" t="n">
        <x:v>46232.583333333336</x:v>
      </x:c>
      <x:c r="F1112" s="15" t="n">
        <x:v>46239.583333333336</x:v>
      </x:c>
      <x:c r="G1112" s="15" t="n">
        <x:v>46238.666666666664</x:v>
      </x:c>
      <x:c r="H1112" s="14" t="n">
        <x:v>3</x:v>
      </x:c>
      <x:c r="I1112" s="1" t="n">
        <x:f>IF(AND(E1112&lt;Reporting!$B$4,OR(G1112="",G1112&gt;=Reporting!$B$4)),1,0)</x:f>
        <x:v>0</x:v>
      </x:c>
      <x:c r="J1112" s="1" t="n">
        <x:f>IF(AND(I1112=1,F1112&lt;Reporting!$B$4),1,0)</x:f>
        <x:v>0</x:v>
      </x:c>
      <x:c r="K1112" s="1" t="n">
        <x:f>IF(F1112&lt;Reporting!$B$4,1,0)</x:f>
        <x:v>1</x:v>
      </x:c>
      <x:c r="L1112" s="1" t="n">
        <x:f>IF(AND(K1112=1,G1112&lt;&gt;"",G1112&lt;=F1112),1,0)</x:f>
        <x:v>1</x:v>
      </x:c>
      <x:c r="M1112" s="1" t="n">
        <x:f>IF(AND(G1112&lt;&gt;"",G1112&lt;Reporting!$B$4),1,0)</x:f>
        <x:v>1</x:v>
      </x:c>
      <x:c r="N1112" s="16" t="n">
        <x:f>IF(M1112=1,G1112-E1112,"")</x:f>
        <x:v>6.083333333328483</x:v>
      </x:c>
      <x:c r="O1112" s="1" t="str">
        <x:f>IF(E1112&gt;=Reporting!$B$4,"Outside cutoff",IF(M1112=1,"Closed",IF(J1112=1,"Overdue","Open - within SLA")))</x:f>
        <x:v>Closed</x:v>
      </x:c>
    </x:row>
    <x:row r="1113">
      <x:c r="A1113" s="14" t="str">
        <x:v>CASE-01108</x:v>
      </x:c>
      <x:c r="B1113" s="14" t="str">
        <x:v>Installation</x:v>
      </x:c>
      <x:c r="C1113" s="14" t="str">
        <x:v>Record mismatch</x:v>
      </x:c>
      <x:c r="D1113" s="14" t="str">
        <x:v>Low</x:v>
      </x:c>
      <x:c r="E1113" s="15" t="n">
        <x:v>46242.333333333336</x:v>
      </x:c>
      <x:c r="F1113" s="15" t="n">
        <x:v>46256.333333333336</x:v>
      </x:c>
      <x:c r="G1113" s="15" t="n">
        <x:v>46246.375</x:v>
      </x:c>
      <x:c r="H1113" s="14" t="n">
        <x:v>3</x:v>
      </x:c>
      <x:c r="I1113" s="1" t="n">
        <x:f>IF(AND(E1113&lt;Reporting!$B$4,OR(G1113="",G1113&gt;=Reporting!$B$4)),1,0)</x:f>
        <x:v>0</x:v>
      </x:c>
      <x:c r="J1113" s="1" t="n">
        <x:f>IF(AND(I1113=1,F1113&lt;Reporting!$B$4),1,0)</x:f>
        <x:v>0</x:v>
      </x:c>
      <x:c r="K1113" s="1" t="n">
        <x:f>IF(F1113&lt;Reporting!$B$4,1,0)</x:f>
        <x:v>1</x:v>
      </x:c>
      <x:c r="L1113" s="1" t="n">
        <x:f>IF(AND(K1113=1,G1113&lt;&gt;"",G1113&lt;=F1113),1,0)</x:f>
        <x:v>1</x:v>
      </x:c>
      <x:c r="M1113" s="1" t="n">
        <x:f>IF(AND(G1113&lt;&gt;"",G1113&lt;Reporting!$B$4),1,0)</x:f>
        <x:v>1</x:v>
      </x:c>
      <x:c r="N1113" s="16" t="n">
        <x:f>IF(M1113=1,G1113-E1113,"")</x:f>
        <x:v>4.041666666664241</x:v>
      </x:c>
      <x:c r="O1113" s="1" t="str">
        <x:f>IF(E1113&gt;=Reporting!$B$4,"Outside cutoff",IF(M1113=1,"Closed",IF(J1113=1,"Overdue","Open - within SLA")))</x:f>
        <x:v>Closed</x:v>
      </x:c>
    </x:row>
    <x:row r="1114">
      <x:c r="A1114" s="14" t="str">
        <x:v>CASE-01109</x:v>
      </x:c>
      <x:c r="B1114" s="14" t="str">
        <x:v>Installation</x:v>
      </x:c>
      <x:c r="C1114" s="14" t="str">
        <x:v>Process deviation</x:v>
      </x:c>
      <x:c r="D1114" s="14" t="str">
        <x:v>Medium</x:v>
      </x:c>
      <x:c r="E1114" s="15" t="n">
        <x:v>46231.375</x:v>
      </x:c>
      <x:c r="F1114" s="15" t="n">
        <x:v>46238.375</x:v>
      </x:c>
      <x:c r="G1114" s="15" t="n">
        <x:v>46244.375</x:v>
      </x:c>
      <x:c r="H1114" s="14" t="n">
        <x:v>3</x:v>
      </x:c>
      <x:c r="I1114" s="1" t="n">
        <x:f>IF(AND(E1114&lt;Reporting!$B$4,OR(G1114="",G1114&gt;=Reporting!$B$4)),1,0)</x:f>
        <x:v>0</x:v>
      </x:c>
      <x:c r="J1114" s="1" t="n">
        <x:f>IF(AND(I1114=1,F1114&lt;Reporting!$B$4),1,0)</x:f>
        <x:v>0</x:v>
      </x:c>
      <x:c r="K1114" s="1" t="n">
        <x:f>IF(F1114&lt;Reporting!$B$4,1,0)</x:f>
        <x:v>1</x:v>
      </x:c>
      <x:c r="L1114" s="1" t="n">
        <x:f>IF(AND(K1114=1,G1114&lt;&gt;"",G1114&lt;=F1114),1,0)</x:f>
        <x:v>0</x:v>
      </x:c>
      <x:c r="M1114" s="1" t="n">
        <x:f>IF(AND(G1114&lt;&gt;"",G1114&lt;Reporting!$B$4),1,0)</x:f>
        <x:v>1</x:v>
      </x:c>
      <x:c r="N1114" s="16" t="n">
        <x:f>IF(M1114=1,G1114-E1114,"")</x:f>
        <x:v>13</x:v>
      </x:c>
      <x:c r="O1114" s="1" t="str">
        <x:f>IF(E1114&gt;=Reporting!$B$4,"Outside cutoff",IF(M1114=1,"Closed",IF(J1114=1,"Overdue","Open - within SLA")))</x:f>
        <x:v>Closed</x:v>
      </x:c>
    </x:row>
    <x:row r="1115">
      <x:c r="A1115" s="14" t="str">
        <x:v>CASE-01110</x:v>
      </x:c>
      <x:c r="B1115" s="14" t="str">
        <x:v>Installation</x:v>
      </x:c>
      <x:c r="C1115" s="14" t="str">
        <x:v>Missing evidence</x:v>
      </x:c>
      <x:c r="D1115" s="14" t="str">
        <x:v>High</x:v>
      </x:c>
      <x:c r="E1115" s="15" t="n">
        <x:v>46226.666666666664</x:v>
      </x:c>
      <x:c r="F1115" s="15" t="n">
        <x:v>46229.666666666664</x:v>
      </x:c>
      <x:c r="G1115" s="15" t="n">
        <x:v>46235.75</x:v>
      </x:c>
      <x:c r="H1115" s="14" t="n">
        <x:v>3</x:v>
      </x:c>
      <x:c r="I1115" s="1" t="n">
        <x:f>IF(AND(E1115&lt;Reporting!$B$4,OR(G1115="",G1115&gt;=Reporting!$B$4)),1,0)</x:f>
        <x:v>0</x:v>
      </x:c>
      <x:c r="J1115" s="1" t="n">
        <x:f>IF(AND(I1115=1,F1115&lt;Reporting!$B$4),1,0)</x:f>
        <x:v>0</x:v>
      </x:c>
      <x:c r="K1115" s="1" t="n">
        <x:f>IF(F1115&lt;Reporting!$B$4,1,0)</x:f>
        <x:v>1</x:v>
      </x:c>
      <x:c r="L1115" s="1" t="n">
        <x:f>IF(AND(K1115=1,G1115&lt;&gt;"",G1115&lt;=F1115),1,0)</x:f>
        <x:v>0</x:v>
      </x:c>
      <x:c r="M1115" s="1" t="n">
        <x:f>IF(AND(G1115&lt;&gt;"",G1115&lt;Reporting!$B$4),1,0)</x:f>
        <x:v>1</x:v>
      </x:c>
      <x:c r="N1115" s="16" t="n">
        <x:f>IF(M1115=1,G1115-E1115,"")</x:f>
        <x:v>9.083333333335759</x:v>
      </x:c>
      <x:c r="O1115" s="1" t="str">
        <x:f>IF(E1115&gt;=Reporting!$B$4,"Outside cutoff",IF(M1115=1,"Closed",IF(J1115=1,"Overdue","Open - within SLA")))</x:f>
        <x:v>Closed</x:v>
      </x:c>
    </x:row>
    <x:row r="1116">
      <x:c r="A1116" s="14" t="str">
        <x:v>CASE-01111</x:v>
      </x:c>
      <x:c r="B1116" s="14" t="str">
        <x:v>Customer Services</x:v>
      </x:c>
      <x:c r="C1116" s="14" t="str">
        <x:v>Record mismatch</x:v>
      </x:c>
      <x:c r="D1116" s="14" t="str">
        <x:v>Low</x:v>
      </x:c>
      <x:c r="E1116" s="15" t="n">
        <x:v>46221.541666666664</x:v>
      </x:c>
      <x:c r="F1116" s="15" t="n">
        <x:v>46235.541666666664</x:v>
      </x:c>
      <x:c r="G1116" s="15" t="n">
        <x:v>46225.625</x:v>
      </x:c>
      <x:c r="H1116" s="14" t="n">
        <x:v>1</x:v>
      </x:c>
      <x:c r="I1116" s="1" t="n">
        <x:f>IF(AND(E1116&lt;Reporting!$B$4,OR(G1116="",G1116&gt;=Reporting!$B$4)),1,0)</x:f>
        <x:v>0</x:v>
      </x:c>
      <x:c r="J1116" s="1" t="n">
        <x:f>IF(AND(I1116=1,F1116&lt;Reporting!$B$4),1,0)</x:f>
        <x:v>0</x:v>
      </x:c>
      <x:c r="K1116" s="1" t="n">
        <x:f>IF(F1116&lt;Reporting!$B$4,1,0)</x:f>
        <x:v>1</x:v>
      </x:c>
      <x:c r="L1116" s="1" t="n">
        <x:f>IF(AND(K1116=1,G1116&lt;&gt;"",G1116&lt;=F1116),1,0)</x:f>
        <x:v>1</x:v>
      </x:c>
      <x:c r="M1116" s="1" t="n">
        <x:f>IF(AND(G1116&lt;&gt;"",G1116&lt;Reporting!$B$4),1,0)</x:f>
        <x:v>1</x:v>
      </x:c>
      <x:c r="N1116" s="16" t="n">
        <x:f>IF(M1116=1,G1116-E1116,"")</x:f>
        <x:v>4.083333333335759</x:v>
      </x:c>
      <x:c r="O1116" s="1" t="str">
        <x:f>IF(E1116&gt;=Reporting!$B$4,"Outside cutoff",IF(M1116=1,"Closed",IF(J1116=1,"Overdue","Open - within SLA")))</x:f>
        <x:v>Closed</x:v>
      </x:c>
    </x:row>
    <x:row r="1117">
      <x:c r="A1117" s="14" t="str">
        <x:v>CASE-01112</x:v>
      </x:c>
      <x:c r="B1117" s="14" t="str">
        <x:v>Customer Services</x:v>
      </x:c>
      <x:c r="C1117" s="14" t="str">
        <x:v>Missing evidence</x:v>
      </x:c>
      <x:c r="D1117" s="14" t="str">
        <x:v>Medium</x:v>
      </x:c>
      <x:c r="E1117" s="15" t="n">
        <x:v>46267.458333333336</x:v>
      </x:c>
      <x:c r="F1117" s="15" t="n">
        <x:v>46274.458333333336</x:v>
      </x:c>
      <x:c r="G1117" s="15" t="n">
        <x:v>46278.5</x:v>
      </x:c>
      <x:c r="H1117" s="14" t="n">
        <x:v>1</x:v>
      </x:c>
      <x:c r="I1117" s="1" t="n">
        <x:f>IF(AND(E1117&lt;Reporting!$B$4,OR(G1117="",G1117&gt;=Reporting!$B$4)),1,0)</x:f>
        <x:v>0</x:v>
      </x:c>
      <x:c r="J1117" s="1" t="n">
        <x:f>IF(AND(I1117=1,F1117&lt;Reporting!$B$4),1,0)</x:f>
        <x:v>0</x:v>
      </x:c>
      <x:c r="K1117" s="1" t="n">
        <x:f>IF(F1117&lt;Reporting!$B$4,1,0)</x:f>
        <x:v>1</x:v>
      </x:c>
      <x:c r="L1117" s="1" t="n">
        <x:f>IF(AND(K1117=1,G1117&lt;&gt;"",G1117&lt;=F1117),1,0)</x:f>
        <x:v>0</x:v>
      </x:c>
      <x:c r="M1117" s="1" t="n">
        <x:f>IF(AND(G1117&lt;&gt;"",G1117&lt;Reporting!$B$4),1,0)</x:f>
        <x:v>1</x:v>
      </x:c>
      <x:c r="N1117" s="16" t="n">
        <x:f>IF(M1117=1,G1117-E1117,"")</x:f>
        <x:v>11.041666666664241</x:v>
      </x:c>
      <x:c r="O1117" s="1" t="str">
        <x:f>IF(E1117&gt;=Reporting!$B$4,"Outside cutoff",IF(M1117=1,"Closed",IF(J1117=1,"Overdue","Open - within SLA")))</x:f>
        <x:v>Closed</x:v>
      </x:c>
    </x:row>
    <x:row r="1118">
      <x:c r="A1118" s="14" t="str">
        <x:v>CASE-01113</x:v>
      </x:c>
      <x:c r="B1118" s="14" t="str">
        <x:v>Customer Services</x:v>
      </x:c>
      <x:c r="C1118" s="14" t="str">
        <x:v>Late review</x:v>
      </x:c>
      <x:c r="D1118" s="14" t="str">
        <x:v>Medium</x:v>
      </x:c>
      <x:c r="E1118" s="15" t="n">
        <x:v>46267.625</x:v>
      </x:c>
      <x:c r="F1118" s="15" t="n">
        <x:v>46274.625</x:v>
      </x:c>
      <x:c r="G1118" s="15" t="n">
        <x:v>46270.625</x:v>
      </x:c>
      <x:c r="H1118" s="14" t="n">
        <x:v>1</x:v>
      </x:c>
      <x:c r="I1118" s="1" t="n">
        <x:f>IF(AND(E1118&lt;Reporting!$B$4,OR(G1118="",G1118&gt;=Reporting!$B$4)),1,0)</x:f>
        <x:v>0</x:v>
      </x:c>
      <x:c r="J1118" s="1" t="n">
        <x:f>IF(AND(I1118=1,F1118&lt;Reporting!$B$4),1,0)</x:f>
        <x:v>0</x:v>
      </x:c>
      <x:c r="K1118" s="1" t="n">
        <x:f>IF(F1118&lt;Reporting!$B$4,1,0)</x:f>
        <x:v>1</x:v>
      </x:c>
      <x:c r="L1118" s="1" t="n">
        <x:f>IF(AND(K1118=1,G1118&lt;&gt;"",G1118&lt;=F1118),1,0)</x:f>
        <x:v>1</x:v>
      </x:c>
      <x:c r="M1118" s="1" t="n">
        <x:f>IF(AND(G1118&lt;&gt;"",G1118&lt;Reporting!$B$4),1,0)</x:f>
        <x:v>1</x:v>
      </x:c>
      <x:c r="N1118" s="16" t="n">
        <x:f>IF(M1118=1,G1118-E1118,"")</x:f>
        <x:v>3</x:v>
      </x:c>
      <x:c r="O1118" s="1" t="str">
        <x:f>IF(E1118&gt;=Reporting!$B$4,"Outside cutoff",IF(M1118=1,"Closed",IF(J1118=1,"Overdue","Open - within SLA")))</x:f>
        <x:v>Closed</x:v>
      </x:c>
    </x:row>
    <x:row r="1119">
      <x:c r="A1119" s="14" t="str">
        <x:v>CASE-01114</x:v>
      </x:c>
      <x:c r="B1119" s="14" t="str">
        <x:v>Customer Services</x:v>
      </x:c>
      <x:c r="C1119" s="14" t="str">
        <x:v>Late review</x:v>
      </x:c>
      <x:c r="D1119" s="14" t="str">
        <x:v>High</x:v>
      </x:c>
      <x:c r="E1119" s="15" t="n">
        <x:v>46280.625</x:v>
      </x:c>
      <x:c r="F1119" s="15" t="n">
        <x:v>46283.625</x:v>
      </x:c>
      <x:c r="G1119" s="15"/>
      <x:c r="H1119" s="14" t="n">
        <x:v>1</x:v>
      </x:c>
      <x:c r="I1119" s="1" t="n">
        <x:f>IF(AND(E1119&lt;Reporting!$B$4,OR(G1119="",G1119&gt;=Reporting!$B$4)),1,0)</x:f>
        <x:v>1</x:v>
      </x:c>
      <x:c r="J1119" s="1" t="n">
        <x:f>IF(AND(I1119=1,F1119&lt;Reporting!$B$4),1,0)</x:f>
        <x:v>1</x:v>
      </x:c>
      <x:c r="K1119" s="1" t="n">
        <x:f>IF(F1119&lt;Reporting!$B$4,1,0)</x:f>
        <x:v>1</x:v>
      </x:c>
      <x:c r="L1119" s="1" t="n">
        <x:f>IF(AND(K1119=1,G1119&lt;&gt;"",G1119&lt;=F1119),1,0)</x:f>
        <x:v>0</x:v>
      </x:c>
      <x:c r="M1119" s="1" t="n">
        <x:f>IF(AND(G1119&lt;&gt;"",G1119&lt;Reporting!$B$4),1,0)</x:f>
        <x:v>0</x:v>
      </x:c>
      <x:c r="N1119" s="16" t="str">
        <x:f>IF(M1119=1,G1119-E1119,"")</x:f>
      </x:c>
      <x:c r="O1119" s="1" t="str">
        <x:f>IF(E1119&gt;=Reporting!$B$4,"Outside cutoff",IF(M1119=1,"Closed",IF(J1119=1,"Overdue","Open - within SLA")))</x:f>
        <x:v>Overdue</x:v>
      </x:c>
    </x:row>
    <x:row r="1120">
      <x:c r="A1120" s="14" t="str">
        <x:v>CASE-01115</x:v>
      </x:c>
      <x:c r="B1120" s="14" t="str">
        <x:v>Customer Services</x:v>
      </x:c>
      <x:c r="C1120" s="14" t="str">
        <x:v>Record mismatch</x:v>
      </x:c>
      <x:c r="D1120" s="14" t="str">
        <x:v>Medium</x:v>
      </x:c>
      <x:c r="E1120" s="15" t="n">
        <x:v>46227.416666666664</x:v>
      </x:c>
      <x:c r="F1120" s="15" t="n">
        <x:v>46234.416666666664</x:v>
      </x:c>
      <x:c r="G1120" s="15" t="n">
        <x:v>46244.458333333336</x:v>
      </x:c>
      <x:c r="H1120" s="14" t="n">
        <x:v>1</x:v>
      </x:c>
      <x:c r="I1120" s="1" t="n">
        <x:f>IF(AND(E1120&lt;Reporting!$B$4,OR(G1120="",G1120&gt;=Reporting!$B$4)),1,0)</x:f>
        <x:v>0</x:v>
      </x:c>
      <x:c r="J1120" s="1" t="n">
        <x:f>IF(AND(I1120=1,F1120&lt;Reporting!$B$4),1,0)</x:f>
        <x:v>0</x:v>
      </x:c>
      <x:c r="K1120" s="1" t="n">
        <x:f>IF(F1120&lt;Reporting!$B$4,1,0)</x:f>
        <x:v>1</x:v>
      </x:c>
      <x:c r="L1120" s="1" t="n">
        <x:f>IF(AND(K1120=1,G1120&lt;&gt;"",G1120&lt;=F1120),1,0)</x:f>
        <x:v>0</x:v>
      </x:c>
      <x:c r="M1120" s="1" t="n">
        <x:f>IF(AND(G1120&lt;&gt;"",G1120&lt;Reporting!$B$4),1,0)</x:f>
        <x:v>1</x:v>
      </x:c>
      <x:c r="N1120" s="16" t="n">
        <x:f>IF(M1120=1,G1120-E1120,"")</x:f>
        <x:v>17.041666666671517</x:v>
      </x:c>
      <x:c r="O1120" s="1" t="str">
        <x:f>IF(E1120&gt;=Reporting!$B$4,"Outside cutoff",IF(M1120=1,"Closed",IF(J1120=1,"Overdue","Open - within SLA")))</x:f>
        <x:v>Closed</x:v>
      </x:c>
    </x:row>
    <x:row r="1121">
      <x:c r="A1121" s="14" t="str">
        <x:v>CASE-01116</x:v>
      </x:c>
      <x:c r="B1121" s="14" t="str">
        <x:v>Warehouse</x:v>
      </x:c>
      <x:c r="C1121" s="14" t="str">
        <x:v>Process deviation</x:v>
      </x:c>
      <x:c r="D1121" s="14" t="str">
        <x:v>Medium</x:v>
      </x:c>
      <x:c r="E1121" s="15" t="n">
        <x:v>46224.5</x:v>
      </x:c>
      <x:c r="F1121" s="15" t="n">
        <x:v>46231.5</x:v>
      </x:c>
      <x:c r="G1121" s="15" t="n">
        <x:v>46241.541666666664</x:v>
      </x:c>
      <x:c r="H1121" s="14" t="n">
        <x:v>2</x:v>
      </x:c>
      <x:c r="I1121" s="1" t="n">
        <x:f>IF(AND(E1121&lt;Reporting!$B$4,OR(G1121="",G1121&gt;=Reporting!$B$4)),1,0)</x:f>
        <x:v>0</x:v>
      </x:c>
      <x:c r="J1121" s="1" t="n">
        <x:f>IF(AND(I1121=1,F1121&lt;Reporting!$B$4),1,0)</x:f>
        <x:v>0</x:v>
      </x:c>
      <x:c r="K1121" s="1" t="n">
        <x:f>IF(F1121&lt;Reporting!$B$4,1,0)</x:f>
        <x:v>1</x:v>
      </x:c>
      <x:c r="L1121" s="1" t="n">
        <x:f>IF(AND(K1121=1,G1121&lt;&gt;"",G1121&lt;=F1121),1,0)</x:f>
        <x:v>0</x:v>
      </x:c>
      <x:c r="M1121" s="1" t="n">
        <x:f>IF(AND(G1121&lt;&gt;"",G1121&lt;Reporting!$B$4),1,0)</x:f>
        <x:v>1</x:v>
      </x:c>
      <x:c r="N1121" s="16" t="n">
        <x:f>IF(M1121=1,G1121-E1121,"")</x:f>
        <x:v>17.04166666666424</x:v>
      </x:c>
      <x:c r="O1121" s="1" t="str">
        <x:f>IF(E1121&gt;=Reporting!$B$4,"Outside cutoff",IF(M1121=1,"Closed",IF(J1121=1,"Overdue","Open - within SLA")))</x:f>
        <x:v>Closed</x:v>
      </x:c>
    </x:row>
    <x:row r="1122">
      <x:c r="A1122" s="14" t="str">
        <x:v>CASE-01117</x:v>
      </x:c>
      <x:c r="B1122" s="14" t="str">
        <x:v>Warehouse</x:v>
      </x:c>
      <x:c r="C1122" s="14" t="str">
        <x:v>Record mismatch</x:v>
      </x:c>
      <x:c r="D1122" s="14" t="str">
        <x:v>Low</x:v>
      </x:c>
      <x:c r="E1122" s="15" t="n">
        <x:v>46234.458333333336</x:v>
      </x:c>
      <x:c r="F1122" s="15" t="n">
        <x:v>46248.458333333336</x:v>
      </x:c>
      <x:c r="G1122" s="15" t="n">
        <x:v>46247.5</x:v>
      </x:c>
      <x:c r="H1122" s="14" t="n">
        <x:v>2</x:v>
      </x:c>
      <x:c r="I1122" s="1" t="n">
        <x:f>IF(AND(E1122&lt;Reporting!$B$4,OR(G1122="",G1122&gt;=Reporting!$B$4)),1,0)</x:f>
        <x:v>0</x:v>
      </x:c>
      <x:c r="J1122" s="1" t="n">
        <x:f>IF(AND(I1122=1,F1122&lt;Reporting!$B$4),1,0)</x:f>
        <x:v>0</x:v>
      </x:c>
      <x:c r="K1122" s="1" t="n">
        <x:f>IF(F1122&lt;Reporting!$B$4,1,0)</x:f>
        <x:v>1</x:v>
      </x:c>
      <x:c r="L1122" s="1" t="n">
        <x:f>IF(AND(K1122=1,G1122&lt;&gt;"",G1122&lt;=F1122),1,0)</x:f>
        <x:v>1</x:v>
      </x:c>
      <x:c r="M1122" s="1" t="n">
        <x:f>IF(AND(G1122&lt;&gt;"",G1122&lt;Reporting!$B$4),1,0)</x:f>
        <x:v>1</x:v>
      </x:c>
      <x:c r="N1122" s="16" t="n">
        <x:f>IF(M1122=1,G1122-E1122,"")</x:f>
        <x:v>13.041666666664241</x:v>
      </x:c>
      <x:c r="O1122" s="1" t="str">
        <x:f>IF(E1122&gt;=Reporting!$B$4,"Outside cutoff",IF(M1122=1,"Closed",IF(J1122=1,"Overdue","Open - within SLA")))</x:f>
        <x:v>Closed</x:v>
      </x:c>
    </x:row>
    <x:row r="1123">
      <x:c r="A1123" s="14" t="str">
        <x:v>CASE-01118</x:v>
      </x:c>
      <x:c r="B1123" s="14" t="str">
        <x:v>Warehouse</x:v>
      </x:c>
      <x:c r="C1123" s="14" t="str">
        <x:v>Process deviation</x:v>
      </x:c>
      <x:c r="D1123" s="14" t="str">
        <x:v>Medium</x:v>
      </x:c>
      <x:c r="E1123" s="15" t="n">
        <x:v>46202.5</x:v>
      </x:c>
      <x:c r="F1123" s="15" t="n">
        <x:v>46209.5</x:v>
      </x:c>
      <x:c r="G1123" s="15" t="n">
        <x:v>46217.541666666664</x:v>
      </x:c>
      <x:c r="H1123" s="14" t="n">
        <x:v>2</x:v>
      </x:c>
      <x:c r="I1123" s="1" t="n">
        <x:f>IF(AND(E1123&lt;Reporting!$B$4,OR(G1123="",G1123&gt;=Reporting!$B$4)),1,0)</x:f>
        <x:v>0</x:v>
      </x:c>
      <x:c r="J1123" s="1" t="n">
        <x:f>IF(AND(I1123=1,F1123&lt;Reporting!$B$4),1,0)</x:f>
        <x:v>0</x:v>
      </x:c>
      <x:c r="K1123" s="1" t="n">
        <x:f>IF(F1123&lt;Reporting!$B$4,1,0)</x:f>
        <x:v>1</x:v>
      </x:c>
      <x:c r="L1123" s="1" t="n">
        <x:f>IF(AND(K1123=1,G1123&lt;&gt;"",G1123&lt;=F1123),1,0)</x:f>
        <x:v>0</x:v>
      </x:c>
      <x:c r="M1123" s="1" t="n">
        <x:f>IF(AND(G1123&lt;&gt;"",G1123&lt;Reporting!$B$4),1,0)</x:f>
        <x:v>1</x:v>
      </x:c>
      <x:c r="N1123" s="16" t="n">
        <x:f>IF(M1123=1,G1123-E1123,"")</x:f>
        <x:v>15.041666666664241</x:v>
      </x:c>
      <x:c r="O1123" s="1" t="str">
        <x:f>IF(E1123&gt;=Reporting!$B$4,"Outside cutoff",IF(M1123=1,"Closed",IF(J1123=1,"Overdue","Open - within SLA")))</x:f>
        <x:v>Closed</x:v>
      </x:c>
    </x:row>
    <x:row r="1124">
      <x:c r="A1124" s="14" t="str">
        <x:v>CASE-01119</x:v>
      </x:c>
      <x:c r="B1124" s="14" t="str">
        <x:v>Customer Services</x:v>
      </x:c>
      <x:c r="C1124" s="14" t="str">
        <x:v>Record mismatch</x:v>
      </x:c>
      <x:c r="D1124" s="14" t="str">
        <x:v>Medium</x:v>
      </x:c>
      <x:c r="E1124" s="15" t="n">
        <x:v>46256.625</x:v>
      </x:c>
      <x:c r="F1124" s="15" t="n">
        <x:v>46263.625</x:v>
      </x:c>
      <x:c r="G1124" s="15" t="n">
        <x:v>46262.666666666664</x:v>
      </x:c>
      <x:c r="H1124" s="14" t="n">
        <x:v>1</x:v>
      </x:c>
      <x:c r="I1124" s="1" t="n">
        <x:f>IF(AND(E1124&lt;Reporting!$B$4,OR(G1124="",G1124&gt;=Reporting!$B$4)),1,0)</x:f>
        <x:v>0</x:v>
      </x:c>
      <x:c r="J1124" s="1" t="n">
        <x:f>IF(AND(I1124=1,F1124&lt;Reporting!$B$4),1,0)</x:f>
        <x:v>0</x:v>
      </x:c>
      <x:c r="K1124" s="1" t="n">
        <x:f>IF(F1124&lt;Reporting!$B$4,1,0)</x:f>
        <x:v>1</x:v>
      </x:c>
      <x:c r="L1124" s="1" t="n">
        <x:f>IF(AND(K1124=1,G1124&lt;&gt;"",G1124&lt;=F1124),1,0)</x:f>
        <x:v>1</x:v>
      </x:c>
      <x:c r="M1124" s="1" t="n">
        <x:f>IF(AND(G1124&lt;&gt;"",G1124&lt;Reporting!$B$4),1,0)</x:f>
        <x:v>1</x:v>
      </x:c>
      <x:c r="N1124" s="16" t="n">
        <x:f>IF(M1124=1,G1124-E1124,"")</x:f>
        <x:v>6.041666666664241</x:v>
      </x:c>
      <x:c r="O1124" s="1" t="str">
        <x:f>IF(E1124&gt;=Reporting!$B$4,"Outside cutoff",IF(M1124=1,"Closed",IF(J1124=1,"Overdue","Open - within SLA")))</x:f>
        <x:v>Closed</x:v>
      </x:c>
    </x:row>
    <x:row r="1125">
      <x:c r="A1125" s="14" t="str">
        <x:v>CASE-01120</x:v>
      </x:c>
      <x:c r="B1125" s="14" t="str">
        <x:v>Warehouse</x:v>
      </x:c>
      <x:c r="C1125" s="14" t="str">
        <x:v>Process deviation</x:v>
      </x:c>
      <x:c r="D1125" s="14" t="str">
        <x:v>Medium</x:v>
      </x:c>
      <x:c r="E1125" s="15" t="n">
        <x:v>46222.5</x:v>
      </x:c>
      <x:c r="F1125" s="15" t="n">
        <x:v>46229.5</x:v>
      </x:c>
      <x:c r="G1125" s="15" t="n">
        <x:v>46231.583333333336</x:v>
      </x:c>
      <x:c r="H1125" s="14" t="n">
        <x:v>2</x:v>
      </x:c>
      <x:c r="I1125" s="1" t="n">
        <x:f>IF(AND(E1125&lt;Reporting!$B$4,OR(G1125="",G1125&gt;=Reporting!$B$4)),1,0)</x:f>
        <x:v>0</x:v>
      </x:c>
      <x:c r="J1125" s="1" t="n">
        <x:f>IF(AND(I1125=1,F1125&lt;Reporting!$B$4),1,0)</x:f>
        <x:v>0</x:v>
      </x:c>
      <x:c r="K1125" s="1" t="n">
        <x:f>IF(F1125&lt;Reporting!$B$4,1,0)</x:f>
        <x:v>1</x:v>
      </x:c>
      <x:c r="L1125" s="1" t="n">
        <x:f>IF(AND(K1125=1,G1125&lt;&gt;"",G1125&lt;=F1125),1,0)</x:f>
        <x:v>0</x:v>
      </x:c>
      <x:c r="M1125" s="1" t="n">
        <x:f>IF(AND(G1125&lt;&gt;"",G1125&lt;Reporting!$B$4),1,0)</x:f>
        <x:v>1</x:v>
      </x:c>
      <x:c r="N1125" s="16" t="n">
        <x:f>IF(M1125=1,G1125-E1125,"")</x:f>
        <x:v>9.083333333335759</x:v>
      </x:c>
      <x:c r="O1125" s="1" t="str">
        <x:f>IF(E1125&gt;=Reporting!$B$4,"Outside cutoff",IF(M1125=1,"Closed",IF(J1125=1,"Overdue","Open - within SLA")))</x:f>
        <x:v>Closed</x:v>
      </x:c>
    </x:row>
    <x:row r="1126">
      <x:c r="A1126" s="14" t="str">
        <x:v>CASE-01121</x:v>
      </x:c>
      <x:c r="B1126" s="14" t="str">
        <x:v>Customer Services</x:v>
      </x:c>
      <x:c r="C1126" s="14" t="str">
        <x:v>Process deviation</x:v>
      </x:c>
      <x:c r="D1126" s="14" t="str">
        <x:v>High</x:v>
      </x:c>
      <x:c r="E1126" s="15" t="n">
        <x:v>46252.666666666664</x:v>
      </x:c>
      <x:c r="F1126" s="15" t="n">
        <x:v>46255.666666666664</x:v>
      </x:c>
      <x:c r="G1126" s="15" t="n">
        <x:v>46260.75</x:v>
      </x:c>
      <x:c r="H1126" s="14" t="n">
        <x:v>1</x:v>
      </x:c>
      <x:c r="I1126" s="1" t="n">
        <x:f>IF(AND(E1126&lt;Reporting!$B$4,OR(G1126="",G1126&gt;=Reporting!$B$4)),1,0)</x:f>
        <x:v>0</x:v>
      </x:c>
      <x:c r="J1126" s="1" t="n">
        <x:f>IF(AND(I1126=1,F1126&lt;Reporting!$B$4),1,0)</x:f>
        <x:v>0</x:v>
      </x:c>
      <x:c r="K1126" s="1" t="n">
        <x:f>IF(F1126&lt;Reporting!$B$4,1,0)</x:f>
        <x:v>1</x:v>
      </x:c>
      <x:c r="L1126" s="1" t="n">
        <x:f>IF(AND(K1126=1,G1126&lt;&gt;"",G1126&lt;=F1126),1,0)</x:f>
        <x:v>0</x:v>
      </x:c>
      <x:c r="M1126" s="1" t="n">
        <x:f>IF(AND(G1126&lt;&gt;"",G1126&lt;Reporting!$B$4),1,0)</x:f>
        <x:v>1</x:v>
      </x:c>
      <x:c r="N1126" s="16" t="n">
        <x:f>IF(M1126=1,G1126-E1126,"")</x:f>
        <x:v>8.083333333335759</x:v>
      </x:c>
      <x:c r="O1126" s="1" t="str">
        <x:f>IF(E1126&gt;=Reporting!$B$4,"Outside cutoff",IF(M1126=1,"Closed",IF(J1126=1,"Overdue","Open - within SLA")))</x:f>
        <x:v>Closed</x:v>
      </x:c>
    </x:row>
    <x:row r="1127">
      <x:c r="A1127" s="14" t="str">
        <x:v>CASE-01122</x:v>
      </x:c>
      <x:c r="B1127" s="14" t="str">
        <x:v>Customer Services</x:v>
      </x:c>
      <x:c r="C1127" s="14" t="str">
        <x:v>Missing evidence</x:v>
      </x:c>
      <x:c r="D1127" s="14" t="str">
        <x:v>High</x:v>
      </x:c>
      <x:c r="E1127" s="15" t="n">
        <x:v>46208.5</x:v>
      </x:c>
      <x:c r="F1127" s="15" t="n">
        <x:v>46211.5</x:v>
      </x:c>
      <x:c r="G1127" s="15" t="n">
        <x:v>46209.541666666664</x:v>
      </x:c>
      <x:c r="H1127" s="14" t="n">
        <x:v>1</x:v>
      </x:c>
      <x:c r="I1127" s="1" t="n">
        <x:f>IF(AND(E1127&lt;Reporting!$B$4,OR(G1127="",G1127&gt;=Reporting!$B$4)),1,0)</x:f>
        <x:v>0</x:v>
      </x:c>
      <x:c r="J1127" s="1" t="n">
        <x:f>IF(AND(I1127=1,F1127&lt;Reporting!$B$4),1,0)</x:f>
        <x:v>0</x:v>
      </x:c>
      <x:c r="K1127" s="1" t="n">
        <x:f>IF(F1127&lt;Reporting!$B$4,1,0)</x:f>
        <x:v>1</x:v>
      </x:c>
      <x:c r="L1127" s="1" t="n">
        <x:f>IF(AND(K1127=1,G1127&lt;&gt;"",G1127&lt;=F1127),1,0)</x:f>
        <x:v>1</x:v>
      </x:c>
      <x:c r="M1127" s="1" t="n">
        <x:f>IF(AND(G1127&lt;&gt;"",G1127&lt;Reporting!$B$4),1,0)</x:f>
        <x:v>1</x:v>
      </x:c>
      <x:c r="N1127" s="16" t="n">
        <x:f>IF(M1127=1,G1127-E1127,"")</x:f>
        <x:v>1.0416666666642413</x:v>
      </x:c>
      <x:c r="O1127" s="1" t="str">
        <x:f>IF(E1127&gt;=Reporting!$B$4,"Outside cutoff",IF(M1127=1,"Closed",IF(J1127=1,"Overdue","Open - within SLA")))</x:f>
        <x:v>Closed</x:v>
      </x:c>
    </x:row>
    <x:row r="1128">
      <x:c r="A1128" s="14" t="str">
        <x:v>CASE-01123</x:v>
      </x:c>
      <x:c r="B1128" s="14" t="str">
        <x:v>Customer Services</x:v>
      </x:c>
      <x:c r="C1128" s="14" t="str">
        <x:v>Record mismatch</x:v>
      </x:c>
      <x:c r="D1128" s="14" t="str">
        <x:v>Low</x:v>
      </x:c>
      <x:c r="E1128" s="15" t="n">
        <x:v>46227.458333333336</x:v>
      </x:c>
      <x:c r="F1128" s="15" t="n">
        <x:v>46241.458333333336</x:v>
      </x:c>
      <x:c r="G1128" s="15" t="n">
        <x:v>46229.541666666664</x:v>
      </x:c>
      <x:c r="H1128" s="14" t="n">
        <x:v>1</x:v>
      </x:c>
      <x:c r="I1128" s="1" t="n">
        <x:f>IF(AND(E1128&lt;Reporting!$B$4,OR(G1128="",G1128&gt;=Reporting!$B$4)),1,0)</x:f>
        <x:v>0</x:v>
      </x:c>
      <x:c r="J1128" s="1" t="n">
        <x:f>IF(AND(I1128=1,F1128&lt;Reporting!$B$4),1,0)</x:f>
        <x:v>0</x:v>
      </x:c>
      <x:c r="K1128" s="1" t="n">
        <x:f>IF(F1128&lt;Reporting!$B$4,1,0)</x:f>
        <x:v>1</x:v>
      </x:c>
      <x:c r="L1128" s="1" t="n">
        <x:f>IF(AND(K1128=1,G1128&lt;&gt;"",G1128&lt;=F1128),1,0)</x:f>
        <x:v>1</x:v>
      </x:c>
      <x:c r="M1128" s="1" t="n">
        <x:f>IF(AND(G1128&lt;&gt;"",G1128&lt;Reporting!$B$4),1,0)</x:f>
        <x:v>1</x:v>
      </x:c>
      <x:c r="N1128" s="16" t="n">
        <x:f>IF(M1128=1,G1128-E1128,"")</x:f>
        <x:v>2.0833333333284827</x:v>
      </x:c>
      <x:c r="O1128" s="1" t="str">
        <x:f>IF(E1128&gt;=Reporting!$B$4,"Outside cutoff",IF(M1128=1,"Closed",IF(J1128=1,"Overdue","Open - within SLA")))</x:f>
        <x:v>Closed</x:v>
      </x:c>
    </x:row>
    <x:row r="1129">
      <x:c r="A1129" s="14" t="str">
        <x:v>CASE-01124</x:v>
      </x:c>
      <x:c r="B1129" s="14" t="str">
        <x:v>Installation</x:v>
      </x:c>
      <x:c r="C1129" s="14" t="str">
        <x:v>Record mismatch</x:v>
      </x:c>
      <x:c r="D1129" s="14" t="str">
        <x:v>Low</x:v>
      </x:c>
      <x:c r="E1129" s="15" t="n">
        <x:v>46272.541666666664</x:v>
      </x:c>
      <x:c r="F1129" s="15" t="n">
        <x:v>46286.541666666664</x:v>
      </x:c>
      <x:c r="G1129" s="15" t="n">
        <x:v>46277.625</x:v>
      </x:c>
      <x:c r="H1129" s="14" t="n">
        <x:v>3</x:v>
      </x:c>
      <x:c r="I1129" s="1" t="n">
        <x:f>IF(AND(E1129&lt;Reporting!$B$4,OR(G1129="",G1129&gt;=Reporting!$B$4)),1,0)</x:f>
        <x:v>0</x:v>
      </x:c>
      <x:c r="J1129" s="1" t="n">
        <x:f>IF(AND(I1129=1,F1129&lt;Reporting!$B$4),1,0)</x:f>
        <x:v>0</x:v>
      </x:c>
      <x:c r="K1129" s="1" t="n">
        <x:f>IF(F1129&lt;Reporting!$B$4,1,0)</x:f>
        <x:v>0</x:v>
      </x:c>
      <x:c r="L1129" s="1" t="n">
        <x:f>IF(AND(K1129=1,G1129&lt;&gt;"",G1129&lt;=F1129),1,0)</x:f>
        <x:v>0</x:v>
      </x:c>
      <x:c r="M1129" s="1" t="n">
        <x:f>IF(AND(G1129&lt;&gt;"",G1129&lt;Reporting!$B$4),1,0)</x:f>
        <x:v>1</x:v>
      </x:c>
      <x:c r="N1129" s="16" t="n">
        <x:f>IF(M1129=1,G1129-E1129,"")</x:f>
        <x:v>5.083333333335759</x:v>
      </x:c>
      <x:c r="O1129" s="1" t="str">
        <x:f>IF(E1129&gt;=Reporting!$B$4,"Outside cutoff",IF(M1129=1,"Closed",IF(J1129=1,"Overdue","Open - within SLA")))</x:f>
        <x:v>Closed</x:v>
      </x:c>
    </x:row>
    <x:row r="1130">
      <x:c r="A1130" s="14" t="str">
        <x:v>CASE-01125</x:v>
      </x:c>
      <x:c r="B1130" s="14" t="str">
        <x:v>Customer Services</x:v>
      </x:c>
      <x:c r="C1130" s="14" t="str">
        <x:v>Record mismatch</x:v>
      </x:c>
      <x:c r="D1130" s="14" t="str">
        <x:v>Medium</x:v>
      </x:c>
      <x:c r="E1130" s="15" t="n">
        <x:v>46269.5</x:v>
      </x:c>
      <x:c r="F1130" s="15" t="n">
        <x:v>46276.5</x:v>
      </x:c>
      <x:c r="G1130" s="15" t="n">
        <x:v>46274.5</x:v>
      </x:c>
      <x:c r="H1130" s="14" t="n">
        <x:v>1</x:v>
      </x:c>
      <x:c r="I1130" s="1" t="n">
        <x:f>IF(AND(E1130&lt;Reporting!$B$4,OR(G1130="",G1130&gt;=Reporting!$B$4)),1,0)</x:f>
        <x:v>0</x:v>
      </x:c>
      <x:c r="J1130" s="1" t="n">
        <x:f>IF(AND(I1130=1,F1130&lt;Reporting!$B$4),1,0)</x:f>
        <x:v>0</x:v>
      </x:c>
      <x:c r="K1130" s="1" t="n">
        <x:f>IF(F1130&lt;Reporting!$B$4,1,0)</x:f>
        <x:v>1</x:v>
      </x:c>
      <x:c r="L1130" s="1" t="n">
        <x:f>IF(AND(K1130=1,G1130&lt;&gt;"",G1130&lt;=F1130),1,0)</x:f>
        <x:v>1</x:v>
      </x:c>
      <x:c r="M1130" s="1" t="n">
        <x:f>IF(AND(G1130&lt;&gt;"",G1130&lt;Reporting!$B$4),1,0)</x:f>
        <x:v>1</x:v>
      </x:c>
      <x:c r="N1130" s="16" t="n">
        <x:f>IF(M1130=1,G1130-E1130,"")</x:f>
        <x:v>5</x:v>
      </x:c>
      <x:c r="O1130" s="1" t="str">
        <x:f>IF(E1130&gt;=Reporting!$B$4,"Outside cutoff",IF(M1130=1,"Closed",IF(J1130=1,"Overdue","Open - within SLA")))</x:f>
        <x:v>Closed</x:v>
      </x:c>
    </x:row>
    <x:row r="1131">
      <x:c r="A1131" s="14" t="str">
        <x:v>CASE-01126</x:v>
      </x:c>
      <x:c r="B1131" s="14" t="str">
        <x:v>Installation</x:v>
      </x:c>
      <x:c r="C1131" s="14" t="str">
        <x:v>Late review</x:v>
      </x:c>
      <x:c r="D1131" s="14" t="str">
        <x:v>Medium</x:v>
      </x:c>
      <x:c r="E1131" s="15" t="n">
        <x:v>46279.416666666664</x:v>
      </x:c>
      <x:c r="F1131" s="15" t="n">
        <x:v>46286.416666666664</x:v>
      </x:c>
      <x:c r="G1131" s="15"/>
      <x:c r="H1131" s="14" t="n">
        <x:v>3</x:v>
      </x:c>
      <x:c r="I1131" s="1" t="n">
        <x:f>IF(AND(E1131&lt;Reporting!$B$4,OR(G1131="",G1131&gt;=Reporting!$B$4)),1,0)</x:f>
        <x:v>1</x:v>
      </x:c>
      <x:c r="J1131" s="1" t="n">
        <x:f>IF(AND(I1131=1,F1131&lt;Reporting!$B$4),1,0)</x:f>
        <x:v>0</x:v>
      </x:c>
      <x:c r="K1131" s="1" t="n">
        <x:f>IF(F1131&lt;Reporting!$B$4,1,0)</x:f>
        <x:v>0</x:v>
      </x:c>
      <x:c r="L1131" s="1" t="n">
        <x:f>IF(AND(K1131=1,G1131&lt;&gt;"",G1131&lt;=F1131),1,0)</x:f>
        <x:v>0</x:v>
      </x:c>
      <x:c r="M1131" s="1" t="n">
        <x:f>IF(AND(G1131&lt;&gt;"",G1131&lt;Reporting!$B$4),1,0)</x:f>
        <x:v>0</x:v>
      </x:c>
      <x:c r="N1131" s="16" t="str">
        <x:f>IF(M1131=1,G1131-E1131,"")</x:f>
      </x:c>
      <x:c r="O1131" s="1" t="str">
        <x:f>IF(E1131&gt;=Reporting!$B$4,"Outside cutoff",IF(M1131=1,"Closed",IF(J1131=1,"Overdue","Open - within SLA")))</x:f>
        <x:v>Open - within SLA</x:v>
      </x:c>
    </x:row>
    <x:row r="1132">
      <x:c r="A1132" s="14" t="str">
        <x:v>CASE-01127</x:v>
      </x:c>
      <x:c r="B1132" s="14" t="str">
        <x:v>Installation</x:v>
      </x:c>
      <x:c r="C1132" s="14" t="str">
        <x:v>Record mismatch</x:v>
      </x:c>
      <x:c r="D1132" s="14" t="str">
        <x:v>Low</x:v>
      </x:c>
      <x:c r="E1132" s="15" t="n">
        <x:v>46235.625</x:v>
      </x:c>
      <x:c r="F1132" s="15" t="n">
        <x:v>46249.625</x:v>
      </x:c>
      <x:c r="G1132" s="15" t="n">
        <x:v>46248.708333333336</x:v>
      </x:c>
      <x:c r="H1132" s="14" t="n">
        <x:v>3</x:v>
      </x:c>
      <x:c r="I1132" s="1" t="n">
        <x:f>IF(AND(E1132&lt;Reporting!$B$4,OR(G1132="",G1132&gt;=Reporting!$B$4)),1,0)</x:f>
        <x:v>0</x:v>
      </x:c>
      <x:c r="J1132" s="1" t="n">
        <x:f>IF(AND(I1132=1,F1132&lt;Reporting!$B$4),1,0)</x:f>
        <x:v>0</x:v>
      </x:c>
      <x:c r="K1132" s="1" t="n">
        <x:f>IF(F1132&lt;Reporting!$B$4,1,0)</x:f>
        <x:v>1</x:v>
      </x:c>
      <x:c r="L1132" s="1" t="n">
        <x:f>IF(AND(K1132=1,G1132&lt;&gt;"",G1132&lt;=F1132),1,0)</x:f>
        <x:v>1</x:v>
      </x:c>
      <x:c r="M1132" s="1" t="n">
        <x:f>IF(AND(G1132&lt;&gt;"",G1132&lt;Reporting!$B$4),1,0)</x:f>
        <x:v>1</x:v>
      </x:c>
      <x:c r="N1132" s="16" t="n">
        <x:f>IF(M1132=1,G1132-E1132,"")</x:f>
        <x:v>13.083333333335759</x:v>
      </x:c>
      <x:c r="O1132" s="1" t="str">
        <x:f>IF(E1132&gt;=Reporting!$B$4,"Outside cutoff",IF(M1132=1,"Closed",IF(J1132=1,"Overdue","Open - within SLA")))</x:f>
        <x:v>Closed</x:v>
      </x:c>
    </x:row>
    <x:row r="1133">
      <x:c r="A1133" s="14" t="str">
        <x:v>CASE-01128</x:v>
      </x:c>
      <x:c r="B1133" s="14" t="str">
        <x:v>Warehouse</x:v>
      </x:c>
      <x:c r="C1133" s="14" t="str">
        <x:v>Late review</x:v>
      </x:c>
      <x:c r="D1133" s="14" t="str">
        <x:v>Medium</x:v>
      </x:c>
      <x:c r="E1133" s="15" t="n">
        <x:v>46217.5</x:v>
      </x:c>
      <x:c r="F1133" s="15" t="n">
        <x:v>46224.5</x:v>
      </x:c>
      <x:c r="G1133" s="15" t="n">
        <x:v>46220.5</x:v>
      </x:c>
      <x:c r="H1133" s="14" t="n">
        <x:v>2</x:v>
      </x:c>
      <x:c r="I1133" s="1" t="n">
        <x:f>IF(AND(E1133&lt;Reporting!$B$4,OR(G1133="",G1133&gt;=Reporting!$B$4)),1,0)</x:f>
        <x:v>0</x:v>
      </x:c>
      <x:c r="J1133" s="1" t="n">
        <x:f>IF(AND(I1133=1,F1133&lt;Reporting!$B$4),1,0)</x:f>
        <x:v>0</x:v>
      </x:c>
      <x:c r="K1133" s="1" t="n">
        <x:f>IF(F1133&lt;Reporting!$B$4,1,0)</x:f>
        <x:v>1</x:v>
      </x:c>
      <x:c r="L1133" s="1" t="n">
        <x:f>IF(AND(K1133=1,G1133&lt;&gt;"",G1133&lt;=F1133),1,0)</x:f>
        <x:v>1</x:v>
      </x:c>
      <x:c r="M1133" s="1" t="n">
        <x:f>IF(AND(G1133&lt;&gt;"",G1133&lt;Reporting!$B$4),1,0)</x:f>
        <x:v>1</x:v>
      </x:c>
      <x:c r="N1133" s="16" t="n">
        <x:f>IF(M1133=1,G1133-E1133,"")</x:f>
        <x:v>3</x:v>
      </x:c>
      <x:c r="O1133" s="1" t="str">
        <x:f>IF(E1133&gt;=Reporting!$B$4,"Outside cutoff",IF(M1133=1,"Closed",IF(J1133=1,"Overdue","Open - within SLA")))</x:f>
        <x:v>Closed</x:v>
      </x:c>
    </x:row>
    <x:row r="1134">
      <x:c r="A1134" s="14" t="str">
        <x:v>CASE-01129</x:v>
      </x:c>
      <x:c r="B1134" s="14" t="str">
        <x:v>Warehouse</x:v>
      </x:c>
      <x:c r="C1134" s="14" t="str">
        <x:v>Record mismatch</x:v>
      </x:c>
      <x:c r="D1134" s="14" t="str">
        <x:v>Medium</x:v>
      </x:c>
      <x:c r="E1134" s="15" t="n">
        <x:v>46229.666666666664</x:v>
      </x:c>
      <x:c r="F1134" s="15" t="n">
        <x:v>46236.666666666664</x:v>
      </x:c>
      <x:c r="G1134" s="15" t="n">
        <x:v>46231.708333333336</x:v>
      </x:c>
      <x:c r="H1134" s="14" t="n">
        <x:v>2</x:v>
      </x:c>
      <x:c r="I1134" s="1" t="n">
        <x:f>IF(AND(E1134&lt;Reporting!$B$4,OR(G1134="",G1134&gt;=Reporting!$B$4)),1,0)</x:f>
        <x:v>0</x:v>
      </x:c>
      <x:c r="J1134" s="1" t="n">
        <x:f>IF(AND(I1134=1,F1134&lt;Reporting!$B$4),1,0)</x:f>
        <x:v>0</x:v>
      </x:c>
      <x:c r="K1134" s="1" t="n">
        <x:f>IF(F1134&lt;Reporting!$B$4,1,0)</x:f>
        <x:v>1</x:v>
      </x:c>
      <x:c r="L1134" s="1" t="n">
        <x:f>IF(AND(K1134=1,G1134&lt;&gt;"",G1134&lt;=F1134),1,0)</x:f>
        <x:v>1</x:v>
      </x:c>
      <x:c r="M1134" s="1" t="n">
        <x:f>IF(AND(G1134&lt;&gt;"",G1134&lt;Reporting!$B$4),1,0)</x:f>
        <x:v>1</x:v>
      </x:c>
      <x:c r="N1134" s="16" t="n">
        <x:f>IF(M1134=1,G1134-E1134,"")</x:f>
        <x:v>2.0416666666715173</x:v>
      </x:c>
      <x:c r="O1134" s="1" t="str">
        <x:f>IF(E1134&gt;=Reporting!$B$4,"Outside cutoff",IF(M1134=1,"Closed",IF(J1134=1,"Overdue","Open - within SLA")))</x:f>
        <x:v>Closed</x:v>
      </x:c>
    </x:row>
    <x:row r="1135">
      <x:c r="A1135" s="14" t="str">
        <x:v>CASE-01130</x:v>
      </x:c>
      <x:c r="B1135" s="14" t="str">
        <x:v>Customer Services</x:v>
      </x:c>
      <x:c r="C1135" s="14" t="str">
        <x:v>Missing evidence</x:v>
      </x:c>
      <x:c r="D1135" s="14" t="str">
        <x:v>Low</x:v>
      </x:c>
      <x:c r="E1135" s="15" t="n">
        <x:v>46214.333333333336</x:v>
      </x:c>
      <x:c r="F1135" s="15" t="n">
        <x:v>46228.333333333336</x:v>
      </x:c>
      <x:c r="G1135" s="15" t="n">
        <x:v>46222.416666666664</x:v>
      </x:c>
      <x:c r="H1135" s="14" t="n">
        <x:v>1</x:v>
      </x:c>
      <x:c r="I1135" s="1" t="n">
        <x:f>IF(AND(E1135&lt;Reporting!$B$4,OR(G1135="",G1135&gt;=Reporting!$B$4)),1,0)</x:f>
        <x:v>0</x:v>
      </x:c>
      <x:c r="J1135" s="1" t="n">
        <x:f>IF(AND(I1135=1,F1135&lt;Reporting!$B$4),1,0)</x:f>
        <x:v>0</x:v>
      </x:c>
      <x:c r="K1135" s="1" t="n">
        <x:f>IF(F1135&lt;Reporting!$B$4,1,0)</x:f>
        <x:v>1</x:v>
      </x:c>
      <x:c r="L1135" s="1" t="n">
        <x:f>IF(AND(K1135=1,G1135&lt;&gt;"",G1135&lt;=F1135),1,0)</x:f>
        <x:v>1</x:v>
      </x:c>
      <x:c r="M1135" s="1" t="n">
        <x:f>IF(AND(G1135&lt;&gt;"",G1135&lt;Reporting!$B$4),1,0)</x:f>
        <x:v>1</x:v>
      </x:c>
      <x:c r="N1135" s="16" t="n">
        <x:f>IF(M1135=1,G1135-E1135,"")</x:f>
        <x:v>8.083333333328483</x:v>
      </x:c>
      <x:c r="O1135" s="1" t="str">
        <x:f>IF(E1135&gt;=Reporting!$B$4,"Outside cutoff",IF(M1135=1,"Closed",IF(J1135=1,"Overdue","Open - within SLA")))</x:f>
        <x:v>Closed</x:v>
      </x:c>
    </x:row>
    <x:row r="1136">
      <x:c r="A1136" s="14" t="str">
        <x:v>CASE-01131</x:v>
      </x:c>
      <x:c r="B1136" s="14" t="str">
        <x:v>Customer Services</x:v>
      </x:c>
      <x:c r="C1136" s="14" t="str">
        <x:v>Missing evidence</x:v>
      </x:c>
      <x:c r="D1136" s="14" t="str">
        <x:v>Medium</x:v>
      </x:c>
      <x:c r="E1136" s="15" t="n">
        <x:v>46211.583333333336</x:v>
      </x:c>
      <x:c r="F1136" s="15" t="n">
        <x:v>46218.583333333336</x:v>
      </x:c>
      <x:c r="G1136" s="15"/>
      <x:c r="H1136" s="14" t="n">
        <x:v>1</x:v>
      </x:c>
      <x:c r="I1136" s="1" t="n">
        <x:f>IF(AND(E1136&lt;Reporting!$B$4,OR(G1136="",G1136&gt;=Reporting!$B$4)),1,0)</x:f>
        <x:v>1</x:v>
      </x:c>
      <x:c r="J1136" s="1" t="n">
        <x:f>IF(AND(I1136=1,F1136&lt;Reporting!$B$4),1,0)</x:f>
        <x:v>1</x:v>
      </x:c>
      <x:c r="K1136" s="1" t="n">
        <x:f>IF(F1136&lt;Reporting!$B$4,1,0)</x:f>
        <x:v>1</x:v>
      </x:c>
      <x:c r="L1136" s="1" t="n">
        <x:f>IF(AND(K1136=1,G1136&lt;&gt;"",G1136&lt;=F1136),1,0)</x:f>
        <x:v>0</x:v>
      </x:c>
      <x:c r="M1136" s="1" t="n">
        <x:f>IF(AND(G1136&lt;&gt;"",G1136&lt;Reporting!$B$4),1,0)</x:f>
        <x:v>0</x:v>
      </x:c>
      <x:c r="N1136" s="16" t="str">
        <x:f>IF(M1136=1,G1136-E1136,"")</x:f>
      </x:c>
      <x:c r="O1136" s="1" t="str">
        <x:f>IF(E1136&gt;=Reporting!$B$4,"Outside cutoff",IF(M1136=1,"Closed",IF(J1136=1,"Overdue","Open - within SLA")))</x:f>
        <x:v>Overdue</x:v>
      </x:c>
    </x:row>
    <x:row r="1137">
      <x:c r="A1137" s="14" t="str">
        <x:v>CASE-01132</x:v>
      </x:c>
      <x:c r="B1137" s="14" t="str">
        <x:v>Installation</x:v>
      </x:c>
      <x:c r="C1137" s="14" t="str">
        <x:v>Record mismatch</x:v>
      </x:c>
      <x:c r="D1137" s="14" t="str">
        <x:v>Medium</x:v>
      </x:c>
      <x:c r="E1137" s="15" t="n">
        <x:v>46214.458333333336</x:v>
      </x:c>
      <x:c r="F1137" s="15" t="n">
        <x:v>46221.458333333336</x:v>
      </x:c>
      <x:c r="G1137" s="15" t="n">
        <x:v>46216.541666666664</x:v>
      </x:c>
      <x:c r="H1137" s="14" t="n">
        <x:v>3</x:v>
      </x:c>
      <x:c r="I1137" s="1" t="n">
        <x:f>IF(AND(E1137&lt;Reporting!$B$4,OR(G1137="",G1137&gt;=Reporting!$B$4)),1,0)</x:f>
        <x:v>0</x:v>
      </x:c>
      <x:c r="J1137" s="1" t="n">
        <x:f>IF(AND(I1137=1,F1137&lt;Reporting!$B$4),1,0)</x:f>
        <x:v>0</x:v>
      </x:c>
      <x:c r="K1137" s="1" t="n">
        <x:f>IF(F1137&lt;Reporting!$B$4,1,0)</x:f>
        <x:v>1</x:v>
      </x:c>
      <x:c r="L1137" s="1" t="n">
        <x:f>IF(AND(K1137=1,G1137&lt;&gt;"",G1137&lt;=F1137),1,0)</x:f>
        <x:v>1</x:v>
      </x:c>
      <x:c r="M1137" s="1" t="n">
        <x:f>IF(AND(G1137&lt;&gt;"",G1137&lt;Reporting!$B$4),1,0)</x:f>
        <x:v>1</x:v>
      </x:c>
      <x:c r="N1137" s="16" t="n">
        <x:f>IF(M1137=1,G1137-E1137,"")</x:f>
        <x:v>2.0833333333284827</x:v>
      </x:c>
      <x:c r="O1137" s="1" t="str">
        <x:f>IF(E1137&gt;=Reporting!$B$4,"Outside cutoff",IF(M1137=1,"Closed",IF(J1137=1,"Overdue","Open - within SLA")))</x:f>
        <x:v>Closed</x:v>
      </x:c>
    </x:row>
    <x:row r="1138">
      <x:c r="A1138" s="14" t="str">
        <x:v>CASE-01133</x:v>
      </x:c>
      <x:c r="B1138" s="14" t="str">
        <x:v>Installation</x:v>
      </x:c>
      <x:c r="C1138" s="14" t="str">
        <x:v>Record mismatch</x:v>
      </x:c>
      <x:c r="D1138" s="14" t="str">
        <x:v>High</x:v>
      </x:c>
      <x:c r="E1138" s="15" t="n">
        <x:v>46225.333333333336</x:v>
      </x:c>
      <x:c r="F1138" s="15" t="n">
        <x:v>46228.333333333336</x:v>
      </x:c>
      <x:c r="G1138" s="15"/>
      <x:c r="H1138" s="14" t="n">
        <x:v>3</x:v>
      </x:c>
      <x:c r="I1138" s="1" t="n">
        <x:f>IF(AND(E1138&lt;Reporting!$B$4,OR(G1138="",G1138&gt;=Reporting!$B$4)),1,0)</x:f>
        <x:v>1</x:v>
      </x:c>
      <x:c r="J1138" s="1" t="n">
        <x:f>IF(AND(I1138=1,F1138&lt;Reporting!$B$4),1,0)</x:f>
        <x:v>1</x:v>
      </x:c>
      <x:c r="K1138" s="1" t="n">
        <x:f>IF(F1138&lt;Reporting!$B$4,1,0)</x:f>
        <x:v>1</x:v>
      </x:c>
      <x:c r="L1138" s="1" t="n">
        <x:f>IF(AND(K1138=1,G1138&lt;&gt;"",G1138&lt;=F1138),1,0)</x:f>
        <x:v>0</x:v>
      </x:c>
      <x:c r="M1138" s="1" t="n">
        <x:f>IF(AND(G1138&lt;&gt;"",G1138&lt;Reporting!$B$4),1,0)</x:f>
        <x:v>0</x:v>
      </x:c>
      <x:c r="N1138" s="16" t="str">
        <x:f>IF(M1138=1,G1138-E1138,"")</x:f>
      </x:c>
      <x:c r="O1138" s="1" t="str">
        <x:f>IF(E1138&gt;=Reporting!$B$4,"Outside cutoff",IF(M1138=1,"Closed",IF(J1138=1,"Overdue","Open - within SLA")))</x:f>
        <x:v>Overdue</x:v>
      </x:c>
    </x:row>
    <x:row r="1139">
      <x:c r="A1139" s="14" t="str">
        <x:v>CASE-01134</x:v>
      </x:c>
      <x:c r="B1139" s="14" t="str">
        <x:v>Customer Services</x:v>
      </x:c>
      <x:c r="C1139" s="14" t="str">
        <x:v>Late review</x:v>
      </x:c>
      <x:c r="D1139" s="14" t="str">
        <x:v>Low</x:v>
      </x:c>
      <x:c r="E1139" s="15" t="n">
        <x:v>46215.666666666664</x:v>
      </x:c>
      <x:c r="F1139" s="15" t="n">
        <x:v>46229.666666666664</x:v>
      </x:c>
      <x:c r="G1139" s="15" t="n">
        <x:v>46223.666666666664</x:v>
      </x:c>
      <x:c r="H1139" s="14" t="n">
        <x:v>1</x:v>
      </x:c>
      <x:c r="I1139" s="1" t="n">
        <x:f>IF(AND(E1139&lt;Reporting!$B$4,OR(G1139="",G1139&gt;=Reporting!$B$4)),1,0)</x:f>
        <x:v>0</x:v>
      </x:c>
      <x:c r="J1139" s="1" t="n">
        <x:f>IF(AND(I1139=1,F1139&lt;Reporting!$B$4),1,0)</x:f>
        <x:v>0</x:v>
      </x:c>
      <x:c r="K1139" s="1" t="n">
        <x:f>IF(F1139&lt;Reporting!$B$4,1,0)</x:f>
        <x:v>1</x:v>
      </x:c>
      <x:c r="L1139" s="1" t="n">
        <x:f>IF(AND(K1139=1,G1139&lt;&gt;"",G1139&lt;=F1139),1,0)</x:f>
        <x:v>1</x:v>
      </x:c>
      <x:c r="M1139" s="1" t="n">
        <x:f>IF(AND(G1139&lt;&gt;"",G1139&lt;Reporting!$B$4),1,0)</x:f>
        <x:v>1</x:v>
      </x:c>
      <x:c r="N1139" s="16" t="n">
        <x:f>IF(M1139=1,G1139-E1139,"")</x:f>
        <x:v>8</x:v>
      </x:c>
      <x:c r="O1139" s="1" t="str">
        <x:f>IF(E1139&gt;=Reporting!$B$4,"Outside cutoff",IF(M1139=1,"Closed",IF(J1139=1,"Overdue","Open - within SLA")))</x:f>
        <x:v>Closed</x:v>
      </x:c>
    </x:row>
    <x:row r="1140">
      <x:c r="A1140" s="14" t="str">
        <x:v>CASE-01135</x:v>
      </x:c>
      <x:c r="B1140" s="14" t="str">
        <x:v>Customer Services</x:v>
      </x:c>
      <x:c r="C1140" s="14" t="str">
        <x:v>Missing evidence</x:v>
      </x:c>
      <x:c r="D1140" s="14" t="str">
        <x:v>Medium</x:v>
      </x:c>
      <x:c r="E1140" s="15" t="n">
        <x:v>46231.375</x:v>
      </x:c>
      <x:c r="F1140" s="15" t="n">
        <x:v>46238.375</x:v>
      </x:c>
      <x:c r="G1140" s="15"/>
      <x:c r="H1140" s="14" t="n">
        <x:v>1</x:v>
      </x:c>
      <x:c r="I1140" s="1" t="n">
        <x:f>IF(AND(E1140&lt;Reporting!$B$4,OR(G1140="",G1140&gt;=Reporting!$B$4)),1,0)</x:f>
        <x:v>1</x:v>
      </x:c>
      <x:c r="J1140" s="1" t="n">
        <x:f>IF(AND(I1140=1,F1140&lt;Reporting!$B$4),1,0)</x:f>
        <x:v>1</x:v>
      </x:c>
      <x:c r="K1140" s="1" t="n">
        <x:f>IF(F1140&lt;Reporting!$B$4,1,0)</x:f>
        <x:v>1</x:v>
      </x:c>
      <x:c r="L1140" s="1" t="n">
        <x:f>IF(AND(K1140=1,G1140&lt;&gt;"",G1140&lt;=F1140),1,0)</x:f>
        <x:v>0</x:v>
      </x:c>
      <x:c r="M1140" s="1" t="n">
        <x:f>IF(AND(G1140&lt;&gt;"",G1140&lt;Reporting!$B$4),1,0)</x:f>
        <x:v>0</x:v>
      </x:c>
      <x:c r="N1140" s="16" t="str">
        <x:f>IF(M1140=1,G1140-E1140,"")</x:f>
      </x:c>
      <x:c r="O1140" s="1" t="str">
        <x:f>IF(E1140&gt;=Reporting!$B$4,"Outside cutoff",IF(M1140=1,"Closed",IF(J1140=1,"Overdue","Open - within SLA")))</x:f>
        <x:v>Overdue</x:v>
      </x:c>
    </x:row>
    <x:row r="1141">
      <x:c r="A1141" s="14" t="str">
        <x:v>CASE-01136</x:v>
      </x:c>
      <x:c r="B1141" s="14" t="str">
        <x:v>Warehouse</x:v>
      </x:c>
      <x:c r="C1141" s="14" t="str">
        <x:v>Missing evidence</x:v>
      </x:c>
      <x:c r="D1141" s="14" t="str">
        <x:v>High</x:v>
      </x:c>
      <x:c r="E1141" s="15" t="n">
        <x:v>46203.458333333336</x:v>
      </x:c>
      <x:c r="F1141" s="15" t="n">
        <x:v>46206.458333333336</x:v>
      </x:c>
      <x:c r="G1141" s="15" t="n">
        <x:v>46204.541666666664</x:v>
      </x:c>
      <x:c r="H1141" s="14" t="n">
        <x:v>2</x:v>
      </x:c>
      <x:c r="I1141" s="1" t="n">
        <x:f>IF(AND(E1141&lt;Reporting!$B$4,OR(G1141="",G1141&gt;=Reporting!$B$4)),1,0)</x:f>
        <x:v>0</x:v>
      </x:c>
      <x:c r="J1141" s="1" t="n">
        <x:f>IF(AND(I1141=1,F1141&lt;Reporting!$B$4),1,0)</x:f>
        <x:v>0</x:v>
      </x:c>
      <x:c r="K1141" s="1" t="n">
        <x:f>IF(F1141&lt;Reporting!$B$4,1,0)</x:f>
        <x:v>1</x:v>
      </x:c>
      <x:c r="L1141" s="1" t="n">
        <x:f>IF(AND(K1141=1,G1141&lt;&gt;"",G1141&lt;=F1141),1,0)</x:f>
        <x:v>1</x:v>
      </x:c>
      <x:c r="M1141" s="1" t="n">
        <x:f>IF(AND(G1141&lt;&gt;"",G1141&lt;Reporting!$B$4),1,0)</x:f>
        <x:v>1</x:v>
      </x:c>
      <x:c r="N1141" s="16" t="n">
        <x:f>IF(M1141=1,G1141-E1141,"")</x:f>
        <x:v>1.0833333333284827</x:v>
      </x:c>
      <x:c r="O1141" s="1" t="str">
        <x:f>IF(E1141&gt;=Reporting!$B$4,"Outside cutoff",IF(M1141=1,"Closed",IF(J1141=1,"Overdue","Open - within SLA")))</x:f>
        <x:v>Closed</x:v>
      </x:c>
    </x:row>
    <x:row r="1142">
      <x:c r="A1142" s="14" t="str">
        <x:v>CASE-01137</x:v>
      </x:c>
      <x:c r="B1142" s="14" t="str">
        <x:v>Installation</x:v>
      </x:c>
      <x:c r="C1142" s="14" t="str">
        <x:v>Record mismatch</x:v>
      </x:c>
      <x:c r="D1142" s="14" t="str">
        <x:v>Medium</x:v>
      </x:c>
      <x:c r="E1142" s="15" t="n">
        <x:v>46216.541666666664</x:v>
      </x:c>
      <x:c r="F1142" s="15" t="n">
        <x:v>46223.541666666664</x:v>
      </x:c>
      <x:c r="G1142" s="15" t="n">
        <x:v>46227.625</x:v>
      </x:c>
      <x:c r="H1142" s="14" t="n">
        <x:v>3</x:v>
      </x:c>
      <x:c r="I1142" s="1" t="n">
        <x:f>IF(AND(E1142&lt;Reporting!$B$4,OR(G1142="",G1142&gt;=Reporting!$B$4)),1,0)</x:f>
        <x:v>0</x:v>
      </x:c>
      <x:c r="J1142" s="1" t="n">
        <x:f>IF(AND(I1142=1,F1142&lt;Reporting!$B$4),1,0)</x:f>
        <x:v>0</x:v>
      </x:c>
      <x:c r="K1142" s="1" t="n">
        <x:f>IF(F1142&lt;Reporting!$B$4,1,0)</x:f>
        <x:v>1</x:v>
      </x:c>
      <x:c r="L1142" s="1" t="n">
        <x:f>IF(AND(K1142=1,G1142&lt;&gt;"",G1142&lt;=F1142),1,0)</x:f>
        <x:v>0</x:v>
      </x:c>
      <x:c r="M1142" s="1" t="n">
        <x:f>IF(AND(G1142&lt;&gt;"",G1142&lt;Reporting!$B$4),1,0)</x:f>
        <x:v>1</x:v>
      </x:c>
      <x:c r="N1142" s="16" t="n">
        <x:f>IF(M1142=1,G1142-E1142,"")</x:f>
        <x:v>11.083333333335759</x:v>
      </x:c>
      <x:c r="O1142" s="1" t="str">
        <x:f>IF(E1142&gt;=Reporting!$B$4,"Outside cutoff",IF(M1142=1,"Closed",IF(J1142=1,"Overdue","Open - within SLA")))</x:f>
        <x:v>Closed</x:v>
      </x:c>
    </x:row>
    <x:row r="1143">
      <x:c r="A1143" s="14" t="str">
        <x:v>CASE-01138</x:v>
      </x:c>
      <x:c r="B1143" s="14" t="str">
        <x:v>Customer Services</x:v>
      </x:c>
      <x:c r="C1143" s="14" t="str">
        <x:v>Record mismatch</x:v>
      </x:c>
      <x:c r="D1143" s="14" t="str">
        <x:v>High</x:v>
      </x:c>
      <x:c r="E1143" s="15" t="n">
        <x:v>46262.5</x:v>
      </x:c>
      <x:c r="F1143" s="15" t="n">
        <x:v>46265.5</x:v>
      </x:c>
      <x:c r="G1143" s="15" t="n">
        <x:v>46265.5</x:v>
      </x:c>
      <x:c r="H1143" s="14" t="n">
        <x:v>1</x:v>
      </x:c>
      <x:c r="I1143" s="1" t="n">
        <x:f>IF(AND(E1143&lt;Reporting!$B$4,OR(G1143="",G1143&gt;=Reporting!$B$4)),1,0)</x:f>
        <x:v>0</x:v>
      </x:c>
      <x:c r="J1143" s="1" t="n">
        <x:f>IF(AND(I1143=1,F1143&lt;Reporting!$B$4),1,0)</x:f>
        <x:v>0</x:v>
      </x:c>
      <x:c r="K1143" s="1" t="n">
        <x:f>IF(F1143&lt;Reporting!$B$4,1,0)</x:f>
        <x:v>1</x:v>
      </x:c>
      <x:c r="L1143" s="1" t="n">
        <x:f>IF(AND(K1143=1,G1143&lt;&gt;"",G1143&lt;=F1143),1,0)</x:f>
        <x:v>1</x:v>
      </x:c>
      <x:c r="M1143" s="1" t="n">
        <x:f>IF(AND(G1143&lt;&gt;"",G1143&lt;Reporting!$B$4),1,0)</x:f>
        <x:v>1</x:v>
      </x:c>
      <x:c r="N1143" s="16" t="n">
        <x:f>IF(M1143=1,G1143-E1143,"")</x:f>
        <x:v>3</x:v>
      </x:c>
      <x:c r="O1143" s="1" t="str">
        <x:f>IF(E1143&gt;=Reporting!$B$4,"Outside cutoff",IF(M1143=1,"Closed",IF(J1143=1,"Overdue","Open - within SLA")))</x:f>
        <x:v>Closed</x:v>
      </x:c>
    </x:row>
    <x:row r="1144">
      <x:c r="A1144" s="14" t="str">
        <x:v>CASE-01139</x:v>
      </x:c>
      <x:c r="B1144" s="14" t="str">
        <x:v>Customer Services</x:v>
      </x:c>
      <x:c r="C1144" s="14" t="str">
        <x:v>Process deviation</x:v>
      </x:c>
      <x:c r="D1144" s="14" t="str">
        <x:v>Medium</x:v>
      </x:c>
      <x:c r="E1144" s="15" t="n">
        <x:v>46205.625</x:v>
      </x:c>
      <x:c r="F1144" s="15" t="n">
        <x:v>46212.625</x:v>
      </x:c>
      <x:c r="G1144" s="15" t="n">
        <x:v>46222.666666666664</x:v>
      </x:c>
      <x:c r="H1144" s="14" t="n">
        <x:v>1</x:v>
      </x:c>
      <x:c r="I1144" s="1" t="n">
        <x:f>IF(AND(E1144&lt;Reporting!$B$4,OR(G1144="",G1144&gt;=Reporting!$B$4)),1,0)</x:f>
        <x:v>0</x:v>
      </x:c>
      <x:c r="J1144" s="1" t="n">
        <x:f>IF(AND(I1144=1,F1144&lt;Reporting!$B$4),1,0)</x:f>
        <x:v>0</x:v>
      </x:c>
      <x:c r="K1144" s="1" t="n">
        <x:f>IF(F1144&lt;Reporting!$B$4,1,0)</x:f>
        <x:v>1</x:v>
      </x:c>
      <x:c r="L1144" s="1" t="n">
        <x:f>IF(AND(K1144=1,G1144&lt;&gt;"",G1144&lt;=F1144),1,0)</x:f>
        <x:v>0</x:v>
      </x:c>
      <x:c r="M1144" s="1" t="n">
        <x:f>IF(AND(G1144&lt;&gt;"",G1144&lt;Reporting!$B$4),1,0)</x:f>
        <x:v>1</x:v>
      </x:c>
      <x:c r="N1144" s="16" t="n">
        <x:f>IF(M1144=1,G1144-E1144,"")</x:f>
        <x:v>17.04166666666424</x:v>
      </x:c>
      <x:c r="O1144" s="1" t="str">
        <x:f>IF(E1144&gt;=Reporting!$B$4,"Outside cutoff",IF(M1144=1,"Closed",IF(J1144=1,"Overdue","Open - within SLA")))</x:f>
        <x:v>Closed</x:v>
      </x:c>
    </x:row>
    <x:row r="1145">
      <x:c r="A1145" s="14" t="str">
        <x:v>CASE-01140</x:v>
      </x:c>
      <x:c r="B1145" s="14" t="str">
        <x:v>Customer Services</x:v>
      </x:c>
      <x:c r="C1145" s="14" t="str">
        <x:v>Missing evidence</x:v>
      </x:c>
      <x:c r="D1145" s="14" t="str">
        <x:v>Medium</x:v>
      </x:c>
      <x:c r="E1145" s="15" t="n">
        <x:v>46285.333333333336</x:v>
      </x:c>
      <x:c r="F1145" s="15" t="n">
        <x:v>46292.333333333336</x:v>
      </x:c>
      <x:c r="G1145" s="15"/>
      <x:c r="H1145" s="14" t="n">
        <x:v>1</x:v>
      </x:c>
      <x:c r="I1145" s="1" t="n">
        <x:f>IF(AND(E1145&lt;Reporting!$B$4,OR(G1145="",G1145&gt;=Reporting!$B$4)),1,0)</x:f>
        <x:v>1</x:v>
      </x:c>
      <x:c r="J1145" s="1" t="n">
        <x:f>IF(AND(I1145=1,F1145&lt;Reporting!$B$4),1,0)</x:f>
        <x:v>0</x:v>
      </x:c>
      <x:c r="K1145" s="1" t="n">
        <x:f>IF(F1145&lt;Reporting!$B$4,1,0)</x:f>
        <x:v>0</x:v>
      </x:c>
      <x:c r="L1145" s="1" t="n">
        <x:f>IF(AND(K1145=1,G1145&lt;&gt;"",G1145&lt;=F1145),1,0)</x:f>
        <x:v>0</x:v>
      </x:c>
      <x:c r="M1145" s="1" t="n">
        <x:f>IF(AND(G1145&lt;&gt;"",G1145&lt;Reporting!$B$4),1,0)</x:f>
        <x:v>0</x:v>
      </x:c>
      <x:c r="N1145" s="16" t="str">
        <x:f>IF(M1145=1,G1145-E1145,"")</x:f>
      </x:c>
      <x:c r="O1145" s="1" t="str">
        <x:f>IF(E1145&gt;=Reporting!$B$4,"Outside cutoff",IF(M1145=1,"Closed",IF(J1145=1,"Overdue","Open - within SLA")))</x:f>
        <x:v>Open - within SLA</x:v>
      </x:c>
    </x:row>
    <x:row r="1146">
      <x:c r="A1146" s="14" t="str">
        <x:v>CASE-01141</x:v>
      </x:c>
      <x:c r="B1146" s="14" t="str">
        <x:v>Installation</x:v>
      </x:c>
      <x:c r="C1146" s="14" t="str">
        <x:v>Late review</x:v>
      </x:c>
      <x:c r="D1146" s="14" t="str">
        <x:v>Medium</x:v>
      </x:c>
      <x:c r="E1146" s="15" t="n">
        <x:v>46206.583333333336</x:v>
      </x:c>
      <x:c r="F1146" s="15" t="n">
        <x:v>46213.583333333336</x:v>
      </x:c>
      <x:c r="G1146" s="15" t="n">
        <x:v>46219.583333333336</x:v>
      </x:c>
      <x:c r="H1146" s="14" t="n">
        <x:v>3</x:v>
      </x:c>
      <x:c r="I1146" s="1" t="n">
        <x:f>IF(AND(E1146&lt;Reporting!$B$4,OR(G1146="",G1146&gt;=Reporting!$B$4)),1,0)</x:f>
        <x:v>0</x:v>
      </x:c>
      <x:c r="J1146" s="1" t="n">
        <x:f>IF(AND(I1146=1,F1146&lt;Reporting!$B$4),1,0)</x:f>
        <x:v>0</x:v>
      </x:c>
      <x:c r="K1146" s="1" t="n">
        <x:f>IF(F1146&lt;Reporting!$B$4,1,0)</x:f>
        <x:v>1</x:v>
      </x:c>
      <x:c r="L1146" s="1" t="n">
        <x:f>IF(AND(K1146=1,G1146&lt;&gt;"",G1146&lt;=F1146),1,0)</x:f>
        <x:v>0</x:v>
      </x:c>
      <x:c r="M1146" s="1" t="n">
        <x:f>IF(AND(G1146&lt;&gt;"",G1146&lt;Reporting!$B$4),1,0)</x:f>
        <x:v>1</x:v>
      </x:c>
      <x:c r="N1146" s="16" t="n">
        <x:f>IF(M1146=1,G1146-E1146,"")</x:f>
        <x:v>13</x:v>
      </x:c>
      <x:c r="O1146" s="1" t="str">
        <x:f>IF(E1146&gt;=Reporting!$B$4,"Outside cutoff",IF(M1146=1,"Closed",IF(J1146=1,"Overdue","Open - within SLA")))</x:f>
        <x:v>Closed</x:v>
      </x:c>
    </x:row>
    <x:row r="1147">
      <x:c r="A1147" s="14" t="str">
        <x:v>CASE-01142</x:v>
      </x:c>
      <x:c r="B1147" s="14" t="str">
        <x:v>Customer Services</x:v>
      </x:c>
      <x:c r="C1147" s="14" t="str">
        <x:v>Record mismatch</x:v>
      </x:c>
      <x:c r="D1147" s="14" t="str">
        <x:v>High</x:v>
      </x:c>
      <x:c r="E1147" s="15" t="n">
        <x:v>46285.666666666664</x:v>
      </x:c>
      <x:c r="F1147" s="15" t="n">
        <x:v>46288.666666666664</x:v>
      </x:c>
      <x:c r="G1147" s="15"/>
      <x:c r="H1147" s="14" t="n">
        <x:v>1</x:v>
      </x:c>
      <x:c r="I1147" s="1" t="n">
        <x:f>IF(AND(E1147&lt;Reporting!$B$4,OR(G1147="",G1147&gt;=Reporting!$B$4)),1,0)</x:f>
        <x:v>1</x:v>
      </x:c>
      <x:c r="J1147" s="1" t="n">
        <x:f>IF(AND(I1147=1,F1147&lt;Reporting!$B$4),1,0)</x:f>
        <x:v>0</x:v>
      </x:c>
      <x:c r="K1147" s="1" t="n">
        <x:f>IF(F1147&lt;Reporting!$B$4,1,0)</x:f>
        <x:v>0</x:v>
      </x:c>
      <x:c r="L1147" s="1" t="n">
        <x:f>IF(AND(K1147=1,G1147&lt;&gt;"",G1147&lt;=F1147),1,0)</x:f>
        <x:v>0</x:v>
      </x:c>
      <x:c r="M1147" s="1" t="n">
        <x:f>IF(AND(G1147&lt;&gt;"",G1147&lt;Reporting!$B$4),1,0)</x:f>
        <x:v>0</x:v>
      </x:c>
      <x:c r="N1147" s="16" t="str">
        <x:f>IF(M1147=1,G1147-E1147,"")</x:f>
      </x:c>
      <x:c r="O1147" s="1" t="str">
        <x:f>IF(E1147&gt;=Reporting!$B$4,"Outside cutoff",IF(M1147=1,"Closed",IF(J1147=1,"Overdue","Open - within SLA")))</x:f>
        <x:v>Open - within SLA</x:v>
      </x:c>
    </x:row>
    <x:row r="1148">
      <x:c r="A1148" s="14" t="str">
        <x:v>CASE-01143</x:v>
      </x:c>
      <x:c r="B1148" s="14" t="str">
        <x:v>Customer Services</x:v>
      </x:c>
      <x:c r="C1148" s="14" t="str">
        <x:v>Process deviation</x:v>
      </x:c>
      <x:c r="D1148" s="14" t="str">
        <x:v>Medium</x:v>
      </x:c>
      <x:c r="E1148" s="15" t="n">
        <x:v>46233.583333333336</x:v>
      </x:c>
      <x:c r="F1148" s="15" t="n">
        <x:v>46240.583333333336</x:v>
      </x:c>
      <x:c r="G1148" s="15" t="n">
        <x:v>46238.583333333336</x:v>
      </x:c>
      <x:c r="H1148" s="14" t="n">
        <x:v>1</x:v>
      </x:c>
      <x:c r="I1148" s="1" t="n">
        <x:f>IF(AND(E1148&lt;Reporting!$B$4,OR(G1148="",G1148&gt;=Reporting!$B$4)),1,0)</x:f>
        <x:v>0</x:v>
      </x:c>
      <x:c r="J1148" s="1" t="n">
        <x:f>IF(AND(I1148=1,F1148&lt;Reporting!$B$4),1,0)</x:f>
        <x:v>0</x:v>
      </x:c>
      <x:c r="K1148" s="1" t="n">
        <x:f>IF(F1148&lt;Reporting!$B$4,1,0)</x:f>
        <x:v>1</x:v>
      </x:c>
      <x:c r="L1148" s="1" t="n">
        <x:f>IF(AND(K1148=1,G1148&lt;&gt;"",G1148&lt;=F1148),1,0)</x:f>
        <x:v>1</x:v>
      </x:c>
      <x:c r="M1148" s="1" t="n">
        <x:f>IF(AND(G1148&lt;&gt;"",G1148&lt;Reporting!$B$4),1,0)</x:f>
        <x:v>1</x:v>
      </x:c>
      <x:c r="N1148" s="16" t="n">
        <x:f>IF(M1148=1,G1148-E1148,"")</x:f>
        <x:v>5</x:v>
      </x:c>
      <x:c r="O1148" s="1" t="str">
        <x:f>IF(E1148&gt;=Reporting!$B$4,"Outside cutoff",IF(M1148=1,"Closed",IF(J1148=1,"Overdue","Open - within SLA")))</x:f>
        <x:v>Closed</x:v>
      </x:c>
    </x:row>
    <x:row r="1149">
      <x:c r="A1149" s="14" t="str">
        <x:v>CASE-01144</x:v>
      </x:c>
      <x:c r="B1149" s="14" t="str">
        <x:v>Warehouse</x:v>
      </x:c>
      <x:c r="C1149" s="14" t="str">
        <x:v>Process deviation</x:v>
      </x:c>
      <x:c r="D1149" s="14" t="str">
        <x:v>Medium</x:v>
      </x:c>
      <x:c r="E1149" s="15" t="n">
        <x:v>46241.416666666664</x:v>
      </x:c>
      <x:c r="F1149" s="15" t="n">
        <x:v>46248.416666666664</x:v>
      </x:c>
      <x:c r="G1149" s="15" t="n">
        <x:v>46258.458333333336</x:v>
      </x:c>
      <x:c r="H1149" s="14" t="n">
        <x:v>2</x:v>
      </x:c>
      <x:c r="I1149" s="1" t="n">
        <x:f>IF(AND(E1149&lt;Reporting!$B$4,OR(G1149="",G1149&gt;=Reporting!$B$4)),1,0)</x:f>
        <x:v>0</x:v>
      </x:c>
      <x:c r="J1149" s="1" t="n">
        <x:f>IF(AND(I1149=1,F1149&lt;Reporting!$B$4),1,0)</x:f>
        <x:v>0</x:v>
      </x:c>
      <x:c r="K1149" s="1" t="n">
        <x:f>IF(F1149&lt;Reporting!$B$4,1,0)</x:f>
        <x:v>1</x:v>
      </x:c>
      <x:c r="L1149" s="1" t="n">
        <x:f>IF(AND(K1149=1,G1149&lt;&gt;"",G1149&lt;=F1149),1,0)</x:f>
        <x:v>0</x:v>
      </x:c>
      <x:c r="M1149" s="1" t="n">
        <x:f>IF(AND(G1149&lt;&gt;"",G1149&lt;Reporting!$B$4),1,0)</x:f>
        <x:v>1</x:v>
      </x:c>
      <x:c r="N1149" s="16" t="n">
        <x:f>IF(M1149=1,G1149-E1149,"")</x:f>
        <x:v>17.041666666671517</x:v>
      </x:c>
      <x:c r="O1149" s="1" t="str">
        <x:f>IF(E1149&gt;=Reporting!$B$4,"Outside cutoff",IF(M1149=1,"Closed",IF(J1149=1,"Overdue","Open - within SLA")))</x:f>
        <x:v>Closed</x:v>
      </x:c>
    </x:row>
    <x:row r="1150">
      <x:c r="A1150" s="14" t="str">
        <x:v>CASE-01145</x:v>
      </x:c>
      <x:c r="B1150" s="14" t="str">
        <x:v>Customer Services</x:v>
      </x:c>
      <x:c r="C1150" s="14" t="str">
        <x:v>Record mismatch</x:v>
      </x:c>
      <x:c r="D1150" s="14" t="str">
        <x:v>High</x:v>
      </x:c>
      <x:c r="E1150" s="15" t="n">
        <x:v>46240.666666666664</x:v>
      </x:c>
      <x:c r="F1150" s="15" t="n">
        <x:v>46243.666666666664</x:v>
      </x:c>
      <x:c r="G1150" s="15" t="n">
        <x:v>46247.75</x:v>
      </x:c>
      <x:c r="H1150" s="14" t="n">
        <x:v>1</x:v>
      </x:c>
      <x:c r="I1150" s="1" t="n">
        <x:f>IF(AND(E1150&lt;Reporting!$B$4,OR(G1150="",G1150&gt;=Reporting!$B$4)),1,0)</x:f>
        <x:v>0</x:v>
      </x:c>
      <x:c r="J1150" s="1" t="n">
        <x:f>IF(AND(I1150=1,F1150&lt;Reporting!$B$4),1,0)</x:f>
        <x:v>0</x:v>
      </x:c>
      <x:c r="K1150" s="1" t="n">
        <x:f>IF(F1150&lt;Reporting!$B$4,1,0)</x:f>
        <x:v>1</x:v>
      </x:c>
      <x:c r="L1150" s="1" t="n">
        <x:f>IF(AND(K1150=1,G1150&lt;&gt;"",G1150&lt;=F1150),1,0)</x:f>
        <x:v>0</x:v>
      </x:c>
      <x:c r="M1150" s="1" t="n">
        <x:f>IF(AND(G1150&lt;&gt;"",G1150&lt;Reporting!$B$4),1,0)</x:f>
        <x:v>1</x:v>
      </x:c>
      <x:c r="N1150" s="16" t="n">
        <x:f>IF(M1150=1,G1150-E1150,"")</x:f>
        <x:v>7.083333333335759</x:v>
      </x:c>
      <x:c r="O1150" s="1" t="str">
        <x:f>IF(E1150&gt;=Reporting!$B$4,"Outside cutoff",IF(M1150=1,"Closed",IF(J1150=1,"Overdue","Open - within SLA")))</x:f>
        <x:v>Closed</x:v>
      </x:c>
    </x:row>
    <x:row r="1151">
      <x:c r="A1151" s="14" t="str">
        <x:v>CASE-01146</x:v>
      </x:c>
      <x:c r="B1151" s="14" t="str">
        <x:v>Customer Services</x:v>
      </x:c>
      <x:c r="C1151" s="14" t="str">
        <x:v>Record mismatch</x:v>
      </x:c>
      <x:c r="D1151" s="14" t="str">
        <x:v>Low</x:v>
      </x:c>
      <x:c r="E1151" s="15" t="n">
        <x:v>46259.375</x:v>
      </x:c>
      <x:c r="F1151" s="15" t="n">
        <x:v>46273.375</x:v>
      </x:c>
      <x:c r="G1151" s="15" t="n">
        <x:v>46264.458333333336</x:v>
      </x:c>
      <x:c r="H1151" s="14" t="n">
        <x:v>1</x:v>
      </x:c>
      <x:c r="I1151" s="1" t="n">
        <x:f>IF(AND(E1151&lt;Reporting!$B$4,OR(G1151="",G1151&gt;=Reporting!$B$4)),1,0)</x:f>
        <x:v>0</x:v>
      </x:c>
      <x:c r="J1151" s="1" t="n">
        <x:f>IF(AND(I1151=1,F1151&lt;Reporting!$B$4),1,0)</x:f>
        <x:v>0</x:v>
      </x:c>
      <x:c r="K1151" s="1" t="n">
        <x:f>IF(F1151&lt;Reporting!$B$4,1,0)</x:f>
        <x:v>1</x:v>
      </x:c>
      <x:c r="L1151" s="1" t="n">
        <x:f>IF(AND(K1151=1,G1151&lt;&gt;"",G1151&lt;=F1151),1,0)</x:f>
        <x:v>1</x:v>
      </x:c>
      <x:c r="M1151" s="1" t="n">
        <x:f>IF(AND(G1151&lt;&gt;"",G1151&lt;Reporting!$B$4),1,0)</x:f>
        <x:v>1</x:v>
      </x:c>
      <x:c r="N1151" s="16" t="n">
        <x:f>IF(M1151=1,G1151-E1151,"")</x:f>
        <x:v>5.083333333335759</x:v>
      </x:c>
      <x:c r="O1151" s="1" t="str">
        <x:f>IF(E1151&gt;=Reporting!$B$4,"Outside cutoff",IF(M1151=1,"Closed",IF(J1151=1,"Overdue","Open - within SLA")))</x:f>
        <x:v>Closed</x:v>
      </x:c>
    </x:row>
    <x:row r="1152">
      <x:c r="A1152" s="14" t="str">
        <x:v>CASE-01147</x:v>
      </x:c>
      <x:c r="B1152" s="14" t="str">
        <x:v>Warehouse</x:v>
      </x:c>
      <x:c r="C1152" s="14" t="str">
        <x:v>Record mismatch</x:v>
      </x:c>
      <x:c r="D1152" s="14" t="str">
        <x:v>Low</x:v>
      </x:c>
      <x:c r="E1152" s="15" t="n">
        <x:v>46271.458333333336</x:v>
      </x:c>
      <x:c r="F1152" s="15" t="n">
        <x:v>46285.458333333336</x:v>
      </x:c>
      <x:c r="G1152" s="15"/>
      <x:c r="H1152" s="14" t="n">
        <x:v>2</x:v>
      </x:c>
      <x:c r="I1152" s="1" t="n">
        <x:f>IF(AND(E1152&lt;Reporting!$B$4,OR(G1152="",G1152&gt;=Reporting!$B$4)),1,0)</x:f>
        <x:v>1</x:v>
      </x:c>
      <x:c r="J1152" s="1" t="n">
        <x:f>IF(AND(I1152=1,F1152&lt;Reporting!$B$4),1,0)</x:f>
        <x:v>1</x:v>
      </x:c>
      <x:c r="K1152" s="1" t="n">
        <x:f>IF(F1152&lt;Reporting!$B$4,1,0)</x:f>
        <x:v>1</x:v>
      </x:c>
      <x:c r="L1152" s="1" t="n">
        <x:f>IF(AND(K1152=1,G1152&lt;&gt;"",G1152&lt;=F1152),1,0)</x:f>
        <x:v>0</x:v>
      </x:c>
      <x:c r="M1152" s="1" t="n">
        <x:f>IF(AND(G1152&lt;&gt;"",G1152&lt;Reporting!$B$4),1,0)</x:f>
        <x:v>0</x:v>
      </x:c>
      <x:c r="N1152" s="16" t="str">
        <x:f>IF(M1152=1,G1152-E1152,"")</x:f>
      </x:c>
      <x:c r="O1152" s="1" t="str">
        <x:f>IF(E1152&gt;=Reporting!$B$4,"Outside cutoff",IF(M1152=1,"Closed",IF(J1152=1,"Overdue","Open - within SLA")))</x:f>
        <x:v>Overdue</x:v>
      </x:c>
    </x:row>
    <x:row r="1153">
      <x:c r="A1153" s="14" t="str">
        <x:v>CASE-01148</x:v>
      </x:c>
      <x:c r="B1153" s="14" t="str">
        <x:v>Warehouse</x:v>
      </x:c>
      <x:c r="C1153" s="14" t="str">
        <x:v>Record mismatch</x:v>
      </x:c>
      <x:c r="D1153" s="14" t="str">
        <x:v>Medium</x:v>
      </x:c>
      <x:c r="E1153" s="15" t="n">
        <x:v>46216.458333333336</x:v>
      </x:c>
      <x:c r="F1153" s="15" t="n">
        <x:v>46223.458333333336</x:v>
      </x:c>
      <x:c r="G1153" s="15" t="n">
        <x:v>46228.5</x:v>
      </x:c>
      <x:c r="H1153" s="14" t="n">
        <x:v>2</x:v>
      </x:c>
      <x:c r="I1153" s="1" t="n">
        <x:f>IF(AND(E1153&lt;Reporting!$B$4,OR(G1153="",G1153&gt;=Reporting!$B$4)),1,0)</x:f>
        <x:v>0</x:v>
      </x:c>
      <x:c r="J1153" s="1" t="n">
        <x:f>IF(AND(I1153=1,F1153&lt;Reporting!$B$4),1,0)</x:f>
        <x:v>0</x:v>
      </x:c>
      <x:c r="K1153" s="1" t="n">
        <x:f>IF(F1153&lt;Reporting!$B$4,1,0)</x:f>
        <x:v>1</x:v>
      </x:c>
      <x:c r="L1153" s="1" t="n">
        <x:f>IF(AND(K1153=1,G1153&lt;&gt;"",G1153&lt;=F1153),1,0)</x:f>
        <x:v>0</x:v>
      </x:c>
      <x:c r="M1153" s="1" t="n">
        <x:f>IF(AND(G1153&lt;&gt;"",G1153&lt;Reporting!$B$4),1,0)</x:f>
        <x:v>1</x:v>
      </x:c>
      <x:c r="N1153" s="16" t="n">
        <x:f>IF(M1153=1,G1153-E1153,"")</x:f>
        <x:v>12.041666666664241</x:v>
      </x:c>
      <x:c r="O1153" s="1" t="str">
        <x:f>IF(E1153&gt;=Reporting!$B$4,"Outside cutoff",IF(M1153=1,"Closed",IF(J1153=1,"Overdue","Open - within SLA")))</x:f>
        <x:v>Closed</x:v>
      </x:c>
    </x:row>
    <x:row r="1154">
      <x:c r="A1154" s="14" t="str">
        <x:v>CASE-01149</x:v>
      </x:c>
      <x:c r="B1154" s="14" t="str">
        <x:v>Warehouse</x:v>
      </x:c>
      <x:c r="C1154" s="14" t="str">
        <x:v>Missing evidence</x:v>
      </x:c>
      <x:c r="D1154" s="14" t="str">
        <x:v>Medium</x:v>
      </x:c>
      <x:c r="E1154" s="15" t="n">
        <x:v>46260.375</x:v>
      </x:c>
      <x:c r="F1154" s="15" t="n">
        <x:v>46267.375</x:v>
      </x:c>
      <x:c r="G1154" s="15" t="n">
        <x:v>46282.416666666664</x:v>
      </x:c>
      <x:c r="H1154" s="14" t="n">
        <x:v>2</x:v>
      </x:c>
      <x:c r="I1154" s="1" t="n">
        <x:f>IF(AND(E1154&lt;Reporting!$B$4,OR(G1154="",G1154&gt;=Reporting!$B$4)),1,0)</x:f>
        <x:v>0</x:v>
      </x:c>
      <x:c r="J1154" s="1" t="n">
        <x:f>IF(AND(I1154=1,F1154&lt;Reporting!$B$4),1,0)</x:f>
        <x:v>0</x:v>
      </x:c>
      <x:c r="K1154" s="1" t="n">
        <x:f>IF(F1154&lt;Reporting!$B$4,1,0)</x:f>
        <x:v>1</x:v>
      </x:c>
      <x:c r="L1154" s="1" t="n">
        <x:f>IF(AND(K1154=1,G1154&lt;&gt;"",G1154&lt;=F1154),1,0)</x:f>
        <x:v>0</x:v>
      </x:c>
      <x:c r="M1154" s="1" t="n">
        <x:f>IF(AND(G1154&lt;&gt;"",G1154&lt;Reporting!$B$4),1,0)</x:f>
        <x:v>1</x:v>
      </x:c>
      <x:c r="N1154" s="16" t="n">
        <x:f>IF(M1154=1,G1154-E1154,"")</x:f>
        <x:v>22.04166666666424</x:v>
      </x:c>
      <x:c r="O1154" s="1" t="str">
        <x:f>IF(E1154&gt;=Reporting!$B$4,"Outside cutoff",IF(M1154=1,"Closed",IF(J1154=1,"Overdue","Open - within SLA")))</x:f>
        <x:v>Closed</x:v>
      </x:c>
    </x:row>
    <x:row r="1155">
      <x:c r="A1155" s="14" t="str">
        <x:v>CASE-01150</x:v>
      </x:c>
      <x:c r="B1155" s="14" t="str">
        <x:v>Installation</x:v>
      </x:c>
      <x:c r="C1155" s="14" t="str">
        <x:v>Process deviation</x:v>
      </x:c>
      <x:c r="D1155" s="14" t="str">
        <x:v>Low</x:v>
      </x:c>
      <x:c r="E1155" s="15" t="n">
        <x:v>46202.5</x:v>
      </x:c>
      <x:c r="F1155" s="15" t="n">
        <x:v>46216.5</x:v>
      </x:c>
      <x:c r="G1155" s="15" t="n">
        <x:v>46220.541666666664</x:v>
      </x:c>
      <x:c r="H1155" s="14" t="n">
        <x:v>3</x:v>
      </x:c>
      <x:c r="I1155" s="1" t="n">
        <x:f>IF(AND(E1155&lt;Reporting!$B$4,OR(G1155="",G1155&gt;=Reporting!$B$4)),1,0)</x:f>
        <x:v>0</x:v>
      </x:c>
      <x:c r="J1155" s="1" t="n">
        <x:f>IF(AND(I1155=1,F1155&lt;Reporting!$B$4),1,0)</x:f>
        <x:v>0</x:v>
      </x:c>
      <x:c r="K1155" s="1" t="n">
        <x:f>IF(F1155&lt;Reporting!$B$4,1,0)</x:f>
        <x:v>1</x:v>
      </x:c>
      <x:c r="L1155" s="1" t="n">
        <x:f>IF(AND(K1155=1,G1155&lt;&gt;"",G1155&lt;=F1155),1,0)</x:f>
        <x:v>0</x:v>
      </x:c>
      <x:c r="M1155" s="1" t="n">
        <x:f>IF(AND(G1155&lt;&gt;"",G1155&lt;Reporting!$B$4),1,0)</x:f>
        <x:v>1</x:v>
      </x:c>
      <x:c r="N1155" s="16" t="n">
        <x:f>IF(M1155=1,G1155-E1155,"")</x:f>
        <x:v>18.04166666666424</x:v>
      </x:c>
      <x:c r="O1155" s="1" t="str">
        <x:f>IF(E1155&gt;=Reporting!$B$4,"Outside cutoff",IF(M1155=1,"Closed",IF(J1155=1,"Overdue","Open - within SLA")))</x:f>
        <x:v>Closed</x:v>
      </x:c>
    </x:row>
    <x:row r="1156">
      <x:c r="A1156" s="14" t="str">
        <x:v>CASE-01151</x:v>
      </x:c>
      <x:c r="B1156" s="14" t="str">
        <x:v>Installation</x:v>
      </x:c>
      <x:c r="C1156" s="14" t="str">
        <x:v>Late review</x:v>
      </x:c>
      <x:c r="D1156" s="14" t="str">
        <x:v>High</x:v>
      </x:c>
      <x:c r="E1156" s="15" t="n">
        <x:v>46261.375</x:v>
      </x:c>
      <x:c r="F1156" s="15" t="n">
        <x:v>46264.375</x:v>
      </x:c>
      <x:c r="G1156" s="15"/>
      <x:c r="H1156" s="14" t="n">
        <x:v>3</x:v>
      </x:c>
      <x:c r="I1156" s="1" t="n">
        <x:f>IF(AND(E1156&lt;Reporting!$B$4,OR(G1156="",G1156&gt;=Reporting!$B$4)),1,0)</x:f>
        <x:v>1</x:v>
      </x:c>
      <x:c r="J1156" s="1" t="n">
        <x:f>IF(AND(I1156=1,F1156&lt;Reporting!$B$4),1,0)</x:f>
        <x:v>1</x:v>
      </x:c>
      <x:c r="K1156" s="1" t="n">
        <x:f>IF(F1156&lt;Reporting!$B$4,1,0)</x:f>
        <x:v>1</x:v>
      </x:c>
      <x:c r="L1156" s="1" t="n">
        <x:f>IF(AND(K1156=1,G1156&lt;&gt;"",G1156&lt;=F1156),1,0)</x:f>
        <x:v>0</x:v>
      </x:c>
      <x:c r="M1156" s="1" t="n">
        <x:f>IF(AND(G1156&lt;&gt;"",G1156&lt;Reporting!$B$4),1,0)</x:f>
        <x:v>0</x:v>
      </x:c>
      <x:c r="N1156" s="16" t="str">
        <x:f>IF(M1156=1,G1156-E1156,"")</x:f>
      </x:c>
      <x:c r="O1156" s="1" t="str">
        <x:f>IF(E1156&gt;=Reporting!$B$4,"Outside cutoff",IF(M1156=1,"Closed",IF(J1156=1,"Overdue","Open - within SLA")))</x:f>
        <x:v>Overdue</x:v>
      </x:c>
    </x:row>
    <x:row r="1157">
      <x:c r="A1157" s="14" t="str">
        <x:v>CASE-01152</x:v>
      </x:c>
      <x:c r="B1157" s="14" t="str">
        <x:v>Installation</x:v>
      </x:c>
      <x:c r="C1157" s="14" t="str">
        <x:v>Missing evidence</x:v>
      </x:c>
      <x:c r="D1157" s="14" t="str">
        <x:v>Medium</x:v>
      </x:c>
      <x:c r="E1157" s="15" t="n">
        <x:v>46240.375</x:v>
      </x:c>
      <x:c r="F1157" s="15" t="n">
        <x:v>46247.375</x:v>
      </x:c>
      <x:c r="G1157" s="15" t="n">
        <x:v>46247.375</x:v>
      </x:c>
      <x:c r="H1157" s="14" t="n">
        <x:v>3</x:v>
      </x:c>
      <x:c r="I1157" s="1" t="n">
        <x:f>IF(AND(E1157&lt;Reporting!$B$4,OR(G1157="",G1157&gt;=Reporting!$B$4)),1,0)</x:f>
        <x:v>0</x:v>
      </x:c>
      <x:c r="J1157" s="1" t="n">
        <x:f>IF(AND(I1157=1,F1157&lt;Reporting!$B$4),1,0)</x:f>
        <x:v>0</x:v>
      </x:c>
      <x:c r="K1157" s="1" t="n">
        <x:f>IF(F1157&lt;Reporting!$B$4,1,0)</x:f>
        <x:v>1</x:v>
      </x:c>
      <x:c r="L1157" s="1" t="n">
        <x:f>IF(AND(K1157=1,G1157&lt;&gt;"",G1157&lt;=F1157),1,0)</x:f>
        <x:v>1</x:v>
      </x:c>
      <x:c r="M1157" s="1" t="n">
        <x:f>IF(AND(G1157&lt;&gt;"",G1157&lt;Reporting!$B$4),1,0)</x:f>
        <x:v>1</x:v>
      </x:c>
      <x:c r="N1157" s="16" t="n">
        <x:f>IF(M1157=1,G1157-E1157,"")</x:f>
        <x:v>7</x:v>
      </x:c>
      <x:c r="O1157" s="1" t="str">
        <x:f>IF(E1157&gt;=Reporting!$B$4,"Outside cutoff",IF(M1157=1,"Closed",IF(J1157=1,"Overdue","Open - within SLA")))</x:f>
        <x:v>Closed</x:v>
      </x:c>
    </x:row>
    <x:row r="1158">
      <x:c r="A1158" s="14" t="str">
        <x:v>CASE-01153</x:v>
      </x:c>
      <x:c r="B1158" s="14" t="str">
        <x:v>Customer Services</x:v>
      </x:c>
      <x:c r="C1158" s="14" t="str">
        <x:v>Missing evidence</x:v>
      </x:c>
      <x:c r="D1158" s="14" t="str">
        <x:v>Low</x:v>
      </x:c>
      <x:c r="E1158" s="15" t="n">
        <x:v>46268.333333333336</x:v>
      </x:c>
      <x:c r="F1158" s="15" t="n">
        <x:v>46282.333333333336</x:v>
      </x:c>
      <x:c r="G1158" s="15"/>
      <x:c r="H1158" s="14" t="n">
        <x:v>1</x:v>
      </x:c>
      <x:c r="I1158" s="1" t="n">
        <x:f>IF(AND(E1158&lt;Reporting!$B$4,OR(G1158="",G1158&gt;=Reporting!$B$4)),1,0)</x:f>
        <x:v>1</x:v>
      </x:c>
      <x:c r="J1158" s="1" t="n">
        <x:f>IF(AND(I1158=1,F1158&lt;Reporting!$B$4),1,0)</x:f>
        <x:v>1</x:v>
      </x:c>
      <x:c r="K1158" s="1" t="n">
        <x:f>IF(F1158&lt;Reporting!$B$4,1,0)</x:f>
        <x:v>1</x:v>
      </x:c>
      <x:c r="L1158" s="1" t="n">
        <x:f>IF(AND(K1158=1,G1158&lt;&gt;"",G1158&lt;=F1158),1,0)</x:f>
        <x:v>0</x:v>
      </x:c>
      <x:c r="M1158" s="1" t="n">
        <x:f>IF(AND(G1158&lt;&gt;"",G1158&lt;Reporting!$B$4),1,0)</x:f>
        <x:v>0</x:v>
      </x:c>
      <x:c r="N1158" s="16" t="str">
        <x:f>IF(M1158=1,G1158-E1158,"")</x:f>
      </x:c>
      <x:c r="O1158" s="1" t="str">
        <x:f>IF(E1158&gt;=Reporting!$B$4,"Outside cutoff",IF(M1158=1,"Closed",IF(J1158=1,"Overdue","Open - within SLA")))</x:f>
        <x:v>Overdue</x:v>
      </x:c>
    </x:row>
    <x:row r="1159">
      <x:c r="A1159" s="14" t="str">
        <x:v>CASE-01154</x:v>
      </x:c>
      <x:c r="B1159" s="14" t="str">
        <x:v>Warehouse</x:v>
      </x:c>
      <x:c r="C1159" s="14" t="str">
        <x:v>Late review</x:v>
      </x:c>
      <x:c r="D1159" s="14" t="str">
        <x:v>Low</x:v>
      </x:c>
      <x:c r="E1159" s="15" t="n">
        <x:v>46265.666666666664</x:v>
      </x:c>
      <x:c r="F1159" s="15" t="n">
        <x:v>46279.666666666664</x:v>
      </x:c>
      <x:c r="G1159" s="15"/>
      <x:c r="H1159" s="14" t="n">
        <x:v>2</x:v>
      </x:c>
      <x:c r="I1159" s="1" t="n">
        <x:f>IF(AND(E1159&lt;Reporting!$B$4,OR(G1159="",G1159&gt;=Reporting!$B$4)),1,0)</x:f>
        <x:v>1</x:v>
      </x:c>
      <x:c r="J1159" s="1" t="n">
        <x:f>IF(AND(I1159=1,F1159&lt;Reporting!$B$4),1,0)</x:f>
        <x:v>1</x:v>
      </x:c>
      <x:c r="K1159" s="1" t="n">
        <x:f>IF(F1159&lt;Reporting!$B$4,1,0)</x:f>
        <x:v>1</x:v>
      </x:c>
      <x:c r="L1159" s="1" t="n">
        <x:f>IF(AND(K1159=1,G1159&lt;&gt;"",G1159&lt;=F1159),1,0)</x:f>
        <x:v>0</x:v>
      </x:c>
      <x:c r="M1159" s="1" t="n">
        <x:f>IF(AND(G1159&lt;&gt;"",G1159&lt;Reporting!$B$4),1,0)</x:f>
        <x:v>0</x:v>
      </x:c>
      <x:c r="N1159" s="16" t="str">
        <x:f>IF(M1159=1,G1159-E1159,"")</x:f>
      </x:c>
      <x:c r="O1159" s="1" t="str">
        <x:f>IF(E1159&gt;=Reporting!$B$4,"Outside cutoff",IF(M1159=1,"Closed",IF(J1159=1,"Overdue","Open - within SLA")))</x:f>
        <x:v>Overdue</x:v>
      </x:c>
    </x:row>
    <x:row r="1160">
      <x:c r="A1160" s="14" t="str">
        <x:v>CASE-01155</x:v>
      </x:c>
      <x:c r="B1160" s="14" t="str">
        <x:v>Warehouse</x:v>
      </x:c>
      <x:c r="C1160" s="14" t="str">
        <x:v>Process deviation</x:v>
      </x:c>
      <x:c r="D1160" s="14" t="str">
        <x:v>Medium</x:v>
      </x:c>
      <x:c r="E1160" s="15" t="n">
        <x:v>46259.333333333336</x:v>
      </x:c>
      <x:c r="F1160" s="15" t="n">
        <x:v>46266.333333333336</x:v>
      </x:c>
      <x:c r="G1160" s="15" t="n">
        <x:v>46280.375</x:v>
      </x:c>
      <x:c r="H1160" s="14" t="n">
        <x:v>2</x:v>
      </x:c>
      <x:c r="I1160" s="1" t="n">
        <x:f>IF(AND(E1160&lt;Reporting!$B$4,OR(G1160="",G1160&gt;=Reporting!$B$4)),1,0)</x:f>
        <x:v>0</x:v>
      </x:c>
      <x:c r="J1160" s="1" t="n">
        <x:f>IF(AND(I1160=1,F1160&lt;Reporting!$B$4),1,0)</x:f>
        <x:v>0</x:v>
      </x:c>
      <x:c r="K1160" s="1" t="n">
        <x:f>IF(F1160&lt;Reporting!$B$4,1,0)</x:f>
        <x:v>1</x:v>
      </x:c>
      <x:c r="L1160" s="1" t="n">
        <x:f>IF(AND(K1160=1,G1160&lt;&gt;"",G1160&lt;=F1160),1,0)</x:f>
        <x:v>0</x:v>
      </x:c>
      <x:c r="M1160" s="1" t="n">
        <x:f>IF(AND(G1160&lt;&gt;"",G1160&lt;Reporting!$B$4),1,0)</x:f>
        <x:v>1</x:v>
      </x:c>
      <x:c r="N1160" s="16" t="n">
        <x:f>IF(M1160=1,G1160-E1160,"")</x:f>
        <x:v>21.04166666666424</x:v>
      </x:c>
      <x:c r="O1160" s="1" t="str">
        <x:f>IF(E1160&gt;=Reporting!$B$4,"Outside cutoff",IF(M1160=1,"Closed",IF(J1160=1,"Overdue","Open - within SLA")))</x:f>
        <x:v>Closed</x:v>
      </x:c>
    </x:row>
    <x:row r="1161">
      <x:c r="A1161" s="14" t="str">
        <x:v>CASE-01156</x:v>
      </x:c>
      <x:c r="B1161" s="14" t="str">
        <x:v>Installation</x:v>
      </x:c>
      <x:c r="C1161" s="14" t="str">
        <x:v>Missing evidence</x:v>
      </x:c>
      <x:c r="D1161" s="14" t="str">
        <x:v>Low</x:v>
      </x:c>
      <x:c r="E1161" s="15" t="n">
        <x:v>46220.458333333336</x:v>
      </x:c>
      <x:c r="F1161" s="15" t="n">
        <x:v>46234.458333333336</x:v>
      </x:c>
      <x:c r="G1161" s="15" t="n">
        <x:v>46224.541666666664</x:v>
      </x:c>
      <x:c r="H1161" s="14" t="n">
        <x:v>3</x:v>
      </x:c>
      <x:c r="I1161" s="1" t="n">
        <x:f>IF(AND(E1161&lt;Reporting!$B$4,OR(G1161="",G1161&gt;=Reporting!$B$4)),1,0)</x:f>
        <x:v>0</x:v>
      </x:c>
      <x:c r="J1161" s="1" t="n">
        <x:f>IF(AND(I1161=1,F1161&lt;Reporting!$B$4),1,0)</x:f>
        <x:v>0</x:v>
      </x:c>
      <x:c r="K1161" s="1" t="n">
        <x:f>IF(F1161&lt;Reporting!$B$4,1,0)</x:f>
        <x:v>1</x:v>
      </x:c>
      <x:c r="L1161" s="1" t="n">
        <x:f>IF(AND(K1161=1,G1161&lt;&gt;"",G1161&lt;=F1161),1,0)</x:f>
        <x:v>1</x:v>
      </x:c>
      <x:c r="M1161" s="1" t="n">
        <x:f>IF(AND(G1161&lt;&gt;"",G1161&lt;Reporting!$B$4),1,0)</x:f>
        <x:v>1</x:v>
      </x:c>
      <x:c r="N1161" s="16" t="n">
        <x:f>IF(M1161=1,G1161-E1161,"")</x:f>
        <x:v>4.083333333328483</x:v>
      </x:c>
      <x:c r="O1161" s="1" t="str">
        <x:f>IF(E1161&gt;=Reporting!$B$4,"Outside cutoff",IF(M1161=1,"Closed",IF(J1161=1,"Overdue","Open - within SLA")))</x:f>
        <x:v>Closed</x:v>
      </x:c>
    </x:row>
    <x:row r="1162">
      <x:c r="A1162" s="14" t="str">
        <x:v>CASE-01157</x:v>
      </x:c>
      <x:c r="B1162" s="14" t="str">
        <x:v>Warehouse</x:v>
      </x:c>
      <x:c r="C1162" s="14" t="str">
        <x:v>Missing evidence</x:v>
      </x:c>
      <x:c r="D1162" s="14" t="str">
        <x:v>High</x:v>
      </x:c>
      <x:c r="E1162" s="15" t="n">
        <x:v>46275.583333333336</x:v>
      </x:c>
      <x:c r="F1162" s="15" t="n">
        <x:v>46278.583333333336</x:v>
      </x:c>
      <x:c r="G1162" s="15"/>
      <x:c r="H1162" s="14" t="n">
        <x:v>2</x:v>
      </x:c>
      <x:c r="I1162" s="1" t="n">
        <x:f>IF(AND(E1162&lt;Reporting!$B$4,OR(G1162="",G1162&gt;=Reporting!$B$4)),1,0)</x:f>
        <x:v>1</x:v>
      </x:c>
      <x:c r="J1162" s="1" t="n">
        <x:f>IF(AND(I1162=1,F1162&lt;Reporting!$B$4),1,0)</x:f>
        <x:v>1</x:v>
      </x:c>
      <x:c r="K1162" s="1" t="n">
        <x:f>IF(F1162&lt;Reporting!$B$4,1,0)</x:f>
        <x:v>1</x:v>
      </x:c>
      <x:c r="L1162" s="1" t="n">
        <x:f>IF(AND(K1162=1,G1162&lt;&gt;"",G1162&lt;=F1162),1,0)</x:f>
        <x:v>0</x:v>
      </x:c>
      <x:c r="M1162" s="1" t="n">
        <x:f>IF(AND(G1162&lt;&gt;"",G1162&lt;Reporting!$B$4),1,0)</x:f>
        <x:v>0</x:v>
      </x:c>
      <x:c r="N1162" s="16" t="str">
        <x:f>IF(M1162=1,G1162-E1162,"")</x:f>
      </x:c>
      <x:c r="O1162" s="1" t="str">
        <x:f>IF(E1162&gt;=Reporting!$B$4,"Outside cutoff",IF(M1162=1,"Closed",IF(J1162=1,"Overdue","Open - within SLA")))</x:f>
        <x:v>Overdue</x:v>
      </x:c>
    </x:row>
    <x:row r="1163">
      <x:c r="A1163" s="14" t="str">
        <x:v>CASE-01158</x:v>
      </x:c>
      <x:c r="B1163" s="14" t="str">
        <x:v>Warehouse</x:v>
      </x:c>
      <x:c r="C1163" s="14" t="str">
        <x:v>Late review</x:v>
      </x:c>
      <x:c r="D1163" s="14" t="str">
        <x:v>Medium</x:v>
      </x:c>
      <x:c r="E1163" s="15" t="n">
        <x:v>46216.5</x:v>
      </x:c>
      <x:c r="F1163" s="15" t="n">
        <x:v>46223.5</x:v>
      </x:c>
      <x:c r="G1163" s="15" t="n">
        <x:v>46227.5</x:v>
      </x:c>
      <x:c r="H1163" s="14" t="n">
        <x:v>2</x:v>
      </x:c>
      <x:c r="I1163" s="1" t="n">
        <x:f>IF(AND(E1163&lt;Reporting!$B$4,OR(G1163="",G1163&gt;=Reporting!$B$4)),1,0)</x:f>
        <x:v>0</x:v>
      </x:c>
      <x:c r="J1163" s="1" t="n">
        <x:f>IF(AND(I1163=1,F1163&lt;Reporting!$B$4),1,0)</x:f>
        <x:v>0</x:v>
      </x:c>
      <x:c r="K1163" s="1" t="n">
        <x:f>IF(F1163&lt;Reporting!$B$4,1,0)</x:f>
        <x:v>1</x:v>
      </x:c>
      <x:c r="L1163" s="1" t="n">
        <x:f>IF(AND(K1163=1,G1163&lt;&gt;"",G1163&lt;=F1163),1,0)</x:f>
        <x:v>0</x:v>
      </x:c>
      <x:c r="M1163" s="1" t="n">
        <x:f>IF(AND(G1163&lt;&gt;"",G1163&lt;Reporting!$B$4),1,0)</x:f>
        <x:v>1</x:v>
      </x:c>
      <x:c r="N1163" s="16" t="n">
        <x:f>IF(M1163=1,G1163-E1163,"")</x:f>
        <x:v>11</x:v>
      </x:c>
      <x:c r="O1163" s="1" t="str">
        <x:f>IF(E1163&gt;=Reporting!$B$4,"Outside cutoff",IF(M1163=1,"Closed",IF(J1163=1,"Overdue","Open - within SLA")))</x:f>
        <x:v>Closed</x:v>
      </x:c>
    </x:row>
    <x:row r="1164">
      <x:c r="A1164" s="14" t="str">
        <x:v>CASE-01159</x:v>
      </x:c>
      <x:c r="B1164" s="14" t="str">
        <x:v>Warehouse</x:v>
      </x:c>
      <x:c r="C1164" s="14" t="str">
        <x:v>Process deviation</x:v>
      </x:c>
      <x:c r="D1164" s="14" t="str">
        <x:v>Low</x:v>
      </x:c>
      <x:c r="E1164" s="15" t="n">
        <x:v>46279.458333333336</x:v>
      </x:c>
      <x:c r="F1164" s="15" t="n">
        <x:v>46293.458333333336</x:v>
      </x:c>
      <x:c r="G1164" s="15"/>
      <x:c r="H1164" s="14" t="n">
        <x:v>2</x:v>
      </x:c>
      <x:c r="I1164" s="1" t="n">
        <x:f>IF(AND(E1164&lt;Reporting!$B$4,OR(G1164="",G1164&gt;=Reporting!$B$4)),1,0)</x:f>
        <x:v>1</x:v>
      </x:c>
      <x:c r="J1164" s="1" t="n">
        <x:f>IF(AND(I1164=1,F1164&lt;Reporting!$B$4),1,0)</x:f>
        <x:v>0</x:v>
      </x:c>
      <x:c r="K1164" s="1" t="n">
        <x:f>IF(F1164&lt;Reporting!$B$4,1,0)</x:f>
        <x:v>0</x:v>
      </x:c>
      <x:c r="L1164" s="1" t="n">
        <x:f>IF(AND(K1164=1,G1164&lt;&gt;"",G1164&lt;=F1164),1,0)</x:f>
        <x:v>0</x:v>
      </x:c>
      <x:c r="M1164" s="1" t="n">
        <x:f>IF(AND(G1164&lt;&gt;"",G1164&lt;Reporting!$B$4),1,0)</x:f>
        <x:v>0</x:v>
      </x:c>
      <x:c r="N1164" s="16" t="str">
        <x:f>IF(M1164=1,G1164-E1164,"")</x:f>
      </x:c>
      <x:c r="O1164" s="1" t="str">
        <x:f>IF(E1164&gt;=Reporting!$B$4,"Outside cutoff",IF(M1164=1,"Closed",IF(J1164=1,"Overdue","Open - within SLA")))</x:f>
        <x:v>Open - within SLA</x:v>
      </x:c>
    </x:row>
    <x:row r="1165">
      <x:c r="A1165" s="14" t="str">
        <x:v>CASE-01160</x:v>
      </x:c>
      <x:c r="B1165" s="14" t="str">
        <x:v>Customer Services</x:v>
      </x:c>
      <x:c r="C1165" s="14" t="str">
        <x:v>Process deviation</x:v>
      </x:c>
      <x:c r="D1165" s="14" t="str">
        <x:v>Low</x:v>
      </x:c>
      <x:c r="E1165" s="15" t="n">
        <x:v>46251.458333333336</x:v>
      </x:c>
      <x:c r="F1165" s="15" t="n">
        <x:v>46265.458333333336</x:v>
      </x:c>
      <x:c r="G1165" s="15" t="n">
        <x:v>46256.541666666664</x:v>
      </x:c>
      <x:c r="H1165" s="14" t="n">
        <x:v>1</x:v>
      </x:c>
      <x:c r="I1165" s="1" t="n">
        <x:f>IF(AND(E1165&lt;Reporting!$B$4,OR(G1165="",G1165&gt;=Reporting!$B$4)),1,0)</x:f>
        <x:v>0</x:v>
      </x:c>
      <x:c r="J1165" s="1" t="n">
        <x:f>IF(AND(I1165=1,F1165&lt;Reporting!$B$4),1,0)</x:f>
        <x:v>0</x:v>
      </x:c>
      <x:c r="K1165" s="1" t="n">
        <x:f>IF(F1165&lt;Reporting!$B$4,1,0)</x:f>
        <x:v>1</x:v>
      </x:c>
      <x:c r="L1165" s="1" t="n">
        <x:f>IF(AND(K1165=1,G1165&lt;&gt;"",G1165&lt;=F1165),1,0)</x:f>
        <x:v>1</x:v>
      </x:c>
      <x:c r="M1165" s="1" t="n">
        <x:f>IF(AND(G1165&lt;&gt;"",G1165&lt;Reporting!$B$4),1,0)</x:f>
        <x:v>1</x:v>
      </x:c>
      <x:c r="N1165" s="16" t="n">
        <x:f>IF(M1165=1,G1165-E1165,"")</x:f>
        <x:v>5.083333333328483</x:v>
      </x:c>
      <x:c r="O1165" s="1" t="str">
        <x:f>IF(E1165&gt;=Reporting!$B$4,"Outside cutoff",IF(M1165=1,"Closed",IF(J1165=1,"Overdue","Open - within SLA")))</x:f>
        <x:v>Closed</x:v>
      </x:c>
    </x:row>
    <x:row r="1166">
      <x:c r="A1166" s="14" t="str">
        <x:v>CASE-01161</x:v>
      </x:c>
      <x:c r="B1166" s="14" t="str">
        <x:v>Warehouse</x:v>
      </x:c>
      <x:c r="C1166" s="14" t="str">
        <x:v>Late review</x:v>
      </x:c>
      <x:c r="D1166" s="14" t="str">
        <x:v>Low</x:v>
      </x:c>
      <x:c r="E1166" s="15" t="n">
        <x:v>46234.625</x:v>
      </x:c>
      <x:c r="F1166" s="15" t="n">
        <x:v>46248.625</x:v>
      </x:c>
      <x:c r="G1166" s="15" t="n">
        <x:v>46247.625</x:v>
      </x:c>
      <x:c r="H1166" s="14" t="n">
        <x:v>2</x:v>
      </x:c>
      <x:c r="I1166" s="1" t="n">
        <x:f>IF(AND(E1166&lt;Reporting!$B$4,OR(G1166="",G1166&gt;=Reporting!$B$4)),1,0)</x:f>
        <x:v>0</x:v>
      </x:c>
      <x:c r="J1166" s="1" t="n">
        <x:f>IF(AND(I1166=1,F1166&lt;Reporting!$B$4),1,0)</x:f>
        <x:v>0</x:v>
      </x:c>
      <x:c r="K1166" s="1" t="n">
        <x:f>IF(F1166&lt;Reporting!$B$4,1,0)</x:f>
        <x:v>1</x:v>
      </x:c>
      <x:c r="L1166" s="1" t="n">
        <x:f>IF(AND(K1166=1,G1166&lt;&gt;"",G1166&lt;=F1166),1,0)</x:f>
        <x:v>1</x:v>
      </x:c>
      <x:c r="M1166" s="1" t="n">
        <x:f>IF(AND(G1166&lt;&gt;"",G1166&lt;Reporting!$B$4),1,0)</x:f>
        <x:v>1</x:v>
      </x:c>
      <x:c r="N1166" s="16" t="n">
        <x:f>IF(M1166=1,G1166-E1166,"")</x:f>
        <x:v>13</x:v>
      </x:c>
      <x:c r="O1166" s="1" t="str">
        <x:f>IF(E1166&gt;=Reporting!$B$4,"Outside cutoff",IF(M1166=1,"Closed",IF(J1166=1,"Overdue","Open - within SLA")))</x:f>
        <x:v>Closed</x:v>
      </x:c>
    </x:row>
    <x:row r="1167">
      <x:c r="A1167" s="14" t="str">
        <x:v>CASE-01162</x:v>
      </x:c>
      <x:c r="B1167" s="14" t="str">
        <x:v>Installation</x:v>
      </x:c>
      <x:c r="C1167" s="14" t="str">
        <x:v>Process deviation</x:v>
      </x:c>
      <x:c r="D1167" s="14" t="str">
        <x:v>Medium</x:v>
      </x:c>
      <x:c r="E1167" s="15" t="n">
        <x:v>46270.5</x:v>
      </x:c>
      <x:c r="F1167" s="15" t="n">
        <x:v>46277.5</x:v>
      </x:c>
      <x:c r="G1167" s="15"/>
      <x:c r="H1167" s="14" t="n">
        <x:v>3</x:v>
      </x:c>
      <x:c r="I1167" s="1" t="n">
        <x:f>IF(AND(E1167&lt;Reporting!$B$4,OR(G1167="",G1167&gt;=Reporting!$B$4)),1,0)</x:f>
        <x:v>1</x:v>
      </x:c>
      <x:c r="J1167" s="1" t="n">
        <x:f>IF(AND(I1167=1,F1167&lt;Reporting!$B$4),1,0)</x:f>
        <x:v>1</x:v>
      </x:c>
      <x:c r="K1167" s="1" t="n">
        <x:f>IF(F1167&lt;Reporting!$B$4,1,0)</x:f>
        <x:v>1</x:v>
      </x:c>
      <x:c r="L1167" s="1" t="n">
        <x:f>IF(AND(K1167=1,G1167&lt;&gt;"",G1167&lt;=F1167),1,0)</x:f>
        <x:v>0</x:v>
      </x:c>
      <x:c r="M1167" s="1" t="n">
        <x:f>IF(AND(G1167&lt;&gt;"",G1167&lt;Reporting!$B$4),1,0)</x:f>
        <x:v>0</x:v>
      </x:c>
      <x:c r="N1167" s="16" t="str">
        <x:f>IF(M1167=1,G1167-E1167,"")</x:f>
      </x:c>
      <x:c r="O1167" s="1" t="str">
        <x:f>IF(E1167&gt;=Reporting!$B$4,"Outside cutoff",IF(M1167=1,"Closed",IF(J1167=1,"Overdue","Open - within SLA")))</x:f>
        <x:v>Overdue</x:v>
      </x:c>
    </x:row>
    <x:row r="1168">
      <x:c r="A1168" s="14" t="str">
        <x:v>CASE-01163</x:v>
      </x:c>
      <x:c r="B1168" s="14" t="str">
        <x:v>Installation</x:v>
      </x:c>
      <x:c r="C1168" s="14" t="str">
        <x:v>Missing evidence</x:v>
      </x:c>
      <x:c r="D1168" s="14" t="str">
        <x:v>High</x:v>
      </x:c>
      <x:c r="E1168" s="15" t="n">
        <x:v>46260.333333333336</x:v>
      </x:c>
      <x:c r="F1168" s="15" t="n">
        <x:v>46263.333333333336</x:v>
      </x:c>
      <x:c r="G1168" s="15"/>
      <x:c r="H1168" s="14" t="n">
        <x:v>3</x:v>
      </x:c>
      <x:c r="I1168" s="1" t="n">
        <x:f>IF(AND(E1168&lt;Reporting!$B$4,OR(G1168="",G1168&gt;=Reporting!$B$4)),1,0)</x:f>
        <x:v>1</x:v>
      </x:c>
      <x:c r="J1168" s="1" t="n">
        <x:f>IF(AND(I1168=1,F1168&lt;Reporting!$B$4),1,0)</x:f>
        <x:v>1</x:v>
      </x:c>
      <x:c r="K1168" s="1" t="n">
        <x:f>IF(F1168&lt;Reporting!$B$4,1,0)</x:f>
        <x:v>1</x:v>
      </x:c>
      <x:c r="L1168" s="1" t="n">
        <x:f>IF(AND(K1168=1,G1168&lt;&gt;"",G1168&lt;=F1168),1,0)</x:f>
        <x:v>0</x:v>
      </x:c>
      <x:c r="M1168" s="1" t="n">
        <x:f>IF(AND(G1168&lt;&gt;"",G1168&lt;Reporting!$B$4),1,0)</x:f>
        <x:v>0</x:v>
      </x:c>
      <x:c r="N1168" s="16" t="str">
        <x:f>IF(M1168=1,G1168-E1168,"")</x:f>
      </x:c>
      <x:c r="O1168" s="1" t="str">
        <x:f>IF(E1168&gt;=Reporting!$B$4,"Outside cutoff",IF(M1168=1,"Closed",IF(J1168=1,"Overdue","Open - within SLA")))</x:f>
        <x:v>Overdue</x:v>
      </x:c>
    </x:row>
    <x:row r="1169">
      <x:c r="A1169" s="14" t="str">
        <x:v>CASE-01164</x:v>
      </x:c>
      <x:c r="B1169" s="14" t="str">
        <x:v>Installation</x:v>
      </x:c>
      <x:c r="C1169" s="14" t="str">
        <x:v>Record mismatch</x:v>
      </x:c>
      <x:c r="D1169" s="14" t="str">
        <x:v>Medium</x:v>
      </x:c>
      <x:c r="E1169" s="15" t="n">
        <x:v>46216.333333333336</x:v>
      </x:c>
      <x:c r="F1169" s="15" t="n">
        <x:v>46223.333333333336</x:v>
      </x:c>
      <x:c r="G1169" s="15" t="n">
        <x:v>46228.416666666664</x:v>
      </x:c>
      <x:c r="H1169" s="14" t="n">
        <x:v>3</x:v>
      </x:c>
      <x:c r="I1169" s="1" t="n">
        <x:f>IF(AND(E1169&lt;Reporting!$B$4,OR(G1169="",G1169&gt;=Reporting!$B$4)),1,0)</x:f>
        <x:v>0</x:v>
      </x:c>
      <x:c r="J1169" s="1" t="n">
        <x:f>IF(AND(I1169=1,F1169&lt;Reporting!$B$4),1,0)</x:f>
        <x:v>0</x:v>
      </x:c>
      <x:c r="K1169" s="1" t="n">
        <x:f>IF(F1169&lt;Reporting!$B$4,1,0)</x:f>
        <x:v>1</x:v>
      </x:c>
      <x:c r="L1169" s="1" t="n">
        <x:f>IF(AND(K1169=1,G1169&lt;&gt;"",G1169&lt;=F1169),1,0)</x:f>
        <x:v>0</x:v>
      </x:c>
      <x:c r="M1169" s="1" t="n">
        <x:f>IF(AND(G1169&lt;&gt;"",G1169&lt;Reporting!$B$4),1,0)</x:f>
        <x:v>1</x:v>
      </x:c>
      <x:c r="N1169" s="16" t="n">
        <x:f>IF(M1169=1,G1169-E1169,"")</x:f>
        <x:v>12.083333333328483</x:v>
      </x:c>
      <x:c r="O1169" s="1" t="str">
        <x:f>IF(E1169&gt;=Reporting!$B$4,"Outside cutoff",IF(M1169=1,"Closed",IF(J1169=1,"Overdue","Open - within SLA")))</x:f>
        <x:v>Closed</x:v>
      </x:c>
    </x:row>
    <x:row r="1170">
      <x:c r="A1170" s="14" t="str">
        <x:v>CASE-01165</x:v>
      </x:c>
      <x:c r="B1170" s="14" t="str">
        <x:v>Customer Services</x:v>
      </x:c>
      <x:c r="C1170" s="14" t="str">
        <x:v>Missing evidence</x:v>
      </x:c>
      <x:c r="D1170" s="14" t="str">
        <x:v>Low</x:v>
      </x:c>
      <x:c r="E1170" s="15" t="n">
        <x:v>46218.583333333336</x:v>
      </x:c>
      <x:c r="F1170" s="15" t="n">
        <x:v>46232.583333333336</x:v>
      </x:c>
      <x:c r="G1170" s="15" t="n">
        <x:v>46235.583333333336</x:v>
      </x:c>
      <x:c r="H1170" s="14" t="n">
        <x:v>1</x:v>
      </x:c>
      <x:c r="I1170" s="1" t="n">
        <x:f>IF(AND(E1170&lt;Reporting!$B$4,OR(G1170="",G1170&gt;=Reporting!$B$4)),1,0)</x:f>
        <x:v>0</x:v>
      </x:c>
      <x:c r="J1170" s="1" t="n">
        <x:f>IF(AND(I1170=1,F1170&lt;Reporting!$B$4),1,0)</x:f>
        <x:v>0</x:v>
      </x:c>
      <x:c r="K1170" s="1" t="n">
        <x:f>IF(F1170&lt;Reporting!$B$4,1,0)</x:f>
        <x:v>1</x:v>
      </x:c>
      <x:c r="L1170" s="1" t="n">
        <x:f>IF(AND(K1170=1,G1170&lt;&gt;"",G1170&lt;=F1170),1,0)</x:f>
        <x:v>0</x:v>
      </x:c>
      <x:c r="M1170" s="1" t="n">
        <x:f>IF(AND(G1170&lt;&gt;"",G1170&lt;Reporting!$B$4),1,0)</x:f>
        <x:v>1</x:v>
      </x:c>
      <x:c r="N1170" s="16" t="n">
        <x:f>IF(M1170=1,G1170-E1170,"")</x:f>
        <x:v>17</x:v>
      </x:c>
      <x:c r="O1170" s="1" t="str">
        <x:f>IF(E1170&gt;=Reporting!$B$4,"Outside cutoff",IF(M1170=1,"Closed",IF(J1170=1,"Overdue","Open - within SLA")))</x:f>
        <x:v>Closed</x:v>
      </x:c>
    </x:row>
    <x:row r="1171">
      <x:c r="A1171" s="14" t="str">
        <x:v>CASE-01166</x:v>
      </x:c>
      <x:c r="B1171" s="14" t="str">
        <x:v>Installation</x:v>
      </x:c>
      <x:c r="C1171" s="14" t="str">
        <x:v>Record mismatch</x:v>
      </x:c>
      <x:c r="D1171" s="14" t="str">
        <x:v>High</x:v>
      </x:c>
      <x:c r="E1171" s="15" t="n">
        <x:v>46225.541666666664</x:v>
      </x:c>
      <x:c r="F1171" s="15" t="n">
        <x:v>46228.541666666664</x:v>
      </x:c>
      <x:c r="G1171" s="15" t="n">
        <x:v>46236.541666666664</x:v>
      </x:c>
      <x:c r="H1171" s="14" t="n">
        <x:v>3</x:v>
      </x:c>
      <x:c r="I1171" s="1" t="n">
        <x:f>IF(AND(E1171&lt;Reporting!$B$4,OR(G1171="",G1171&gt;=Reporting!$B$4)),1,0)</x:f>
        <x:v>0</x:v>
      </x:c>
      <x:c r="J1171" s="1" t="n">
        <x:f>IF(AND(I1171=1,F1171&lt;Reporting!$B$4),1,0)</x:f>
        <x:v>0</x:v>
      </x:c>
      <x:c r="K1171" s="1" t="n">
        <x:f>IF(F1171&lt;Reporting!$B$4,1,0)</x:f>
        <x:v>1</x:v>
      </x:c>
      <x:c r="L1171" s="1" t="n">
        <x:f>IF(AND(K1171=1,G1171&lt;&gt;"",G1171&lt;=F1171),1,0)</x:f>
        <x:v>0</x:v>
      </x:c>
      <x:c r="M1171" s="1" t="n">
        <x:f>IF(AND(G1171&lt;&gt;"",G1171&lt;Reporting!$B$4),1,0)</x:f>
        <x:v>1</x:v>
      </x:c>
      <x:c r="N1171" s="16" t="n">
        <x:f>IF(M1171=1,G1171-E1171,"")</x:f>
        <x:v>11</x:v>
      </x:c>
      <x:c r="O1171" s="1" t="str">
        <x:f>IF(E1171&gt;=Reporting!$B$4,"Outside cutoff",IF(M1171=1,"Closed",IF(J1171=1,"Overdue","Open - within SLA")))</x:f>
        <x:v>Closed</x:v>
      </x:c>
    </x:row>
    <x:row r="1172">
      <x:c r="A1172" s="14" t="str">
        <x:v>CASE-01167</x:v>
      </x:c>
      <x:c r="B1172" s="14" t="str">
        <x:v>Customer Services</x:v>
      </x:c>
      <x:c r="C1172" s="14" t="str">
        <x:v>Late review</x:v>
      </x:c>
      <x:c r="D1172" s="14" t="str">
        <x:v>Medium</x:v>
      </x:c>
      <x:c r="E1172" s="15" t="n">
        <x:v>46245.666666666664</x:v>
      </x:c>
      <x:c r="F1172" s="15" t="n">
        <x:v>46252.666666666664</x:v>
      </x:c>
      <x:c r="G1172" s="15"/>
      <x:c r="H1172" s="14" t="n">
        <x:v>1</x:v>
      </x:c>
      <x:c r="I1172" s="1" t="n">
        <x:f>IF(AND(E1172&lt;Reporting!$B$4,OR(G1172="",G1172&gt;=Reporting!$B$4)),1,0)</x:f>
        <x:v>1</x:v>
      </x:c>
      <x:c r="J1172" s="1" t="n">
        <x:f>IF(AND(I1172=1,F1172&lt;Reporting!$B$4),1,0)</x:f>
        <x:v>1</x:v>
      </x:c>
      <x:c r="K1172" s="1" t="n">
        <x:f>IF(F1172&lt;Reporting!$B$4,1,0)</x:f>
        <x:v>1</x:v>
      </x:c>
      <x:c r="L1172" s="1" t="n">
        <x:f>IF(AND(K1172=1,G1172&lt;&gt;"",G1172&lt;=F1172),1,0)</x:f>
        <x:v>0</x:v>
      </x:c>
      <x:c r="M1172" s="1" t="n">
        <x:f>IF(AND(G1172&lt;&gt;"",G1172&lt;Reporting!$B$4),1,0)</x:f>
        <x:v>0</x:v>
      </x:c>
      <x:c r="N1172" s="16" t="str">
        <x:f>IF(M1172=1,G1172-E1172,"")</x:f>
      </x:c>
      <x:c r="O1172" s="1" t="str">
        <x:f>IF(E1172&gt;=Reporting!$B$4,"Outside cutoff",IF(M1172=1,"Closed",IF(J1172=1,"Overdue","Open - within SLA")))</x:f>
        <x:v>Overdue</x:v>
      </x:c>
    </x:row>
    <x:row r="1173">
      <x:c r="A1173" s="14" t="str">
        <x:v>CASE-01168</x:v>
      </x:c>
      <x:c r="B1173" s="14" t="str">
        <x:v>Installation</x:v>
      </x:c>
      <x:c r="C1173" s="14" t="str">
        <x:v>Late review</x:v>
      </x:c>
      <x:c r="D1173" s="14" t="str">
        <x:v>Low</x:v>
      </x:c>
      <x:c r="E1173" s="15" t="n">
        <x:v>46252.666666666664</x:v>
      </x:c>
      <x:c r="F1173" s="15" t="n">
        <x:v>46266.666666666664</x:v>
      </x:c>
      <x:c r="G1173" s="15" t="n">
        <x:v>46260.708333333336</x:v>
      </x:c>
      <x:c r="H1173" s="14" t="n">
        <x:v>3</x:v>
      </x:c>
      <x:c r="I1173" s="1" t="n">
        <x:f>IF(AND(E1173&lt;Reporting!$B$4,OR(G1173="",G1173&gt;=Reporting!$B$4)),1,0)</x:f>
        <x:v>0</x:v>
      </x:c>
      <x:c r="J1173" s="1" t="n">
        <x:f>IF(AND(I1173=1,F1173&lt;Reporting!$B$4),1,0)</x:f>
        <x:v>0</x:v>
      </x:c>
      <x:c r="K1173" s="1" t="n">
        <x:f>IF(F1173&lt;Reporting!$B$4,1,0)</x:f>
        <x:v>1</x:v>
      </x:c>
      <x:c r="L1173" s="1" t="n">
        <x:f>IF(AND(K1173=1,G1173&lt;&gt;"",G1173&lt;=F1173),1,0)</x:f>
        <x:v>1</x:v>
      </x:c>
      <x:c r="M1173" s="1" t="n">
        <x:f>IF(AND(G1173&lt;&gt;"",G1173&lt;Reporting!$B$4),1,0)</x:f>
        <x:v>1</x:v>
      </x:c>
      <x:c r="N1173" s="16" t="n">
        <x:f>IF(M1173=1,G1173-E1173,"")</x:f>
        <x:v>8.041666666671517</x:v>
      </x:c>
      <x:c r="O1173" s="1" t="str">
        <x:f>IF(E1173&gt;=Reporting!$B$4,"Outside cutoff",IF(M1173=1,"Closed",IF(J1173=1,"Overdue","Open - within SLA")))</x:f>
        <x:v>Closed</x:v>
      </x:c>
    </x:row>
    <x:row r="1174">
      <x:c r="A1174" s="14" t="str">
        <x:v>CASE-01169</x:v>
      </x:c>
      <x:c r="B1174" s="14" t="str">
        <x:v>Customer Services</x:v>
      </x:c>
      <x:c r="C1174" s="14" t="str">
        <x:v>Process deviation</x:v>
      </x:c>
      <x:c r="D1174" s="14" t="str">
        <x:v>Low</x:v>
      </x:c>
      <x:c r="E1174" s="15" t="n">
        <x:v>46283.416666666664</x:v>
      </x:c>
      <x:c r="F1174" s="15" t="n">
        <x:v>46297.416666666664</x:v>
      </x:c>
      <x:c r="G1174" s="15"/>
      <x:c r="H1174" s="14" t="n">
        <x:v>1</x:v>
      </x:c>
      <x:c r="I1174" s="1" t="n">
        <x:f>IF(AND(E1174&lt;Reporting!$B$4,OR(G1174="",G1174&gt;=Reporting!$B$4)),1,0)</x:f>
        <x:v>1</x:v>
      </x:c>
      <x:c r="J1174" s="1" t="n">
        <x:f>IF(AND(I1174=1,F1174&lt;Reporting!$B$4),1,0)</x:f>
        <x:v>0</x:v>
      </x:c>
      <x:c r="K1174" s="1" t="n">
        <x:f>IF(F1174&lt;Reporting!$B$4,1,0)</x:f>
        <x:v>0</x:v>
      </x:c>
      <x:c r="L1174" s="1" t="n">
        <x:f>IF(AND(K1174=1,G1174&lt;&gt;"",G1174&lt;=F1174),1,0)</x:f>
        <x:v>0</x:v>
      </x:c>
      <x:c r="M1174" s="1" t="n">
        <x:f>IF(AND(G1174&lt;&gt;"",G1174&lt;Reporting!$B$4),1,0)</x:f>
        <x:v>0</x:v>
      </x:c>
      <x:c r="N1174" s="16" t="str">
        <x:f>IF(M1174=1,G1174-E1174,"")</x:f>
      </x:c>
      <x:c r="O1174" s="1" t="str">
        <x:f>IF(E1174&gt;=Reporting!$B$4,"Outside cutoff",IF(M1174=1,"Closed",IF(J1174=1,"Overdue","Open - within SLA")))</x:f>
        <x:v>Open - within SLA</x:v>
      </x:c>
    </x:row>
    <x:row r="1175">
      <x:c r="A1175" s="14" t="str">
        <x:v>CASE-01170</x:v>
      </x:c>
      <x:c r="B1175" s="14" t="str">
        <x:v>Installation</x:v>
      </x:c>
      <x:c r="C1175" s="14" t="str">
        <x:v>Process deviation</x:v>
      </x:c>
      <x:c r="D1175" s="14" t="str">
        <x:v>Medium</x:v>
      </x:c>
      <x:c r="E1175" s="15" t="n">
        <x:v>46212.583333333336</x:v>
      </x:c>
      <x:c r="F1175" s="15" t="n">
        <x:v>46219.583333333336</x:v>
      </x:c>
      <x:c r="G1175" s="15" t="n">
        <x:v>46224.583333333336</x:v>
      </x:c>
      <x:c r="H1175" s="14" t="n">
        <x:v>3</x:v>
      </x:c>
      <x:c r="I1175" s="1" t="n">
        <x:f>IF(AND(E1175&lt;Reporting!$B$4,OR(G1175="",G1175&gt;=Reporting!$B$4)),1,0)</x:f>
        <x:v>0</x:v>
      </x:c>
      <x:c r="J1175" s="1" t="n">
        <x:f>IF(AND(I1175=1,F1175&lt;Reporting!$B$4),1,0)</x:f>
        <x:v>0</x:v>
      </x:c>
      <x:c r="K1175" s="1" t="n">
        <x:f>IF(F1175&lt;Reporting!$B$4,1,0)</x:f>
        <x:v>1</x:v>
      </x:c>
      <x:c r="L1175" s="1" t="n">
        <x:f>IF(AND(K1175=1,G1175&lt;&gt;"",G1175&lt;=F1175),1,0)</x:f>
        <x:v>0</x:v>
      </x:c>
      <x:c r="M1175" s="1" t="n">
        <x:f>IF(AND(G1175&lt;&gt;"",G1175&lt;Reporting!$B$4),1,0)</x:f>
        <x:v>1</x:v>
      </x:c>
      <x:c r="N1175" s="16" t="n">
        <x:f>IF(M1175=1,G1175-E1175,"")</x:f>
        <x:v>12</x:v>
      </x:c>
      <x:c r="O1175" s="1" t="str">
        <x:f>IF(E1175&gt;=Reporting!$B$4,"Outside cutoff",IF(M1175=1,"Closed",IF(J1175=1,"Overdue","Open - within SLA")))</x:f>
        <x:v>Closed</x:v>
      </x:c>
    </x:row>
    <x:row r="1176">
      <x:c r="A1176" s="14" t="str">
        <x:v>CASE-01171</x:v>
      </x:c>
      <x:c r="B1176" s="14" t="str">
        <x:v>Warehouse</x:v>
      </x:c>
      <x:c r="C1176" s="14" t="str">
        <x:v>Record mismatch</x:v>
      </x:c>
      <x:c r="D1176" s="14" t="str">
        <x:v>Medium</x:v>
      </x:c>
      <x:c r="E1176" s="15" t="n">
        <x:v>46259.541666666664</x:v>
      </x:c>
      <x:c r="F1176" s="15" t="n">
        <x:v>46266.541666666664</x:v>
      </x:c>
      <x:c r="G1176" s="15" t="n">
        <x:v>46281.541666666664</x:v>
      </x:c>
      <x:c r="H1176" s="14" t="n">
        <x:v>2</x:v>
      </x:c>
      <x:c r="I1176" s="1" t="n">
        <x:f>IF(AND(E1176&lt;Reporting!$B$4,OR(G1176="",G1176&gt;=Reporting!$B$4)),1,0)</x:f>
        <x:v>0</x:v>
      </x:c>
      <x:c r="J1176" s="1" t="n">
        <x:f>IF(AND(I1176=1,F1176&lt;Reporting!$B$4),1,0)</x:f>
        <x:v>0</x:v>
      </x:c>
      <x:c r="K1176" s="1" t="n">
        <x:f>IF(F1176&lt;Reporting!$B$4,1,0)</x:f>
        <x:v>1</x:v>
      </x:c>
      <x:c r="L1176" s="1" t="n">
        <x:f>IF(AND(K1176=1,G1176&lt;&gt;"",G1176&lt;=F1176),1,0)</x:f>
        <x:v>0</x:v>
      </x:c>
      <x:c r="M1176" s="1" t="n">
        <x:f>IF(AND(G1176&lt;&gt;"",G1176&lt;Reporting!$B$4),1,0)</x:f>
        <x:v>1</x:v>
      </x:c>
      <x:c r="N1176" s="16" t="n">
        <x:f>IF(M1176=1,G1176-E1176,"")</x:f>
        <x:v>22</x:v>
      </x:c>
      <x:c r="O1176" s="1" t="str">
        <x:f>IF(E1176&gt;=Reporting!$B$4,"Outside cutoff",IF(M1176=1,"Closed",IF(J1176=1,"Overdue","Open - within SLA")))</x:f>
        <x:v>Closed</x:v>
      </x:c>
    </x:row>
    <x:row r="1177">
      <x:c r="A1177" s="14" t="str">
        <x:v>CASE-01172</x:v>
      </x:c>
      <x:c r="B1177" s="14" t="str">
        <x:v>Customer Services</x:v>
      </x:c>
      <x:c r="C1177" s="14" t="str">
        <x:v>Record mismatch</x:v>
      </x:c>
      <x:c r="D1177" s="14" t="str">
        <x:v>Low</x:v>
      </x:c>
      <x:c r="E1177" s="15" t="n">
        <x:v>46263.458333333336</x:v>
      </x:c>
      <x:c r="F1177" s="15" t="n">
        <x:v>46277.458333333336</x:v>
      </x:c>
      <x:c r="G1177" s="15" t="n">
        <x:v>46274.541666666664</x:v>
      </x:c>
      <x:c r="H1177" s="14" t="n">
        <x:v>1</x:v>
      </x:c>
      <x:c r="I1177" s="1" t="n">
        <x:f>IF(AND(E1177&lt;Reporting!$B$4,OR(G1177="",G1177&gt;=Reporting!$B$4)),1,0)</x:f>
        <x:v>0</x:v>
      </x:c>
      <x:c r="J1177" s="1" t="n">
        <x:f>IF(AND(I1177=1,F1177&lt;Reporting!$B$4),1,0)</x:f>
        <x:v>0</x:v>
      </x:c>
      <x:c r="K1177" s="1" t="n">
        <x:f>IF(F1177&lt;Reporting!$B$4,1,0)</x:f>
        <x:v>1</x:v>
      </x:c>
      <x:c r="L1177" s="1" t="n">
        <x:f>IF(AND(K1177=1,G1177&lt;&gt;"",G1177&lt;=F1177),1,0)</x:f>
        <x:v>1</x:v>
      </x:c>
      <x:c r="M1177" s="1" t="n">
        <x:f>IF(AND(G1177&lt;&gt;"",G1177&lt;Reporting!$B$4),1,0)</x:f>
        <x:v>1</x:v>
      </x:c>
      <x:c r="N1177" s="16" t="n">
        <x:f>IF(M1177=1,G1177-E1177,"")</x:f>
        <x:v>11.083333333328483</x:v>
      </x:c>
      <x:c r="O1177" s="1" t="str">
        <x:f>IF(E1177&gt;=Reporting!$B$4,"Outside cutoff",IF(M1177=1,"Closed",IF(J1177=1,"Overdue","Open - within SLA")))</x:f>
        <x:v>Closed</x:v>
      </x:c>
    </x:row>
    <x:row r="1178">
      <x:c r="A1178" s="14" t="str">
        <x:v>CASE-01173</x:v>
      </x:c>
      <x:c r="B1178" s="14" t="str">
        <x:v>Warehouse</x:v>
      </x:c>
      <x:c r="C1178" s="14" t="str">
        <x:v>Record mismatch</x:v>
      </x:c>
      <x:c r="D1178" s="14" t="str">
        <x:v>High</x:v>
      </x:c>
      <x:c r="E1178" s="15" t="n">
        <x:v>46243.625</x:v>
      </x:c>
      <x:c r="F1178" s="15" t="n">
        <x:v>46246.625</x:v>
      </x:c>
      <x:c r="G1178" s="15" t="n">
        <x:v>46260.625</x:v>
      </x:c>
      <x:c r="H1178" s="14" t="n">
        <x:v>2</x:v>
      </x:c>
      <x:c r="I1178" s="1" t="n">
        <x:f>IF(AND(E1178&lt;Reporting!$B$4,OR(G1178="",G1178&gt;=Reporting!$B$4)),1,0)</x:f>
        <x:v>0</x:v>
      </x:c>
      <x:c r="J1178" s="1" t="n">
        <x:f>IF(AND(I1178=1,F1178&lt;Reporting!$B$4),1,0)</x:f>
        <x:v>0</x:v>
      </x:c>
      <x:c r="K1178" s="1" t="n">
        <x:f>IF(F1178&lt;Reporting!$B$4,1,0)</x:f>
        <x:v>1</x:v>
      </x:c>
      <x:c r="L1178" s="1" t="n">
        <x:f>IF(AND(K1178=1,G1178&lt;&gt;"",G1178&lt;=F1178),1,0)</x:f>
        <x:v>0</x:v>
      </x:c>
      <x:c r="M1178" s="1" t="n">
        <x:f>IF(AND(G1178&lt;&gt;"",G1178&lt;Reporting!$B$4),1,0)</x:f>
        <x:v>1</x:v>
      </x:c>
      <x:c r="N1178" s="16" t="n">
        <x:f>IF(M1178=1,G1178-E1178,"")</x:f>
        <x:v>17</x:v>
      </x:c>
      <x:c r="O1178" s="1" t="str">
        <x:f>IF(E1178&gt;=Reporting!$B$4,"Outside cutoff",IF(M1178=1,"Closed",IF(J1178=1,"Overdue","Open - within SLA")))</x:f>
        <x:v>Closed</x:v>
      </x:c>
    </x:row>
    <x:row r="1179">
      <x:c r="A1179" s="14" t="str">
        <x:v>CASE-01174</x:v>
      </x:c>
      <x:c r="B1179" s="14" t="str">
        <x:v>Installation</x:v>
      </x:c>
      <x:c r="C1179" s="14" t="str">
        <x:v>Late review</x:v>
      </x:c>
      <x:c r="D1179" s="14" t="str">
        <x:v>Medium</x:v>
      </x:c>
      <x:c r="E1179" s="15" t="n">
        <x:v>46242.375</x:v>
      </x:c>
      <x:c r="F1179" s="15" t="n">
        <x:v>46249.375</x:v>
      </x:c>
      <x:c r="G1179" s="15"/>
      <x:c r="H1179" s="14" t="n">
        <x:v>3</x:v>
      </x:c>
      <x:c r="I1179" s="1" t="n">
        <x:f>IF(AND(E1179&lt;Reporting!$B$4,OR(G1179="",G1179&gt;=Reporting!$B$4)),1,0)</x:f>
        <x:v>1</x:v>
      </x:c>
      <x:c r="J1179" s="1" t="n">
        <x:f>IF(AND(I1179=1,F1179&lt;Reporting!$B$4),1,0)</x:f>
        <x:v>1</x:v>
      </x:c>
      <x:c r="K1179" s="1" t="n">
        <x:f>IF(F1179&lt;Reporting!$B$4,1,0)</x:f>
        <x:v>1</x:v>
      </x:c>
      <x:c r="L1179" s="1" t="n">
        <x:f>IF(AND(K1179=1,G1179&lt;&gt;"",G1179&lt;=F1179),1,0)</x:f>
        <x:v>0</x:v>
      </x:c>
      <x:c r="M1179" s="1" t="n">
        <x:f>IF(AND(G1179&lt;&gt;"",G1179&lt;Reporting!$B$4),1,0)</x:f>
        <x:v>0</x:v>
      </x:c>
      <x:c r="N1179" s="16" t="str">
        <x:f>IF(M1179=1,G1179-E1179,"")</x:f>
      </x:c>
      <x:c r="O1179" s="1" t="str">
        <x:f>IF(E1179&gt;=Reporting!$B$4,"Outside cutoff",IF(M1179=1,"Closed",IF(J1179=1,"Overdue","Open - within SLA")))</x:f>
        <x:v>Overdue</x:v>
      </x:c>
    </x:row>
    <x:row r="1180">
      <x:c r="A1180" s="14" t="str">
        <x:v>CASE-01175</x:v>
      </x:c>
      <x:c r="B1180" s="14" t="str">
        <x:v>Installation</x:v>
      </x:c>
      <x:c r="C1180" s="14" t="str">
        <x:v>Process deviation</x:v>
      </x:c>
      <x:c r="D1180" s="14" t="str">
        <x:v>Low</x:v>
      </x:c>
      <x:c r="E1180" s="15" t="n">
        <x:v>46207.375</x:v>
      </x:c>
      <x:c r="F1180" s="15" t="n">
        <x:v>46221.375</x:v>
      </x:c>
      <x:c r="G1180" s="15" t="n">
        <x:v>46220.375</x:v>
      </x:c>
      <x:c r="H1180" s="14" t="n">
        <x:v>3</x:v>
      </x:c>
      <x:c r="I1180" s="1" t="n">
        <x:f>IF(AND(E1180&lt;Reporting!$B$4,OR(G1180="",G1180&gt;=Reporting!$B$4)),1,0)</x:f>
        <x:v>0</x:v>
      </x:c>
      <x:c r="J1180" s="1" t="n">
        <x:f>IF(AND(I1180=1,F1180&lt;Reporting!$B$4),1,0)</x:f>
        <x:v>0</x:v>
      </x:c>
      <x:c r="K1180" s="1" t="n">
        <x:f>IF(F1180&lt;Reporting!$B$4,1,0)</x:f>
        <x:v>1</x:v>
      </x:c>
      <x:c r="L1180" s="1" t="n">
        <x:f>IF(AND(K1180=1,G1180&lt;&gt;"",G1180&lt;=F1180),1,0)</x:f>
        <x:v>1</x:v>
      </x:c>
      <x:c r="M1180" s="1" t="n">
        <x:f>IF(AND(G1180&lt;&gt;"",G1180&lt;Reporting!$B$4),1,0)</x:f>
        <x:v>1</x:v>
      </x:c>
      <x:c r="N1180" s="16" t="n">
        <x:f>IF(M1180=1,G1180-E1180,"")</x:f>
        <x:v>13</x:v>
      </x:c>
      <x:c r="O1180" s="1" t="str">
        <x:f>IF(E1180&gt;=Reporting!$B$4,"Outside cutoff",IF(M1180=1,"Closed",IF(J1180=1,"Overdue","Open - within SLA")))</x:f>
        <x:v>Closed</x:v>
      </x:c>
    </x:row>
    <x:row r="1181">
      <x:c r="A1181" s="14" t="str">
        <x:v>CASE-01176</x:v>
      </x:c>
      <x:c r="B1181" s="14" t="str">
        <x:v>Customer Services</x:v>
      </x:c>
      <x:c r="C1181" s="14" t="str">
        <x:v>Missing evidence</x:v>
      </x:c>
      <x:c r="D1181" s="14" t="str">
        <x:v>Medium</x:v>
      </x:c>
      <x:c r="E1181" s="15" t="n">
        <x:v>46267.5</x:v>
      </x:c>
      <x:c r="F1181" s="15" t="n">
        <x:v>46274.5</x:v>
      </x:c>
      <x:c r="G1181" s="15" t="n">
        <x:v>46285.541666666664</x:v>
      </x:c>
      <x:c r="H1181" s="14" t="n">
        <x:v>1</x:v>
      </x:c>
      <x:c r="I1181" s="1" t="n">
        <x:f>IF(AND(E1181&lt;Reporting!$B$4,OR(G1181="",G1181&gt;=Reporting!$B$4)),1,0)</x:f>
        <x:v>0</x:v>
      </x:c>
      <x:c r="J1181" s="1" t="n">
        <x:f>IF(AND(I1181=1,F1181&lt;Reporting!$B$4),1,0)</x:f>
        <x:v>0</x:v>
      </x:c>
      <x:c r="K1181" s="1" t="n">
        <x:f>IF(F1181&lt;Reporting!$B$4,1,0)</x:f>
        <x:v>1</x:v>
      </x:c>
      <x:c r="L1181" s="1" t="n">
        <x:f>IF(AND(K1181=1,G1181&lt;&gt;"",G1181&lt;=F1181),1,0)</x:f>
        <x:v>0</x:v>
      </x:c>
      <x:c r="M1181" s="1" t="n">
        <x:f>IF(AND(G1181&lt;&gt;"",G1181&lt;Reporting!$B$4),1,0)</x:f>
        <x:v>1</x:v>
      </x:c>
      <x:c r="N1181" s="16" t="n">
        <x:f>IF(M1181=1,G1181-E1181,"")</x:f>
        <x:v>18.04166666666424</x:v>
      </x:c>
      <x:c r="O1181" s="1" t="str">
        <x:f>IF(E1181&gt;=Reporting!$B$4,"Outside cutoff",IF(M1181=1,"Closed",IF(J1181=1,"Overdue","Open - within SLA")))</x:f>
        <x:v>Closed</x:v>
      </x:c>
    </x:row>
    <x:row r="1182">
      <x:c r="A1182" s="14" t="str">
        <x:v>CASE-01177</x:v>
      </x:c>
      <x:c r="B1182" s="14" t="str">
        <x:v>Customer Services</x:v>
      </x:c>
      <x:c r="C1182" s="14" t="str">
        <x:v>Missing evidence</x:v>
      </x:c>
      <x:c r="D1182" s="14" t="str">
        <x:v>Medium</x:v>
      </x:c>
      <x:c r="E1182" s="15" t="n">
        <x:v>46203.625</x:v>
      </x:c>
      <x:c r="F1182" s="15" t="n">
        <x:v>46210.625</x:v>
      </x:c>
      <x:c r="G1182" s="15" t="n">
        <x:v>46220.666666666664</x:v>
      </x:c>
      <x:c r="H1182" s="14" t="n">
        <x:v>1</x:v>
      </x:c>
      <x:c r="I1182" s="1" t="n">
        <x:f>IF(AND(E1182&lt;Reporting!$B$4,OR(G1182="",G1182&gt;=Reporting!$B$4)),1,0)</x:f>
        <x:v>0</x:v>
      </x:c>
      <x:c r="J1182" s="1" t="n">
        <x:f>IF(AND(I1182=1,F1182&lt;Reporting!$B$4),1,0)</x:f>
        <x:v>0</x:v>
      </x:c>
      <x:c r="K1182" s="1" t="n">
        <x:f>IF(F1182&lt;Reporting!$B$4,1,0)</x:f>
        <x:v>1</x:v>
      </x:c>
      <x:c r="L1182" s="1" t="n">
        <x:f>IF(AND(K1182=1,G1182&lt;&gt;"",G1182&lt;=F1182),1,0)</x:f>
        <x:v>0</x:v>
      </x:c>
      <x:c r="M1182" s="1" t="n">
        <x:f>IF(AND(G1182&lt;&gt;"",G1182&lt;Reporting!$B$4),1,0)</x:f>
        <x:v>1</x:v>
      </x:c>
      <x:c r="N1182" s="16" t="n">
        <x:f>IF(M1182=1,G1182-E1182,"")</x:f>
        <x:v>17.04166666666424</x:v>
      </x:c>
      <x:c r="O1182" s="1" t="str">
        <x:f>IF(E1182&gt;=Reporting!$B$4,"Outside cutoff",IF(M1182=1,"Closed",IF(J1182=1,"Overdue","Open - within SLA")))</x:f>
        <x:v>Closed</x:v>
      </x:c>
    </x:row>
    <x:row r="1183">
      <x:c r="A1183" s="14" t="str">
        <x:v>CASE-01178</x:v>
      </x:c>
      <x:c r="B1183" s="14" t="str">
        <x:v>Installation</x:v>
      </x:c>
      <x:c r="C1183" s="14" t="str">
        <x:v>Process deviation</x:v>
      </x:c>
      <x:c r="D1183" s="14" t="str">
        <x:v>Medium</x:v>
      </x:c>
      <x:c r="E1183" s="15" t="n">
        <x:v>46203.625</x:v>
      </x:c>
      <x:c r="F1183" s="15" t="n">
        <x:v>46210.625</x:v>
      </x:c>
      <x:c r="G1183" s="15" t="n">
        <x:v>46212.666666666664</x:v>
      </x:c>
      <x:c r="H1183" s="14" t="n">
        <x:v>3</x:v>
      </x:c>
      <x:c r="I1183" s="1" t="n">
        <x:f>IF(AND(E1183&lt;Reporting!$B$4,OR(G1183="",G1183&gt;=Reporting!$B$4)),1,0)</x:f>
        <x:v>0</x:v>
      </x:c>
      <x:c r="J1183" s="1" t="n">
        <x:f>IF(AND(I1183=1,F1183&lt;Reporting!$B$4),1,0)</x:f>
        <x:v>0</x:v>
      </x:c>
      <x:c r="K1183" s="1" t="n">
        <x:f>IF(F1183&lt;Reporting!$B$4,1,0)</x:f>
        <x:v>1</x:v>
      </x:c>
      <x:c r="L1183" s="1" t="n">
        <x:f>IF(AND(K1183=1,G1183&lt;&gt;"",G1183&lt;=F1183),1,0)</x:f>
        <x:v>0</x:v>
      </x:c>
      <x:c r="M1183" s="1" t="n">
        <x:f>IF(AND(G1183&lt;&gt;"",G1183&lt;Reporting!$B$4),1,0)</x:f>
        <x:v>1</x:v>
      </x:c>
      <x:c r="N1183" s="16" t="n">
        <x:f>IF(M1183=1,G1183-E1183,"")</x:f>
        <x:v>9.041666666664241</x:v>
      </x:c>
      <x:c r="O1183" s="1" t="str">
        <x:f>IF(E1183&gt;=Reporting!$B$4,"Outside cutoff",IF(M1183=1,"Closed",IF(J1183=1,"Overdue","Open - within SLA")))</x:f>
        <x:v>Closed</x:v>
      </x:c>
    </x:row>
    <x:row r="1184">
      <x:c r="A1184" s="14" t="str">
        <x:v>CASE-01179</x:v>
      </x:c>
      <x:c r="B1184" s="14" t="str">
        <x:v>Customer Services</x:v>
      </x:c>
      <x:c r="C1184" s="14" t="str">
        <x:v>Late review</x:v>
      </x:c>
      <x:c r="D1184" s="14" t="str">
        <x:v>Low</x:v>
      </x:c>
      <x:c r="E1184" s="15" t="n">
        <x:v>46237.583333333336</x:v>
      </x:c>
      <x:c r="F1184" s="15" t="n">
        <x:v>46251.583333333336</x:v>
      </x:c>
      <x:c r="G1184" s="15" t="n">
        <x:v>46245.625</x:v>
      </x:c>
      <x:c r="H1184" s="14" t="n">
        <x:v>1</x:v>
      </x:c>
      <x:c r="I1184" s="1" t="n">
        <x:f>IF(AND(E1184&lt;Reporting!$B$4,OR(G1184="",G1184&gt;=Reporting!$B$4)),1,0)</x:f>
        <x:v>0</x:v>
      </x:c>
      <x:c r="J1184" s="1" t="n">
        <x:f>IF(AND(I1184=1,F1184&lt;Reporting!$B$4),1,0)</x:f>
        <x:v>0</x:v>
      </x:c>
      <x:c r="K1184" s="1" t="n">
        <x:f>IF(F1184&lt;Reporting!$B$4,1,0)</x:f>
        <x:v>1</x:v>
      </x:c>
      <x:c r="L1184" s="1" t="n">
        <x:f>IF(AND(K1184=1,G1184&lt;&gt;"",G1184&lt;=F1184),1,0)</x:f>
        <x:v>1</x:v>
      </x:c>
      <x:c r="M1184" s="1" t="n">
        <x:f>IF(AND(G1184&lt;&gt;"",G1184&lt;Reporting!$B$4),1,0)</x:f>
        <x:v>1</x:v>
      </x:c>
      <x:c r="N1184" s="16" t="n">
        <x:f>IF(M1184=1,G1184-E1184,"")</x:f>
        <x:v>8.041666666664241</x:v>
      </x:c>
      <x:c r="O1184" s="1" t="str">
        <x:f>IF(E1184&gt;=Reporting!$B$4,"Outside cutoff",IF(M1184=1,"Closed",IF(J1184=1,"Overdue","Open - within SLA")))</x:f>
        <x:v>Closed</x:v>
      </x:c>
    </x:row>
    <x:row r="1185">
      <x:c r="A1185" s="14" t="str">
        <x:v>CASE-01180</x:v>
      </x:c>
      <x:c r="B1185" s="14" t="str">
        <x:v>Installation</x:v>
      </x:c>
      <x:c r="C1185" s="14" t="str">
        <x:v>Missing evidence</x:v>
      </x:c>
      <x:c r="D1185" s="14" t="str">
        <x:v>High</x:v>
      </x:c>
      <x:c r="E1185" s="15" t="n">
        <x:v>46210.333333333336</x:v>
      </x:c>
      <x:c r="F1185" s="15" t="n">
        <x:v>46213.333333333336</x:v>
      </x:c>
      <x:c r="G1185" s="15" t="n">
        <x:v>46223.416666666664</x:v>
      </x:c>
      <x:c r="H1185" s="14" t="n">
        <x:v>3</x:v>
      </x:c>
      <x:c r="I1185" s="1" t="n">
        <x:f>IF(AND(E1185&lt;Reporting!$B$4,OR(G1185="",G1185&gt;=Reporting!$B$4)),1,0)</x:f>
        <x:v>0</x:v>
      </x:c>
      <x:c r="J1185" s="1" t="n">
        <x:f>IF(AND(I1185=1,F1185&lt;Reporting!$B$4),1,0)</x:f>
        <x:v>0</x:v>
      </x:c>
      <x:c r="K1185" s="1" t="n">
        <x:f>IF(F1185&lt;Reporting!$B$4,1,0)</x:f>
        <x:v>1</x:v>
      </x:c>
      <x:c r="L1185" s="1" t="n">
        <x:f>IF(AND(K1185=1,G1185&lt;&gt;"",G1185&lt;=F1185),1,0)</x:f>
        <x:v>0</x:v>
      </x:c>
      <x:c r="M1185" s="1" t="n">
        <x:f>IF(AND(G1185&lt;&gt;"",G1185&lt;Reporting!$B$4),1,0)</x:f>
        <x:v>1</x:v>
      </x:c>
      <x:c r="N1185" s="16" t="n">
        <x:f>IF(M1185=1,G1185-E1185,"")</x:f>
        <x:v>13.083333333328483</x:v>
      </x:c>
      <x:c r="O1185" s="1" t="str">
        <x:f>IF(E1185&gt;=Reporting!$B$4,"Outside cutoff",IF(M1185=1,"Closed",IF(J1185=1,"Overdue","Open - within SLA")))</x:f>
        <x:v>Closed</x:v>
      </x:c>
    </x:row>
    <x:row r="1186">
      <x:c r="A1186" s="14" t="str">
        <x:v>CASE-01181</x:v>
      </x:c>
      <x:c r="B1186" s="14" t="str">
        <x:v>Warehouse</x:v>
      </x:c>
      <x:c r="C1186" s="14" t="str">
        <x:v>Process deviation</x:v>
      </x:c>
      <x:c r="D1186" s="14" t="str">
        <x:v>Medium</x:v>
      </x:c>
      <x:c r="E1186" s="15" t="n">
        <x:v>46284.625</x:v>
      </x:c>
      <x:c r="F1186" s="15" t="n">
        <x:v>46291.625</x:v>
      </x:c>
      <x:c r="G1186" s="15"/>
      <x:c r="H1186" s="14" t="n">
        <x:v>2</x:v>
      </x:c>
      <x:c r="I1186" s="1" t="n">
        <x:f>IF(AND(E1186&lt;Reporting!$B$4,OR(G1186="",G1186&gt;=Reporting!$B$4)),1,0)</x:f>
        <x:v>1</x:v>
      </x:c>
      <x:c r="J1186" s="1" t="n">
        <x:f>IF(AND(I1186=1,F1186&lt;Reporting!$B$4),1,0)</x:f>
        <x:v>0</x:v>
      </x:c>
      <x:c r="K1186" s="1" t="n">
        <x:f>IF(F1186&lt;Reporting!$B$4,1,0)</x:f>
        <x:v>0</x:v>
      </x:c>
      <x:c r="L1186" s="1" t="n">
        <x:f>IF(AND(K1186=1,G1186&lt;&gt;"",G1186&lt;=F1186),1,0)</x:f>
        <x:v>0</x:v>
      </x:c>
      <x:c r="M1186" s="1" t="n">
        <x:f>IF(AND(G1186&lt;&gt;"",G1186&lt;Reporting!$B$4),1,0)</x:f>
        <x:v>0</x:v>
      </x:c>
      <x:c r="N1186" s="16" t="str">
        <x:f>IF(M1186=1,G1186-E1186,"")</x:f>
      </x:c>
      <x:c r="O1186" s="1" t="str">
        <x:f>IF(E1186&gt;=Reporting!$B$4,"Outside cutoff",IF(M1186=1,"Closed",IF(J1186=1,"Overdue","Open - within SLA")))</x:f>
        <x:v>Open - within SLA</x:v>
      </x:c>
    </x:row>
    <x:row r="1187">
      <x:c r="A1187" s="14" t="str">
        <x:v>CASE-01182</x:v>
      </x:c>
      <x:c r="B1187" s="14" t="str">
        <x:v>Customer Services</x:v>
      </x:c>
      <x:c r="C1187" s="14" t="str">
        <x:v>Record mismatch</x:v>
      </x:c>
      <x:c r="D1187" s="14" t="str">
        <x:v>Medium</x:v>
      </x:c>
      <x:c r="E1187" s="15" t="n">
        <x:v>46261.666666666664</x:v>
      </x:c>
      <x:c r="F1187" s="15" t="n">
        <x:v>46268.666666666664</x:v>
      </x:c>
      <x:c r="G1187" s="15"/>
      <x:c r="H1187" s="14" t="n">
        <x:v>1</x:v>
      </x:c>
      <x:c r="I1187" s="1" t="n">
        <x:f>IF(AND(E1187&lt;Reporting!$B$4,OR(G1187="",G1187&gt;=Reporting!$B$4)),1,0)</x:f>
        <x:v>1</x:v>
      </x:c>
      <x:c r="J1187" s="1" t="n">
        <x:f>IF(AND(I1187=1,F1187&lt;Reporting!$B$4),1,0)</x:f>
        <x:v>1</x:v>
      </x:c>
      <x:c r="K1187" s="1" t="n">
        <x:f>IF(F1187&lt;Reporting!$B$4,1,0)</x:f>
        <x:v>1</x:v>
      </x:c>
      <x:c r="L1187" s="1" t="n">
        <x:f>IF(AND(K1187=1,G1187&lt;&gt;"",G1187&lt;=F1187),1,0)</x:f>
        <x:v>0</x:v>
      </x:c>
      <x:c r="M1187" s="1" t="n">
        <x:f>IF(AND(G1187&lt;&gt;"",G1187&lt;Reporting!$B$4),1,0)</x:f>
        <x:v>0</x:v>
      </x:c>
      <x:c r="N1187" s="16" t="str">
        <x:f>IF(M1187=1,G1187-E1187,"")</x:f>
      </x:c>
      <x:c r="O1187" s="1" t="str">
        <x:f>IF(E1187&gt;=Reporting!$B$4,"Outside cutoff",IF(M1187=1,"Closed",IF(J1187=1,"Overdue","Open - within SLA")))</x:f>
        <x:v>Overdue</x:v>
      </x:c>
    </x:row>
    <x:row r="1188">
      <x:c r="A1188" s="14" t="str">
        <x:v>CASE-01183</x:v>
      </x:c>
      <x:c r="B1188" s="14" t="str">
        <x:v>Warehouse</x:v>
      </x:c>
      <x:c r="C1188" s="14" t="str">
        <x:v>Late review</x:v>
      </x:c>
      <x:c r="D1188" s="14" t="str">
        <x:v>Medium</x:v>
      </x:c>
      <x:c r="E1188" s="15" t="n">
        <x:v>46238.666666666664</x:v>
      </x:c>
      <x:c r="F1188" s="15" t="n">
        <x:v>46245.666666666664</x:v>
      </x:c>
      <x:c r="G1188" s="15"/>
      <x:c r="H1188" s="14" t="n">
        <x:v>2</x:v>
      </x:c>
      <x:c r="I1188" s="1" t="n">
        <x:f>IF(AND(E1188&lt;Reporting!$B$4,OR(G1188="",G1188&gt;=Reporting!$B$4)),1,0)</x:f>
        <x:v>1</x:v>
      </x:c>
      <x:c r="J1188" s="1" t="n">
        <x:f>IF(AND(I1188=1,F1188&lt;Reporting!$B$4),1,0)</x:f>
        <x:v>1</x:v>
      </x:c>
      <x:c r="K1188" s="1" t="n">
        <x:f>IF(F1188&lt;Reporting!$B$4,1,0)</x:f>
        <x:v>1</x:v>
      </x:c>
      <x:c r="L1188" s="1" t="n">
        <x:f>IF(AND(K1188=1,G1188&lt;&gt;"",G1188&lt;=F1188),1,0)</x:f>
        <x:v>0</x:v>
      </x:c>
      <x:c r="M1188" s="1" t="n">
        <x:f>IF(AND(G1188&lt;&gt;"",G1188&lt;Reporting!$B$4),1,0)</x:f>
        <x:v>0</x:v>
      </x:c>
      <x:c r="N1188" s="16" t="str">
        <x:f>IF(M1188=1,G1188-E1188,"")</x:f>
      </x:c>
      <x:c r="O1188" s="1" t="str">
        <x:f>IF(E1188&gt;=Reporting!$B$4,"Outside cutoff",IF(M1188=1,"Closed",IF(J1188=1,"Overdue","Open - within SLA")))</x:f>
        <x:v>Overdue</x:v>
      </x:c>
    </x:row>
    <x:row r="1189">
      <x:c r="A1189" s="14" t="str">
        <x:v>CASE-01184</x:v>
      </x:c>
      <x:c r="B1189" s="14" t="str">
        <x:v>Installation</x:v>
      </x:c>
      <x:c r="C1189" s="14" t="str">
        <x:v>Late review</x:v>
      </x:c>
      <x:c r="D1189" s="14" t="str">
        <x:v>Low</x:v>
      </x:c>
      <x:c r="E1189" s="15" t="n">
        <x:v>46237.625</x:v>
      </x:c>
      <x:c r="F1189" s="15" t="n">
        <x:v>46251.625</x:v>
      </x:c>
      <x:c r="G1189" s="15" t="n">
        <x:v>46252.625</x:v>
      </x:c>
      <x:c r="H1189" s="14" t="n">
        <x:v>3</x:v>
      </x:c>
      <x:c r="I1189" s="1" t="n">
        <x:f>IF(AND(E1189&lt;Reporting!$B$4,OR(G1189="",G1189&gt;=Reporting!$B$4)),1,0)</x:f>
        <x:v>0</x:v>
      </x:c>
      <x:c r="J1189" s="1" t="n">
        <x:f>IF(AND(I1189=1,F1189&lt;Reporting!$B$4),1,0)</x:f>
        <x:v>0</x:v>
      </x:c>
      <x:c r="K1189" s="1" t="n">
        <x:f>IF(F1189&lt;Reporting!$B$4,1,0)</x:f>
        <x:v>1</x:v>
      </x:c>
      <x:c r="L1189" s="1" t="n">
        <x:f>IF(AND(K1189=1,G1189&lt;&gt;"",G1189&lt;=F1189),1,0)</x:f>
        <x:v>0</x:v>
      </x:c>
      <x:c r="M1189" s="1" t="n">
        <x:f>IF(AND(G1189&lt;&gt;"",G1189&lt;Reporting!$B$4),1,0)</x:f>
        <x:v>1</x:v>
      </x:c>
      <x:c r="N1189" s="16" t="n">
        <x:f>IF(M1189=1,G1189-E1189,"")</x:f>
        <x:v>15</x:v>
      </x:c>
      <x:c r="O1189" s="1" t="str">
        <x:f>IF(E1189&gt;=Reporting!$B$4,"Outside cutoff",IF(M1189=1,"Closed",IF(J1189=1,"Overdue","Open - within SLA")))</x:f>
        <x:v>Closed</x:v>
      </x:c>
    </x:row>
    <x:row r="1190">
      <x:c r="A1190" s="14" t="str">
        <x:v>CASE-01185</x:v>
      </x:c>
      <x:c r="B1190" s="14" t="str">
        <x:v>Customer Services</x:v>
      </x:c>
      <x:c r="C1190" s="14" t="str">
        <x:v>Missing evidence</x:v>
      </x:c>
      <x:c r="D1190" s="14" t="str">
        <x:v>Medium</x:v>
      </x:c>
      <x:c r="E1190" s="15" t="n">
        <x:v>46254.583333333336</x:v>
      </x:c>
      <x:c r="F1190" s="15" t="n">
        <x:v>46261.583333333336</x:v>
      </x:c>
      <x:c r="G1190" s="15" t="n">
        <x:v>46267.666666666664</x:v>
      </x:c>
      <x:c r="H1190" s="14" t="n">
        <x:v>1</x:v>
      </x:c>
      <x:c r="I1190" s="1" t="n">
        <x:f>IF(AND(E1190&lt;Reporting!$B$4,OR(G1190="",G1190&gt;=Reporting!$B$4)),1,0)</x:f>
        <x:v>0</x:v>
      </x:c>
      <x:c r="J1190" s="1" t="n">
        <x:f>IF(AND(I1190=1,F1190&lt;Reporting!$B$4),1,0)</x:f>
        <x:v>0</x:v>
      </x:c>
      <x:c r="K1190" s="1" t="n">
        <x:f>IF(F1190&lt;Reporting!$B$4,1,0)</x:f>
        <x:v>1</x:v>
      </x:c>
      <x:c r="L1190" s="1" t="n">
        <x:f>IF(AND(K1190=1,G1190&lt;&gt;"",G1190&lt;=F1190),1,0)</x:f>
        <x:v>0</x:v>
      </x:c>
      <x:c r="M1190" s="1" t="n">
        <x:f>IF(AND(G1190&lt;&gt;"",G1190&lt;Reporting!$B$4),1,0)</x:f>
        <x:v>1</x:v>
      </x:c>
      <x:c r="N1190" s="16" t="n">
        <x:f>IF(M1190=1,G1190-E1190,"")</x:f>
        <x:v>13.083333333328483</x:v>
      </x:c>
      <x:c r="O1190" s="1" t="str">
        <x:f>IF(E1190&gt;=Reporting!$B$4,"Outside cutoff",IF(M1190=1,"Closed",IF(J1190=1,"Overdue","Open - within SLA")))</x:f>
        <x:v>Closed</x:v>
      </x:c>
    </x:row>
    <x:row r="1191">
      <x:c r="A1191" s="14" t="str">
        <x:v>CASE-01186</x:v>
      </x:c>
      <x:c r="B1191" s="14" t="str">
        <x:v>Customer Services</x:v>
      </x:c>
      <x:c r="C1191" s="14" t="str">
        <x:v>Missing evidence</x:v>
      </x:c>
      <x:c r="D1191" s="14" t="str">
        <x:v>High</x:v>
      </x:c>
      <x:c r="E1191" s="15" t="n">
        <x:v>46249.458333333336</x:v>
      </x:c>
      <x:c r="F1191" s="15" t="n">
        <x:v>46252.458333333336</x:v>
      </x:c>
      <x:c r="G1191" s="15" t="n">
        <x:v>46258.5</x:v>
      </x:c>
      <x:c r="H1191" s="14" t="n">
        <x:v>1</x:v>
      </x:c>
      <x:c r="I1191" s="1" t="n">
        <x:f>IF(AND(E1191&lt;Reporting!$B$4,OR(G1191="",G1191&gt;=Reporting!$B$4)),1,0)</x:f>
        <x:v>0</x:v>
      </x:c>
      <x:c r="J1191" s="1" t="n">
        <x:f>IF(AND(I1191=1,F1191&lt;Reporting!$B$4),1,0)</x:f>
        <x:v>0</x:v>
      </x:c>
      <x:c r="K1191" s="1" t="n">
        <x:f>IF(F1191&lt;Reporting!$B$4,1,0)</x:f>
        <x:v>1</x:v>
      </x:c>
      <x:c r="L1191" s="1" t="n">
        <x:f>IF(AND(K1191=1,G1191&lt;&gt;"",G1191&lt;=F1191),1,0)</x:f>
        <x:v>0</x:v>
      </x:c>
      <x:c r="M1191" s="1" t="n">
        <x:f>IF(AND(G1191&lt;&gt;"",G1191&lt;Reporting!$B$4),1,0)</x:f>
        <x:v>1</x:v>
      </x:c>
      <x:c r="N1191" s="16" t="n">
        <x:f>IF(M1191=1,G1191-E1191,"")</x:f>
        <x:v>9.041666666664241</x:v>
      </x:c>
      <x:c r="O1191" s="1" t="str">
        <x:f>IF(E1191&gt;=Reporting!$B$4,"Outside cutoff",IF(M1191=1,"Closed",IF(J1191=1,"Overdue","Open - within SLA")))</x:f>
        <x:v>Closed</x:v>
      </x:c>
    </x:row>
    <x:row r="1192">
      <x:c r="A1192" s="14" t="str">
        <x:v>CASE-01187</x:v>
      </x:c>
      <x:c r="B1192" s="14" t="str">
        <x:v>Installation</x:v>
      </x:c>
      <x:c r="C1192" s="14" t="str">
        <x:v>Record mismatch</x:v>
      </x:c>
      <x:c r="D1192" s="14" t="str">
        <x:v>Medium</x:v>
      </x:c>
      <x:c r="E1192" s="15" t="n">
        <x:v>46218.416666666664</x:v>
      </x:c>
      <x:c r="F1192" s="15" t="n">
        <x:v>46225.416666666664</x:v>
      </x:c>
      <x:c r="G1192" s="15" t="n">
        <x:v>46225.5</x:v>
      </x:c>
      <x:c r="H1192" s="14" t="n">
        <x:v>3</x:v>
      </x:c>
      <x:c r="I1192" s="1" t="n">
        <x:f>IF(AND(E1192&lt;Reporting!$B$4,OR(G1192="",G1192&gt;=Reporting!$B$4)),1,0)</x:f>
        <x:v>0</x:v>
      </x:c>
      <x:c r="J1192" s="1" t="n">
        <x:f>IF(AND(I1192=1,F1192&lt;Reporting!$B$4),1,0)</x:f>
        <x:v>0</x:v>
      </x:c>
      <x:c r="K1192" s="1" t="n">
        <x:f>IF(F1192&lt;Reporting!$B$4,1,0)</x:f>
        <x:v>1</x:v>
      </x:c>
      <x:c r="L1192" s="1" t="n">
        <x:f>IF(AND(K1192=1,G1192&lt;&gt;"",G1192&lt;=F1192),1,0)</x:f>
        <x:v>0</x:v>
      </x:c>
      <x:c r="M1192" s="1" t="n">
        <x:f>IF(AND(G1192&lt;&gt;"",G1192&lt;Reporting!$B$4),1,0)</x:f>
        <x:v>1</x:v>
      </x:c>
      <x:c r="N1192" s="16" t="n">
        <x:f>IF(M1192=1,G1192-E1192,"")</x:f>
        <x:v>7.083333333335759</x:v>
      </x:c>
      <x:c r="O1192" s="1" t="str">
        <x:f>IF(E1192&gt;=Reporting!$B$4,"Outside cutoff",IF(M1192=1,"Closed",IF(J1192=1,"Overdue","Open - within SLA")))</x:f>
        <x:v>Closed</x:v>
      </x:c>
    </x:row>
    <x:row r="1193">
      <x:c r="A1193" s="14" t="str">
        <x:v>CASE-01188</x:v>
      </x:c>
      <x:c r="B1193" s="14" t="str">
        <x:v>Installation</x:v>
      </x:c>
      <x:c r="C1193" s="14" t="str">
        <x:v>Missing evidence</x:v>
      </x:c>
      <x:c r="D1193" s="14" t="str">
        <x:v>Medium</x:v>
      </x:c>
      <x:c r="E1193" s="15" t="n">
        <x:v>46260.625</x:v>
      </x:c>
      <x:c r="F1193" s="15" t="n">
        <x:v>46267.625</x:v>
      </x:c>
      <x:c r="G1193" s="15" t="n">
        <x:v>46274.666666666664</x:v>
      </x:c>
      <x:c r="H1193" s="14" t="n">
        <x:v>3</x:v>
      </x:c>
      <x:c r="I1193" s="1" t="n">
        <x:f>IF(AND(E1193&lt;Reporting!$B$4,OR(G1193="",G1193&gt;=Reporting!$B$4)),1,0)</x:f>
        <x:v>0</x:v>
      </x:c>
      <x:c r="J1193" s="1" t="n">
        <x:f>IF(AND(I1193=1,F1193&lt;Reporting!$B$4),1,0)</x:f>
        <x:v>0</x:v>
      </x:c>
      <x:c r="K1193" s="1" t="n">
        <x:f>IF(F1193&lt;Reporting!$B$4,1,0)</x:f>
        <x:v>1</x:v>
      </x:c>
      <x:c r="L1193" s="1" t="n">
        <x:f>IF(AND(K1193=1,G1193&lt;&gt;"",G1193&lt;=F1193),1,0)</x:f>
        <x:v>0</x:v>
      </x:c>
      <x:c r="M1193" s="1" t="n">
        <x:f>IF(AND(G1193&lt;&gt;"",G1193&lt;Reporting!$B$4),1,0)</x:f>
        <x:v>1</x:v>
      </x:c>
      <x:c r="N1193" s="16" t="n">
        <x:f>IF(M1193=1,G1193-E1193,"")</x:f>
        <x:v>14.041666666664241</x:v>
      </x:c>
      <x:c r="O1193" s="1" t="str">
        <x:f>IF(E1193&gt;=Reporting!$B$4,"Outside cutoff",IF(M1193=1,"Closed",IF(J1193=1,"Overdue","Open - within SLA")))</x:f>
        <x:v>Closed</x:v>
      </x:c>
    </x:row>
    <x:row r="1194">
      <x:c r="A1194" s="14" t="str">
        <x:v>CASE-01189</x:v>
      </x:c>
      <x:c r="B1194" s="14" t="str">
        <x:v>Installation</x:v>
      </x:c>
      <x:c r="C1194" s="14" t="str">
        <x:v>Missing evidence</x:v>
      </x:c>
      <x:c r="D1194" s="14" t="str">
        <x:v>Medium</x:v>
      </x:c>
      <x:c r="E1194" s="15" t="n">
        <x:v>46240.458333333336</x:v>
      </x:c>
      <x:c r="F1194" s="15" t="n">
        <x:v>46247.458333333336</x:v>
      </x:c>
      <x:c r="G1194" s="15" t="n">
        <x:v>46244.541666666664</x:v>
      </x:c>
      <x:c r="H1194" s="14" t="n">
        <x:v>3</x:v>
      </x:c>
      <x:c r="I1194" s="1" t="n">
        <x:f>IF(AND(E1194&lt;Reporting!$B$4,OR(G1194="",G1194&gt;=Reporting!$B$4)),1,0)</x:f>
        <x:v>0</x:v>
      </x:c>
      <x:c r="J1194" s="1" t="n">
        <x:f>IF(AND(I1194=1,F1194&lt;Reporting!$B$4),1,0)</x:f>
        <x:v>0</x:v>
      </x:c>
      <x:c r="K1194" s="1" t="n">
        <x:f>IF(F1194&lt;Reporting!$B$4,1,0)</x:f>
        <x:v>1</x:v>
      </x:c>
      <x:c r="L1194" s="1" t="n">
        <x:f>IF(AND(K1194=1,G1194&lt;&gt;"",G1194&lt;=F1194),1,0)</x:f>
        <x:v>1</x:v>
      </x:c>
      <x:c r="M1194" s="1" t="n">
        <x:f>IF(AND(G1194&lt;&gt;"",G1194&lt;Reporting!$B$4),1,0)</x:f>
        <x:v>1</x:v>
      </x:c>
      <x:c r="N1194" s="16" t="n">
        <x:f>IF(M1194=1,G1194-E1194,"")</x:f>
        <x:v>4.083333333328483</x:v>
      </x:c>
      <x:c r="O1194" s="1" t="str">
        <x:f>IF(E1194&gt;=Reporting!$B$4,"Outside cutoff",IF(M1194=1,"Closed",IF(J1194=1,"Overdue","Open - within SLA")))</x:f>
        <x:v>Closed</x:v>
      </x:c>
    </x:row>
    <x:row r="1195">
      <x:c r="A1195" s="14" t="str">
        <x:v>CASE-01190</x:v>
      </x:c>
      <x:c r="B1195" s="14" t="str">
        <x:v>Warehouse</x:v>
      </x:c>
      <x:c r="C1195" s="14" t="str">
        <x:v>Process deviation</x:v>
      </x:c>
      <x:c r="D1195" s="14" t="str">
        <x:v>Low</x:v>
      </x:c>
      <x:c r="E1195" s="15" t="n">
        <x:v>46205.375</x:v>
      </x:c>
      <x:c r="F1195" s="15" t="n">
        <x:v>46219.375</x:v>
      </x:c>
      <x:c r="G1195" s="15" t="n">
        <x:v>46209.416666666664</x:v>
      </x:c>
      <x:c r="H1195" s="14" t="n">
        <x:v>2</x:v>
      </x:c>
      <x:c r="I1195" s="1" t="n">
        <x:f>IF(AND(E1195&lt;Reporting!$B$4,OR(G1195="",G1195&gt;=Reporting!$B$4)),1,0)</x:f>
        <x:v>0</x:v>
      </x:c>
      <x:c r="J1195" s="1" t="n">
        <x:f>IF(AND(I1195=1,F1195&lt;Reporting!$B$4),1,0)</x:f>
        <x:v>0</x:v>
      </x:c>
      <x:c r="K1195" s="1" t="n">
        <x:f>IF(F1195&lt;Reporting!$B$4,1,0)</x:f>
        <x:v>1</x:v>
      </x:c>
      <x:c r="L1195" s="1" t="n">
        <x:f>IF(AND(K1195=1,G1195&lt;&gt;"",G1195&lt;=F1195),1,0)</x:f>
        <x:v>1</x:v>
      </x:c>
      <x:c r="M1195" s="1" t="n">
        <x:f>IF(AND(G1195&lt;&gt;"",G1195&lt;Reporting!$B$4),1,0)</x:f>
        <x:v>1</x:v>
      </x:c>
      <x:c r="N1195" s="16" t="n">
        <x:f>IF(M1195=1,G1195-E1195,"")</x:f>
        <x:v>4.041666666664241</x:v>
      </x:c>
      <x:c r="O1195" s="1" t="str">
        <x:f>IF(E1195&gt;=Reporting!$B$4,"Outside cutoff",IF(M1195=1,"Closed",IF(J1195=1,"Overdue","Open - within SLA")))</x:f>
        <x:v>Closed</x:v>
      </x:c>
    </x:row>
    <x:row r="1196">
      <x:c r="A1196" s="14" t="str">
        <x:v>CASE-01191</x:v>
      </x:c>
      <x:c r="B1196" s="14" t="str">
        <x:v>Customer Services</x:v>
      </x:c>
      <x:c r="C1196" s="14" t="str">
        <x:v>Missing evidence</x:v>
      </x:c>
      <x:c r="D1196" s="14" t="str">
        <x:v>Low</x:v>
      </x:c>
      <x:c r="E1196" s="15" t="n">
        <x:v>46243.5</x:v>
      </x:c>
      <x:c r="F1196" s="15" t="n">
        <x:v>46257.5</x:v>
      </x:c>
      <x:c r="G1196" s="15" t="n">
        <x:v>46256.541666666664</x:v>
      </x:c>
      <x:c r="H1196" s="14" t="n">
        <x:v>1</x:v>
      </x:c>
      <x:c r="I1196" s="1" t="n">
        <x:f>IF(AND(E1196&lt;Reporting!$B$4,OR(G1196="",G1196&gt;=Reporting!$B$4)),1,0)</x:f>
        <x:v>0</x:v>
      </x:c>
      <x:c r="J1196" s="1" t="n">
        <x:f>IF(AND(I1196=1,F1196&lt;Reporting!$B$4),1,0)</x:f>
        <x:v>0</x:v>
      </x:c>
      <x:c r="K1196" s="1" t="n">
        <x:f>IF(F1196&lt;Reporting!$B$4,1,0)</x:f>
        <x:v>1</x:v>
      </x:c>
      <x:c r="L1196" s="1" t="n">
        <x:f>IF(AND(K1196=1,G1196&lt;&gt;"",G1196&lt;=F1196),1,0)</x:f>
        <x:v>1</x:v>
      </x:c>
      <x:c r="M1196" s="1" t="n">
        <x:f>IF(AND(G1196&lt;&gt;"",G1196&lt;Reporting!$B$4),1,0)</x:f>
        <x:v>1</x:v>
      </x:c>
      <x:c r="N1196" s="16" t="n">
        <x:f>IF(M1196=1,G1196-E1196,"")</x:f>
        <x:v>13.041666666664241</x:v>
      </x:c>
      <x:c r="O1196" s="1" t="str">
        <x:f>IF(E1196&gt;=Reporting!$B$4,"Outside cutoff",IF(M1196=1,"Closed",IF(J1196=1,"Overdue","Open - within SLA")))</x:f>
        <x:v>Closed</x:v>
      </x:c>
    </x:row>
    <x:row r="1197">
      <x:c r="A1197" s="14" t="str">
        <x:v>CASE-01192</x:v>
      </x:c>
      <x:c r="B1197" s="14" t="str">
        <x:v>Installation</x:v>
      </x:c>
      <x:c r="C1197" s="14" t="str">
        <x:v>Missing evidence</x:v>
      </x:c>
      <x:c r="D1197" s="14" t="str">
        <x:v>Medium</x:v>
      </x:c>
      <x:c r="E1197" s="15" t="n">
        <x:v>46264.458333333336</x:v>
      </x:c>
      <x:c r="F1197" s="15" t="n">
        <x:v>46271.458333333336</x:v>
      </x:c>
      <x:c r="G1197" s="15" t="n">
        <x:v>46265.5</x:v>
      </x:c>
      <x:c r="H1197" s="14" t="n">
        <x:v>3</x:v>
      </x:c>
      <x:c r="I1197" s="1" t="n">
        <x:f>IF(AND(E1197&lt;Reporting!$B$4,OR(G1197="",G1197&gt;=Reporting!$B$4)),1,0)</x:f>
        <x:v>0</x:v>
      </x:c>
      <x:c r="J1197" s="1" t="n">
        <x:f>IF(AND(I1197=1,F1197&lt;Reporting!$B$4),1,0)</x:f>
        <x:v>0</x:v>
      </x:c>
      <x:c r="K1197" s="1" t="n">
        <x:f>IF(F1197&lt;Reporting!$B$4,1,0)</x:f>
        <x:v>1</x:v>
      </x:c>
      <x:c r="L1197" s="1" t="n">
        <x:f>IF(AND(K1197=1,G1197&lt;&gt;"",G1197&lt;=F1197),1,0)</x:f>
        <x:v>1</x:v>
      </x:c>
      <x:c r="M1197" s="1" t="n">
        <x:f>IF(AND(G1197&lt;&gt;"",G1197&lt;Reporting!$B$4),1,0)</x:f>
        <x:v>1</x:v>
      </x:c>
      <x:c r="N1197" s="16" t="n">
        <x:f>IF(M1197=1,G1197-E1197,"")</x:f>
        <x:v>1.0416666666642413</x:v>
      </x:c>
      <x:c r="O1197" s="1" t="str">
        <x:f>IF(E1197&gt;=Reporting!$B$4,"Outside cutoff",IF(M1197=1,"Closed",IF(J1197=1,"Overdue","Open - within SLA")))</x:f>
        <x:v>Closed</x:v>
      </x:c>
    </x:row>
    <x:row r="1198">
      <x:c r="A1198" s="14" t="str">
        <x:v>CASE-01193</x:v>
      </x:c>
      <x:c r="B1198" s="14" t="str">
        <x:v>Customer Services</x:v>
      </x:c>
      <x:c r="C1198" s="14" t="str">
        <x:v>Missing evidence</x:v>
      </x:c>
      <x:c r="D1198" s="14" t="str">
        <x:v>Low</x:v>
      </x:c>
      <x:c r="E1198" s="15" t="n">
        <x:v>46281.625</x:v>
      </x:c>
      <x:c r="F1198" s="15" t="n">
        <x:v>46295.625</x:v>
      </x:c>
      <x:c r="G1198" s="15"/>
      <x:c r="H1198" s="14" t="n">
        <x:v>1</x:v>
      </x:c>
      <x:c r="I1198" s="1" t="n">
        <x:f>IF(AND(E1198&lt;Reporting!$B$4,OR(G1198="",G1198&gt;=Reporting!$B$4)),1,0)</x:f>
        <x:v>1</x:v>
      </x:c>
      <x:c r="J1198" s="1" t="n">
        <x:f>IF(AND(I1198=1,F1198&lt;Reporting!$B$4),1,0)</x:f>
        <x:v>0</x:v>
      </x:c>
      <x:c r="K1198" s="1" t="n">
        <x:f>IF(F1198&lt;Reporting!$B$4,1,0)</x:f>
        <x:v>0</x:v>
      </x:c>
      <x:c r="L1198" s="1" t="n">
        <x:f>IF(AND(K1198=1,G1198&lt;&gt;"",G1198&lt;=F1198),1,0)</x:f>
        <x:v>0</x:v>
      </x:c>
      <x:c r="M1198" s="1" t="n">
        <x:f>IF(AND(G1198&lt;&gt;"",G1198&lt;Reporting!$B$4),1,0)</x:f>
        <x:v>0</x:v>
      </x:c>
      <x:c r="N1198" s="16" t="str">
        <x:f>IF(M1198=1,G1198-E1198,"")</x:f>
      </x:c>
      <x:c r="O1198" s="1" t="str">
        <x:f>IF(E1198&gt;=Reporting!$B$4,"Outside cutoff",IF(M1198=1,"Closed",IF(J1198=1,"Overdue","Open - within SLA")))</x:f>
        <x:v>Open - within SLA</x:v>
      </x:c>
    </x:row>
    <x:row r="1199">
      <x:c r="A1199" s="14" t="str">
        <x:v>CASE-01194</x:v>
      </x:c>
      <x:c r="B1199" s="14" t="str">
        <x:v>Warehouse</x:v>
      </x:c>
      <x:c r="C1199" s="14" t="str">
        <x:v>Process deviation</x:v>
      </x:c>
      <x:c r="D1199" s="14" t="str">
        <x:v>Medium</x:v>
      </x:c>
      <x:c r="E1199" s="15" t="n">
        <x:v>46263.666666666664</x:v>
      </x:c>
      <x:c r="F1199" s="15" t="n">
        <x:v>46270.666666666664</x:v>
      </x:c>
      <x:c r="G1199" s="15"/>
      <x:c r="H1199" s="14" t="n">
        <x:v>2</x:v>
      </x:c>
      <x:c r="I1199" s="1" t="n">
        <x:f>IF(AND(E1199&lt;Reporting!$B$4,OR(G1199="",G1199&gt;=Reporting!$B$4)),1,0)</x:f>
        <x:v>1</x:v>
      </x:c>
      <x:c r="J1199" s="1" t="n">
        <x:f>IF(AND(I1199=1,F1199&lt;Reporting!$B$4),1,0)</x:f>
        <x:v>1</x:v>
      </x:c>
      <x:c r="K1199" s="1" t="n">
        <x:f>IF(F1199&lt;Reporting!$B$4,1,0)</x:f>
        <x:v>1</x:v>
      </x:c>
      <x:c r="L1199" s="1" t="n">
        <x:f>IF(AND(K1199=1,G1199&lt;&gt;"",G1199&lt;=F1199),1,0)</x:f>
        <x:v>0</x:v>
      </x:c>
      <x:c r="M1199" s="1" t="n">
        <x:f>IF(AND(G1199&lt;&gt;"",G1199&lt;Reporting!$B$4),1,0)</x:f>
        <x:v>0</x:v>
      </x:c>
      <x:c r="N1199" s="16" t="str">
        <x:f>IF(M1199=1,G1199-E1199,"")</x:f>
      </x:c>
      <x:c r="O1199" s="1" t="str">
        <x:f>IF(E1199&gt;=Reporting!$B$4,"Outside cutoff",IF(M1199=1,"Closed",IF(J1199=1,"Overdue","Open - within SLA")))</x:f>
        <x:v>Overdue</x:v>
      </x:c>
    </x:row>
    <x:row r="1200">
      <x:c r="A1200" s="14" t="str">
        <x:v>CASE-01195</x:v>
      </x:c>
      <x:c r="B1200" s="14" t="str">
        <x:v>Warehouse</x:v>
      </x:c>
      <x:c r="C1200" s="14" t="str">
        <x:v>Record mismatch</x:v>
      </x:c>
      <x:c r="D1200" s="14" t="str">
        <x:v>Medium</x:v>
      </x:c>
      <x:c r="E1200" s="15" t="n">
        <x:v>46235.416666666664</x:v>
      </x:c>
      <x:c r="F1200" s="15" t="n">
        <x:v>46242.416666666664</x:v>
      </x:c>
      <x:c r="G1200" s="15" t="n">
        <x:v>46237.5</x:v>
      </x:c>
      <x:c r="H1200" s="14" t="n">
        <x:v>2</x:v>
      </x:c>
      <x:c r="I1200" s="1" t="n">
        <x:f>IF(AND(E1200&lt;Reporting!$B$4,OR(G1200="",G1200&gt;=Reporting!$B$4)),1,0)</x:f>
        <x:v>0</x:v>
      </x:c>
      <x:c r="J1200" s="1" t="n">
        <x:f>IF(AND(I1200=1,F1200&lt;Reporting!$B$4),1,0)</x:f>
        <x:v>0</x:v>
      </x:c>
      <x:c r="K1200" s="1" t="n">
        <x:f>IF(F1200&lt;Reporting!$B$4,1,0)</x:f>
        <x:v>1</x:v>
      </x:c>
      <x:c r="L1200" s="1" t="n">
        <x:f>IF(AND(K1200=1,G1200&lt;&gt;"",G1200&lt;=F1200),1,0)</x:f>
        <x:v>1</x:v>
      </x:c>
      <x:c r="M1200" s="1" t="n">
        <x:f>IF(AND(G1200&lt;&gt;"",G1200&lt;Reporting!$B$4),1,0)</x:f>
        <x:v>1</x:v>
      </x:c>
      <x:c r="N1200" s="16" t="n">
        <x:f>IF(M1200=1,G1200-E1200,"")</x:f>
        <x:v>2.0833333333357587</x:v>
      </x:c>
      <x:c r="O1200" s="1" t="str">
        <x:f>IF(E1200&gt;=Reporting!$B$4,"Outside cutoff",IF(M1200=1,"Closed",IF(J1200=1,"Overdue","Open - within SLA")))</x:f>
        <x:v>Closed</x:v>
      </x:c>
    </x:row>
    <x:row r="1201">
      <x:c r="A1201" s="14" t="str">
        <x:v>CASE-01196</x:v>
      </x:c>
      <x:c r="B1201" s="14" t="str">
        <x:v>Warehouse</x:v>
      </x:c>
      <x:c r="C1201" s="14" t="str">
        <x:v>Missing evidence</x:v>
      </x:c>
      <x:c r="D1201" s="14" t="str">
        <x:v>Medium</x:v>
      </x:c>
      <x:c r="E1201" s="15" t="n">
        <x:v>46238.583333333336</x:v>
      </x:c>
      <x:c r="F1201" s="15" t="n">
        <x:v>46245.583333333336</x:v>
      </x:c>
      <x:c r="G1201" s="15" t="n">
        <x:v>46246.583333333336</x:v>
      </x:c>
      <x:c r="H1201" s="14" t="n">
        <x:v>2</x:v>
      </x:c>
      <x:c r="I1201" s="1" t="n">
        <x:f>IF(AND(E1201&lt;Reporting!$B$4,OR(G1201="",G1201&gt;=Reporting!$B$4)),1,0)</x:f>
        <x:v>0</x:v>
      </x:c>
      <x:c r="J1201" s="1" t="n">
        <x:f>IF(AND(I1201=1,F1201&lt;Reporting!$B$4),1,0)</x:f>
        <x:v>0</x:v>
      </x:c>
      <x:c r="K1201" s="1" t="n">
        <x:f>IF(F1201&lt;Reporting!$B$4,1,0)</x:f>
        <x:v>1</x:v>
      </x:c>
      <x:c r="L1201" s="1" t="n">
        <x:f>IF(AND(K1201=1,G1201&lt;&gt;"",G1201&lt;=F1201),1,0)</x:f>
        <x:v>0</x:v>
      </x:c>
      <x:c r="M1201" s="1" t="n">
        <x:f>IF(AND(G1201&lt;&gt;"",G1201&lt;Reporting!$B$4),1,0)</x:f>
        <x:v>1</x:v>
      </x:c>
      <x:c r="N1201" s="16" t="n">
        <x:f>IF(M1201=1,G1201-E1201,"")</x:f>
        <x:v>8</x:v>
      </x:c>
      <x:c r="O1201" s="1" t="str">
        <x:f>IF(E1201&gt;=Reporting!$B$4,"Outside cutoff",IF(M1201=1,"Closed",IF(J1201=1,"Overdue","Open - within SLA")))</x:f>
        <x:v>Closed</x:v>
      </x:c>
    </x:row>
    <x:row r="1202">
      <x:c r="A1202" s="14" t="str">
        <x:v>CASE-01197</x:v>
      </x:c>
      <x:c r="B1202" s="14" t="str">
        <x:v>Customer Services</x:v>
      </x:c>
      <x:c r="C1202" s="14" t="str">
        <x:v>Record mismatch</x:v>
      </x:c>
      <x:c r="D1202" s="14" t="str">
        <x:v>Low</x:v>
      </x:c>
      <x:c r="E1202" s="15" t="n">
        <x:v>46267.5</x:v>
      </x:c>
      <x:c r="F1202" s="15" t="n">
        <x:v>46281.5</x:v>
      </x:c>
      <x:c r="G1202" s="15" t="n">
        <x:v>46285.541666666664</x:v>
      </x:c>
      <x:c r="H1202" s="14" t="n">
        <x:v>1</x:v>
      </x:c>
      <x:c r="I1202" s="1" t="n">
        <x:f>IF(AND(E1202&lt;Reporting!$B$4,OR(G1202="",G1202&gt;=Reporting!$B$4)),1,0)</x:f>
        <x:v>0</x:v>
      </x:c>
      <x:c r="J1202" s="1" t="n">
        <x:f>IF(AND(I1202=1,F1202&lt;Reporting!$B$4),1,0)</x:f>
        <x:v>0</x:v>
      </x:c>
      <x:c r="K1202" s="1" t="n">
        <x:f>IF(F1202&lt;Reporting!$B$4,1,0)</x:f>
        <x:v>1</x:v>
      </x:c>
      <x:c r="L1202" s="1" t="n">
        <x:f>IF(AND(K1202=1,G1202&lt;&gt;"",G1202&lt;=F1202),1,0)</x:f>
        <x:v>0</x:v>
      </x:c>
      <x:c r="M1202" s="1" t="n">
        <x:f>IF(AND(G1202&lt;&gt;"",G1202&lt;Reporting!$B$4),1,0)</x:f>
        <x:v>1</x:v>
      </x:c>
      <x:c r="N1202" s="16" t="n">
        <x:f>IF(M1202=1,G1202-E1202,"")</x:f>
        <x:v>18.04166666666424</x:v>
      </x:c>
      <x:c r="O1202" s="1" t="str">
        <x:f>IF(E1202&gt;=Reporting!$B$4,"Outside cutoff",IF(M1202=1,"Closed",IF(J1202=1,"Overdue","Open - within SLA")))</x:f>
        <x:v>Closed</x:v>
      </x:c>
    </x:row>
    <x:row r="1203">
      <x:c r="A1203" s="14" t="str">
        <x:v>CASE-01198</x:v>
      </x:c>
      <x:c r="B1203" s="14" t="str">
        <x:v>Customer Services</x:v>
      </x:c>
      <x:c r="C1203" s="14" t="str">
        <x:v>Missing evidence</x:v>
      </x:c>
      <x:c r="D1203" s="14" t="str">
        <x:v>High</x:v>
      </x:c>
      <x:c r="E1203" s="15" t="n">
        <x:v>46278.333333333336</x:v>
      </x:c>
      <x:c r="F1203" s="15" t="n">
        <x:v>46281.333333333336</x:v>
      </x:c>
      <x:c r="G1203" s="15" t="n">
        <x:v>46283.416666666664</x:v>
      </x:c>
      <x:c r="H1203" s="14" t="n">
        <x:v>1</x:v>
      </x:c>
      <x:c r="I1203" s="1" t="n">
        <x:f>IF(AND(E1203&lt;Reporting!$B$4,OR(G1203="",G1203&gt;=Reporting!$B$4)),1,0)</x:f>
        <x:v>0</x:v>
      </x:c>
      <x:c r="J1203" s="1" t="n">
        <x:f>IF(AND(I1203=1,F1203&lt;Reporting!$B$4),1,0)</x:f>
        <x:v>0</x:v>
      </x:c>
      <x:c r="K1203" s="1" t="n">
        <x:f>IF(F1203&lt;Reporting!$B$4,1,0)</x:f>
        <x:v>1</x:v>
      </x:c>
      <x:c r="L1203" s="1" t="n">
        <x:f>IF(AND(K1203=1,G1203&lt;&gt;"",G1203&lt;=F1203),1,0)</x:f>
        <x:v>0</x:v>
      </x:c>
      <x:c r="M1203" s="1" t="n">
        <x:f>IF(AND(G1203&lt;&gt;"",G1203&lt;Reporting!$B$4),1,0)</x:f>
        <x:v>1</x:v>
      </x:c>
      <x:c r="N1203" s="16" t="n">
        <x:f>IF(M1203=1,G1203-E1203,"")</x:f>
        <x:v>5.083333333328483</x:v>
      </x:c>
      <x:c r="O1203" s="1" t="str">
        <x:f>IF(E1203&gt;=Reporting!$B$4,"Outside cutoff",IF(M1203=1,"Closed",IF(J1203=1,"Overdue","Open - within SLA")))</x:f>
        <x:v>Closed</x:v>
      </x:c>
    </x:row>
    <x:row r="1204">
      <x:c r="A1204" s="14" t="str">
        <x:v>CASE-01199</x:v>
      </x:c>
      <x:c r="B1204" s="14" t="str">
        <x:v>Customer Services</x:v>
      </x:c>
      <x:c r="C1204" s="14" t="str">
        <x:v>Record mismatch</x:v>
      </x:c>
      <x:c r="D1204" s="14" t="str">
        <x:v>Low</x:v>
      </x:c>
      <x:c r="E1204" s="15" t="n">
        <x:v>46243.333333333336</x:v>
      </x:c>
      <x:c r="F1204" s="15" t="n">
        <x:v>46257.333333333336</x:v>
      </x:c>
      <x:c r="G1204" s="15" t="n">
        <x:v>46244.375</x:v>
      </x:c>
      <x:c r="H1204" s="14" t="n">
        <x:v>1</x:v>
      </x:c>
      <x:c r="I1204" s="1" t="n">
        <x:f>IF(AND(E1204&lt;Reporting!$B$4,OR(G1204="",G1204&gt;=Reporting!$B$4)),1,0)</x:f>
        <x:v>0</x:v>
      </x:c>
      <x:c r="J1204" s="1" t="n">
        <x:f>IF(AND(I1204=1,F1204&lt;Reporting!$B$4),1,0)</x:f>
        <x:v>0</x:v>
      </x:c>
      <x:c r="K1204" s="1" t="n">
        <x:f>IF(F1204&lt;Reporting!$B$4,1,0)</x:f>
        <x:v>1</x:v>
      </x:c>
      <x:c r="L1204" s="1" t="n">
        <x:f>IF(AND(K1204=1,G1204&lt;&gt;"",G1204&lt;=F1204),1,0)</x:f>
        <x:v>1</x:v>
      </x:c>
      <x:c r="M1204" s="1" t="n">
        <x:f>IF(AND(G1204&lt;&gt;"",G1204&lt;Reporting!$B$4),1,0)</x:f>
        <x:v>1</x:v>
      </x:c>
      <x:c r="N1204" s="16" t="n">
        <x:f>IF(M1204=1,G1204-E1204,"")</x:f>
        <x:v>1.0416666666642413</x:v>
      </x:c>
      <x:c r="O1204" s="1" t="str">
        <x:f>IF(E1204&gt;=Reporting!$B$4,"Outside cutoff",IF(M1204=1,"Closed",IF(J1204=1,"Overdue","Open - within SLA")))</x:f>
        <x:v>Closed</x:v>
      </x:c>
    </x:row>
    <x:row r="1205">
      <x:c r="A1205" s="14" t="str">
        <x:v>CASE-01200</x:v>
      </x:c>
      <x:c r="B1205" s="14" t="str">
        <x:v>Customer Services</x:v>
      </x:c>
      <x:c r="C1205" s="14" t="str">
        <x:v>Missing evidence</x:v>
      </x:c>
      <x:c r="D1205" s="14" t="str">
        <x:v>Low</x:v>
      </x:c>
      <x:c r="E1205" s="15" t="n">
        <x:v>46228.458333333336</x:v>
      </x:c>
      <x:c r="F1205" s="15" t="n">
        <x:v>46242.458333333336</x:v>
      </x:c>
      <x:c r="G1205" s="15" t="n">
        <x:v>46237.541666666664</x:v>
      </x:c>
      <x:c r="H1205" s="14" t="n">
        <x:v>1</x:v>
      </x:c>
      <x:c r="I1205" s="1" t="n">
        <x:f>IF(AND(E1205&lt;Reporting!$B$4,OR(G1205="",G1205&gt;=Reporting!$B$4)),1,0)</x:f>
        <x:v>0</x:v>
      </x:c>
      <x:c r="J1205" s="1" t="n">
        <x:f>IF(AND(I1205=1,F1205&lt;Reporting!$B$4),1,0)</x:f>
        <x:v>0</x:v>
      </x:c>
      <x:c r="K1205" s="1" t="n">
        <x:f>IF(F1205&lt;Reporting!$B$4,1,0)</x:f>
        <x:v>1</x:v>
      </x:c>
      <x:c r="L1205" s="1" t="n">
        <x:f>IF(AND(K1205=1,G1205&lt;&gt;"",G1205&lt;=F1205),1,0)</x:f>
        <x:v>1</x:v>
      </x:c>
      <x:c r="M1205" s="1" t="n">
        <x:f>IF(AND(G1205&lt;&gt;"",G1205&lt;Reporting!$B$4),1,0)</x:f>
        <x:v>1</x:v>
      </x:c>
      <x:c r="N1205" s="16" t="n">
        <x:f>IF(M1205=1,G1205-E1205,"")</x:f>
        <x:v>9.083333333328483</x:v>
      </x:c>
      <x:c r="O1205" s="1" t="str">
        <x:f>IF(E1205&gt;=Reporting!$B$4,"Outside cutoff",IF(M1205=1,"Closed",IF(J1205=1,"Overdue","Open - within SLA")))</x:f>
        <x:v>Closed</x:v>
      </x:c>
    </x:row>
  </x:sheetData>
  <x:mergeCells>
    <x:mergeCell ref="A1:H2"/>
    <x:mergeCell ref="A3:H4"/>
  </x:mergeCells>
  <x:conditionalFormatting sqref="J6:J1205">
    <x:cfRule type="cellIs" dxfId="0" priority="1" operator="equal">
      <x:formula>1</x:formula>
    </x:cfRule>
  </x:conditionalFormatting>
  <x:pageMargins left="0.7" right="0.7" top="0.75" bottom="0.75" header="0.3" footer="0.3"/>
  <x:tableParts count="1">
    <x:tablePart xmlns:r="http://schemas.openxmlformats.org/officeDocument/2006/relationships" r:id="Refb72dab5c3c4c1d"/>
  </x:tableParts>
</x:worksheet>
</file>

<file path=xl/worksheets/sheet4.xml><?xml version="1.0" encoding="utf-8"?>
<x:worksheet xmlns:x="http://schemas.openxmlformats.org/spreadsheetml/2006/main">
  <x:sheetPr>
    <x:tabColor rgb="FF087E83"/>
  </x:sheetPr>
  <x:sheetViews>
    <x:sheetView showGridLines="0" workbookViewId="0">
      <x:pane ySplit="5" topLeftCell="A6" activePane="bottomLeft" state="frozen"/>
    </x:sheetView>
  </x:sheetViews>
  <x:sheetFormatPr defaultRowHeight="15"/>
  <x:cols>
    <x:col min="1" max="1" width="17" hidden="0" customWidth="1"/>
    <x:col min="2" max="2" width="24"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24"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ht="23" customHeight="1">
      <x:c r="A1" s="5" t="str">
        <x:v>Report freshness and publication controls</x:v>
      </x:c>
      <x:c r="B1" s="5"/>
      <x:c r="C1" s="5"/>
      <x:c r="D1" s="5"/>
      <x:c r="E1" s="5"/>
      <x:c r="F1" s="5"/>
      <x:c r="G1" s="5"/>
      <x:c r="H1" s="5"/>
      <x:c r="I1" s="5"/>
      <x:c r="J1" s="5"/>
      <x:c r="K1" s="1"/>
      <x:c r="L1" s="1"/>
      <x:c r="M1" s="1"/>
      <x:c r="N1" s="1"/>
      <x:c r="O1" s="1"/>
      <x:c r="P1" s="1"/>
    </x:row>
    <x:row r="2" ht="23" customHeight="1">
      <x:c r="A2" s="5"/>
      <x:c r="B2" s="5"/>
      <x:c r="C2" s="5"/>
      <x:c r="D2" s="5"/>
      <x:c r="E2" s="5"/>
      <x:c r="F2" s="5"/>
      <x:c r="G2" s="5"/>
      <x:c r="H2" s="5"/>
      <x:c r="I2" s="5"/>
      <x:c r="J2" s="5"/>
      <x:c r="K2" s="1"/>
      <x:c r="L2" s="1"/>
      <x:c r="M2" s="1"/>
      <x:c r="N2" s="1"/>
      <x:c r="O2" s="1"/>
      <x:c r="P2" s="1"/>
    </x:row>
    <x:row r="3" ht="23" customHeight="1">
      <x:c r="A3" s="9" t="str">
        <x:v>Four controlled tests executed on 27 Sep 2026. Evaluation times simulate source freshness and deadlines; these are not historical scheduled runs. Blocked runs preserve the latest successful report.</x:v>
      </x:c>
      <x:c r="B3" s="9"/>
      <x:c r="C3" s="9"/>
      <x:c r="D3" s="9"/>
      <x:c r="E3" s="9"/>
      <x:c r="F3" s="9"/>
      <x:c r="G3" s="9"/>
      <x:c r="H3" s="9"/>
      <x:c r="I3" s="9"/>
      <x:c r="J3" s="9"/>
      <x:c r="K3" s="1"/>
      <x:c r="L3" s="1"/>
      <x:c r="M3" s="1"/>
      <x:c r="N3" s="1"/>
      <x:c r="O3" s="1"/>
      <x:c r="P3" s="1"/>
    </x:row>
    <x:row r="4" ht="23" customHeight="1">
      <x:c r="A4" s="9"/>
      <x:c r="B4" s="9"/>
      <x:c r="C4" s="9"/>
      <x:c r="D4" s="9"/>
      <x:c r="E4" s="9"/>
      <x:c r="F4" s="9"/>
      <x:c r="G4" s="9"/>
      <x:c r="H4" s="9"/>
      <x:c r="I4" s="9"/>
      <x:c r="J4" s="9"/>
      <x:c r="K4" s="1"/>
      <x:c r="L4" s="1"/>
      <x:c r="M4" s="1"/>
      <x:c r="N4" s="1"/>
      <x:c r="O4" s="1"/>
      <x:c r="P4" s="1"/>
    </x:row>
    <x:row r="5" ht="23" customHeight="1">
      <x:c r="A5" s="1"/>
      <x:c r="B5" s="1"/>
      <x:c r="C5" s="1"/>
      <x:c r="D5" s="1"/>
      <x:c r="E5" s="1"/>
      <x:c r="F5" s="1"/>
      <x:c r="G5" s="1"/>
      <x:c r="H5" s="1"/>
      <x:c r="I5" s="1"/>
      <x:c r="J5" s="1"/>
      <x:c r="K5" s="1"/>
      <x:c r="L5" s="1"/>
      <x:c r="M5" s="1"/>
      <x:c r="N5" s="1"/>
      <x:c r="O5" s="1"/>
      <x:c r="P5" s="1"/>
    </x:row>
    <x:row r="6" ht="32" customHeight="1">
      <x:c r="A6" s="13" t="str">
        <x:v>Scenario</x:v>
      </x:c>
      <x:c r="B6" s="13" t="str">
        <x:v>Status</x:v>
      </x:c>
      <x:c r="C6" s="13" t="str">
        <x:v>Input rows</x:v>
      </x:c>
      <x:c r="D6" s="13" t="str">
        <x:v>Accepted</x:v>
      </x:c>
      <x:c r="E6" s="13" t="str">
        <x:v>Issues</x:v>
      </x:c>
      <x:c r="F6" s="13" t="str">
        <x:v>Age (min)</x:v>
      </x:c>
      <x:c r="G6" s="13" t="str">
        <x:v>Runtime (ms)</x:v>
      </x:c>
      <x:c r="H6" s="13" t="str">
        <x:v>Published?</x:v>
      </x:c>
      <x:c r="I6" s="13" t="str">
        <x:v>MySQL</x:v>
      </x:c>
      <x:c r="J6" s="13" t="str">
        <x:v>Evaluated UTC</x:v>
      </x:c>
      <x:c r="K6" s="1"/>
      <x:c r="L6" s="1"/>
      <x:c r="M6" s="1"/>
      <x:c r="N6" s="1"/>
      <x:c r="O6" s="1"/>
      <x:c r="P6" s="1"/>
    </x:row>
    <x:row r="7" ht="23" customHeight="1">
      <x:c r="A7" s="1" t="str">
        <x:v>clean</x:v>
      </x:c>
      <x:c r="B7" s="1" t="str">
        <x:v>ON_TIME</x:v>
      </x:c>
      <x:c r="C7" s="1" t="n">
        <x:v>1200</x:v>
      </x:c>
      <x:c r="D7" s="1" t="n">
        <x:v>1200</x:v>
      </x:c>
      <x:c r="E7" s="1" t="n">
        <x:v>0</x:v>
      </x:c>
      <x:c r="F7" s="1" t="n">
        <x:v>5</x:v>
      </x:c>
      <x:c r="G7" s="16" t="n">
        <x:v>468</x:v>
      </x:c>
      <x:c r="H7" s="32" t="str">
        <x:v>Yes</x:v>
      </x:c>
      <x:c r="I7" s="1" t="str">
        <x:v>8.4.11</x:v>
      </x:c>
      <x:c r="J7" s="35" t="n">
        <x:v>46292.41602332176</x:v>
      </x:c>
      <x:c r="K7" s="1"/>
      <x:c r="L7" s="1"/>
      <x:c r="M7" s="1"/>
      <x:c r="N7" s="1"/>
      <x:c r="O7" s="1"/>
      <x:c r="P7" s="1"/>
    </x:row>
    <x:row r="8" ht="23" customHeight="1">
      <x:c r="A8" s="1" t="str">
        <x:v>dirty</x:v>
      </x:c>
      <x:c r="B8" s="1" t="str">
        <x:v>BLOCKED_DATA</x:v>
      </x:c>
      <x:c r="C8" s="1" t="n">
        <x:v>1201</x:v>
      </x:c>
      <x:c r="D8" s="1" t="n">
        <x:v>1194</x:v>
      </x:c>
      <x:c r="E8" s="1" t="n">
        <x:v>7</x:v>
      </x:c>
      <x:c r="F8" s="1" t="n">
        <x:v>10</x:v>
      </x:c>
      <x:c r="G8" s="16" t="n">
        <x:v>3</x:v>
      </x:c>
      <x:c r="H8" s="32" t="str">
        <x:v>No</x:v>
      </x:c>
      <x:c r="I8" s="1" t="str">
        <x:v>Not queried</x:v>
      </x:c>
      <x:c r="J8" s="35" t="n">
        <x:v>46292.41949554398</x:v>
      </x:c>
      <x:c r="K8" s="1"/>
      <x:c r="L8" s="1"/>
      <x:c r="M8" s="1"/>
      <x:c r="N8" s="1"/>
      <x:c r="O8" s="1"/>
      <x:c r="P8" s="1"/>
    </x:row>
    <x:row r="9" ht="23" customHeight="1">
      <x:c r="A9" s="1" t="str">
        <x:v>stale</x:v>
      </x:c>
      <x:c r="B9" s="1" t="str">
        <x:v>BLOCKED_STALE</x:v>
      </x:c>
      <x:c r="C9" s="1" t="n">
        <x:v>1200</x:v>
      </x:c>
      <x:c r="D9" s="1" t="n">
        <x:v>1200</x:v>
      </x:c>
      <x:c r="E9" s="1" t="n">
        <x:v>0</x:v>
      </x:c>
      <x:c r="F9" s="1" t="n">
        <x:v>60</x:v>
      </x:c>
      <x:c r="G9" s="16" t="n">
        <x:v>2.9</x:v>
      </x:c>
      <x:c r="H9" s="32" t="str">
        <x:v>No</x:v>
      </x:c>
      <x:c r="I9" s="1" t="str">
        <x:v>Not queried</x:v>
      </x:c>
      <x:c r="J9" s="35" t="n">
        <x:v>46292.4542177662</x:v>
      </x:c>
      <x:c r="K9" s="1"/>
      <x:c r="L9" s="1"/>
      <x:c r="M9" s="1"/>
      <x:c r="N9" s="1"/>
      <x:c r="O9" s="1"/>
      <x:c r="P9" s="1"/>
    </x:row>
    <x:row r="10" ht="23" customHeight="1">
      <x:c r="A10" s="1" t="str">
        <x:v>late</x:v>
      </x:c>
      <x:c r="B10" s="1" t="str">
        <x:v>LATE</x:v>
      </x:c>
      <x:c r="C10" s="1" t="n">
        <x:v>1200</x:v>
      </x:c>
      <x:c r="D10" s="1" t="n">
        <x:v>1200</x:v>
      </x:c>
      <x:c r="E10" s="1" t="n">
        <x:v>0</x:v>
      </x:c>
      <x:c r="F10" s="1" t="n">
        <x:v>25</x:v>
      </x:c>
      <x:c r="G10" s="16" t="n">
        <x:v>424.7</x:v>
      </x:c>
      <x:c r="H10" s="32" t="str">
        <x:v>Yes</x:v>
      </x:c>
      <x:c r="I10" s="1" t="str">
        <x:v>8.4.11</x:v>
      </x:c>
      <x:c r="J10" s="35" t="n">
        <x:v>46292.429912210646</x:v>
      </x:c>
      <x:c r="K10" s="1"/>
      <x:c r="L10" s="1"/>
      <x:c r="M10" s="1"/>
      <x:c r="N10" s="1"/>
      <x:c r="O10" s="1"/>
      <x:c r="P10" s="1"/>
    </x:row>
    <x:row r="11" ht="23" customHeight="1">
      <x:c r="A11" s="1"/>
      <x:c r="B11" s="1"/>
      <x:c r="C11" s="1"/>
      <x:c r="D11" s="1"/>
      <x:c r="E11" s="1"/>
      <x:c r="F11" s="1"/>
      <x:c r="G11" s="1"/>
      <x:c r="H11" s="1"/>
      <x:c r="I11" s="1"/>
      <x:c r="J11" s="1"/>
      <x:c r="K11" s="1"/>
      <x:c r="L11" s="1"/>
      <x:c r="M11" s="1"/>
      <x:c r="N11" s="1"/>
      <x:c r="O11" s="1"/>
      <x:c r="P11" s="1"/>
    </x:row>
    <x:row r="12" ht="23" customHeight="1">
      <x:c r="A12" s="1"/>
      <x:c r="B12" s="1"/>
      <x:c r="C12" s="1"/>
      <x:c r="D12" s="1"/>
      <x:c r="E12" s="1"/>
      <x:c r="F12" s="1"/>
      <x:c r="G12" s="1"/>
      <x:c r="H12" s="1"/>
      <x:c r="I12" s="1"/>
      <x:c r="J12" s="1"/>
      <x:c r="K12" s="1"/>
      <x:c r="L12" s="1"/>
      <x:c r="M12" s="1"/>
      <x:c r="N12" s="1"/>
      <x:c r="O12" s="1"/>
      <x:c r="P12" s="1"/>
    </x:row>
    <x:row r="13" ht="23" customHeight="1">
      <x:c r="A13" s="9" t="str">
        <x:v>Data checks: unique keys, valid departments/categories/priorities, parseable dates, chronological order and snapshot boundaries. The dirty fixture has 1,201 rows; both duplicate occurrences are rejected, leaving 1,194 acceptable rows. Any data issue blocks publication.</x:v>
      </x:c>
      <x:c r="B13" s="9"/>
      <x:c r="C13" s="9"/>
      <x:c r="D13" s="9"/>
      <x:c r="E13" s="9"/>
      <x:c r="F13" s="9"/>
      <x:c r="G13" s="9"/>
      <x:c r="H13" s="9"/>
      <x:c r="I13" s="9"/>
      <x:c r="J13" s="9"/>
      <x:c r="K13" s="1"/>
      <x:c r="L13" s="1"/>
      <x:c r="M13" s="1"/>
      <x:c r="N13" s="1"/>
      <x:c r="O13" s="1"/>
      <x:c r="P13" s="1"/>
    </x:row>
    <x:row r="14" ht="23" customHeight="1">
      <x:c r="A14" s="9"/>
      <x:c r="B14" s="9"/>
      <x:c r="C14" s="9"/>
      <x:c r="D14" s="9"/>
      <x:c r="E14" s="9"/>
      <x:c r="F14" s="9"/>
      <x:c r="G14" s="9"/>
      <x:c r="H14" s="9"/>
      <x:c r="I14" s="9"/>
      <x:c r="J14" s="9"/>
      <x:c r="K14" s="1"/>
      <x:c r="L14" s="1"/>
      <x:c r="M14" s="1"/>
      <x:c r="N14" s="1"/>
      <x:c r="O14" s="1"/>
      <x:c r="P14" s="1"/>
    </x:row>
    <x:row r="15" ht="23" customHeight="1">
      <x:c r="A15" s="9"/>
      <x:c r="B15" s="9"/>
      <x:c r="C15" s="9"/>
      <x:c r="D15" s="9"/>
      <x:c r="E15" s="9"/>
      <x:c r="F15" s="9"/>
      <x:c r="G15" s="9"/>
      <x:c r="H15" s="9"/>
      <x:c r="I15" s="9"/>
      <x:c r="J15" s="9"/>
      <x:c r="K15" s="1"/>
      <x:c r="L15" s="1"/>
      <x:c r="M15" s="1"/>
      <x:c r="N15" s="1"/>
      <x:c r="O15" s="1"/>
      <x:c r="P15" s="1"/>
    </x:row>
    <x:row r="16" ht="23" customHeight="1">
      <x:c r="A16" s="1"/>
      <x:c r="B16" s="1"/>
      <x:c r="C16" s="1"/>
      <x:c r="D16" s="1"/>
      <x:c r="E16" s="1"/>
      <x:c r="F16" s="1"/>
      <x:c r="G16" s="1"/>
      <x:c r="H16" s="1"/>
      <x:c r="I16" s="1"/>
      <x:c r="J16" s="1"/>
      <x:c r="K16" s="1"/>
      <x:c r="L16" s="1"/>
      <x:c r="M16" s="1"/>
      <x:c r="N16" s="1"/>
      <x:c r="O16" s="1"/>
      <x:c r="P16" s="1"/>
    </x:row>
    <x:row r="17" ht="23" customHeight="1">
      <x:c r="A17" s="9" t="str">
        <x:v>Freshness: source age must be 0-30 minutes. Valid but late runs are labelled LATE and may publish; invalid or stale runs cannot. Source SHA-256 and real execution timestamps are retained in the evidence files. All headline, department and 100 period-row results were reconciled independently.</x:v>
      </x:c>
      <x:c r="B17" s="9"/>
      <x:c r="C17" s="9"/>
      <x:c r="D17" s="9"/>
      <x:c r="E17" s="9"/>
      <x:c r="F17" s="9"/>
      <x:c r="G17" s="9"/>
      <x:c r="H17" s="9"/>
      <x:c r="I17" s="9"/>
      <x:c r="J17" s="9"/>
      <x:c r="K17" s="1"/>
      <x:c r="L17" s="1"/>
      <x:c r="M17" s="1"/>
      <x:c r="N17" s="1"/>
      <x:c r="O17" s="1"/>
      <x:c r="P17" s="1"/>
    </x:row>
    <x:row r="18" ht="23" customHeight="1">
      <x:c r="A18" s="9"/>
      <x:c r="B18" s="9"/>
      <x:c r="C18" s="9"/>
      <x:c r="D18" s="9"/>
      <x:c r="E18" s="9"/>
      <x:c r="F18" s="9"/>
      <x:c r="G18" s="9"/>
      <x:c r="H18" s="9"/>
      <x:c r="I18" s="9"/>
      <x:c r="J18" s="9"/>
      <x:c r="K18" s="1"/>
      <x:c r="L18" s="1"/>
      <x:c r="M18" s="1"/>
      <x:c r="N18" s="1"/>
      <x:c r="O18" s="1"/>
      <x:c r="P18" s="1"/>
    </x:row>
    <x:row r="19" ht="23" customHeight="1">
      <x:c r="A19" s="9"/>
      <x:c r="B19" s="9"/>
      <x:c r="C19" s="9"/>
      <x:c r="D19" s="9"/>
      <x:c r="E19" s="9"/>
      <x:c r="F19" s="9"/>
      <x:c r="G19" s="9"/>
      <x:c r="H19" s="9"/>
      <x:c r="I19" s="9"/>
      <x:c r="J19" s="9"/>
      <x:c r="K19" s="1"/>
      <x:c r="L19" s="1"/>
      <x:c r="M19" s="1"/>
      <x:c r="N19" s="1"/>
      <x:c r="O19" s="1"/>
      <x:c r="P19" s="1"/>
    </x:row>
    <x:row r="20" ht="23" customHeight="1">
      <x:c r="A20" s="1"/>
      <x:c r="B20" s="1"/>
      <x:c r="C20" s="1"/>
      <x:c r="D20" s="1"/>
      <x:c r="E20" s="1"/>
      <x:c r="F20" s="1"/>
      <x:c r="G20" s="1"/>
      <x:c r="H20" s="1"/>
      <x:c r="I20" s="1"/>
      <x:c r="J20" s="1"/>
      <x:c r="K20" s="1"/>
      <x:c r="L20" s="1"/>
      <x:c r="M20" s="1"/>
      <x:c r="N20" s="1"/>
      <x:c r="O20" s="1"/>
      <x:c r="P20" s="1"/>
    </x:row>
    <x:row r="21" ht="23" customHeight="1">
      <x:c r="A21" s="19" t="str">
        <x:v>Production next steps: agree metric definitions with stakeholders, connect an authorised source, configure credentials and scheduling, then test alert delivery, retries and ownership. No scheduler, email transport or production connection is installed in this demonstration.</x:v>
      </x:c>
      <x:c r="B21" s="19"/>
      <x:c r="C21" s="19"/>
      <x:c r="D21" s="19"/>
      <x:c r="E21" s="19"/>
      <x:c r="F21" s="19"/>
      <x:c r="G21" s="19"/>
      <x:c r="H21" s="19"/>
      <x:c r="I21" s="19"/>
      <x:c r="J21" s="19"/>
      <x:c r="K21" s="1"/>
      <x:c r="L21" s="1"/>
      <x:c r="M21" s="1"/>
      <x:c r="N21" s="1"/>
      <x:c r="O21" s="1"/>
      <x:c r="P21" s="1"/>
    </x:row>
    <x:row r="22" ht="23" customHeight="1">
      <x:c r="A22" s="19"/>
      <x:c r="B22" s="19"/>
      <x:c r="C22" s="19"/>
      <x:c r="D22" s="19"/>
      <x:c r="E22" s="19"/>
      <x:c r="F22" s="19"/>
      <x:c r="G22" s="19"/>
      <x:c r="H22" s="19"/>
      <x:c r="I22" s="19"/>
      <x:c r="J22" s="19"/>
      <x:c r="K22" s="1"/>
      <x:c r="L22" s="1"/>
      <x:c r="M22" s="1"/>
      <x:c r="N22" s="1"/>
      <x:c r="O22" s="1"/>
      <x:c r="P22" s="1"/>
    </x:row>
    <x:row r="23" ht="23" customHeight="1">
      <x:c r="A23" s="19"/>
      <x:c r="B23" s="19"/>
      <x:c r="C23" s="19"/>
      <x:c r="D23" s="19"/>
      <x:c r="E23" s="19"/>
      <x:c r="F23" s="19"/>
      <x:c r="G23" s="19"/>
      <x:c r="H23" s="19"/>
      <x:c r="I23" s="19"/>
      <x:c r="J23" s="19"/>
      <x:c r="K23" s="1"/>
      <x:c r="L23" s="1"/>
      <x:c r="M23" s="1"/>
      <x:c r="N23" s="1"/>
      <x:c r="O23" s="1"/>
      <x:c r="P23" s="1"/>
    </x:row>
    <x:row r="24" ht="23" customHeight="1">
      <x:c r="A24" s="1"/>
      <x:c r="B24" s="1"/>
      <x:c r="C24" s="1"/>
      <x:c r="D24" s="1"/>
      <x:c r="E24" s="1"/>
      <x:c r="F24" s="1"/>
      <x:c r="G24" s="1"/>
      <x:c r="H24" s="1"/>
      <x:c r="I24" s="1"/>
      <x:c r="J24" s="1"/>
      <x:c r="K24" s="1"/>
      <x:c r="L24" s="1"/>
      <x:c r="M24" s="1"/>
      <x:c r="N24" s="1"/>
      <x:c r="O24" s="1"/>
      <x:c r="P24" s="1"/>
    </x:row>
    <x:row r="25" ht="23" customHeight="1">
      <x:c r="A25" s="1"/>
      <x:c r="B25" s="1"/>
      <x:c r="C25" s="1"/>
      <x:c r="D25" s="1"/>
      <x:c r="E25" s="1"/>
      <x:c r="F25" s="1"/>
      <x:c r="G25" s="1"/>
      <x:c r="H25" s="1"/>
      <x:c r="I25" s="1"/>
      <x:c r="J25" s="1"/>
      <x:c r="K25" s="1"/>
      <x:c r="L25" s="1"/>
      <x:c r="M25" s="1"/>
      <x:c r="N25" s="1"/>
      <x:c r="O25" s="1"/>
      <x:c r="P25" s="1"/>
    </x:row>
    <x:row r="26" ht="23" customHeight="1">
      <x:c r="A26" s="1"/>
      <x:c r="B26" s="1"/>
      <x:c r="C26" s="1"/>
      <x:c r="D26" s="1"/>
      <x:c r="E26" s="1"/>
      <x:c r="F26" s="1"/>
      <x:c r="G26" s="1"/>
      <x:c r="H26" s="1"/>
      <x:c r="I26" s="1"/>
      <x:c r="J26" s="1"/>
      <x:c r="K26" s="1"/>
      <x:c r="L26" s="1"/>
      <x:c r="M26" s="1"/>
      <x:c r="N26" s="1"/>
      <x:c r="O26" s="1"/>
      <x:c r="P26" s="1"/>
    </x:row>
    <x:row r="27" ht="23" customHeight="1">
      <x:c r="A27" s="1"/>
      <x:c r="B27" s="1"/>
      <x:c r="C27" s="1"/>
      <x:c r="D27" s="1"/>
      <x:c r="E27" s="1"/>
      <x:c r="F27" s="1"/>
      <x:c r="G27" s="1"/>
      <x:c r="H27" s="1"/>
      <x:c r="I27" s="1"/>
      <x:c r="J27" s="1"/>
      <x:c r="K27" s="1"/>
      <x:c r="L27" s="1"/>
      <x:c r="M27" s="1"/>
      <x:c r="N27" s="1"/>
      <x:c r="O27" s="1"/>
      <x:c r="P27" s="1"/>
    </x:row>
    <x:row r="28" ht="23" customHeight="1">
      <x:c r="A28" s="1"/>
      <x:c r="B28" s="1"/>
      <x:c r="C28" s="1"/>
      <x:c r="D28" s="1"/>
      <x:c r="E28" s="1"/>
      <x:c r="F28" s="1"/>
      <x:c r="G28" s="1"/>
      <x:c r="H28" s="1"/>
      <x:c r="I28" s="1"/>
      <x:c r="J28" s="1"/>
      <x:c r="K28" s="1"/>
      <x:c r="L28" s="1"/>
      <x:c r="M28" s="1"/>
      <x:c r="N28" s="1"/>
      <x:c r="O28" s="1"/>
      <x:c r="P28" s="1"/>
    </x:row>
    <x:row r="29" ht="23" customHeight="1">
      <x:c r="A29" s="1"/>
      <x:c r="B29" s="1"/>
      <x:c r="C29" s="1"/>
      <x:c r="D29" s="1"/>
      <x:c r="E29" s="1"/>
      <x:c r="F29" s="1"/>
      <x:c r="G29" s="1"/>
      <x:c r="H29" s="1"/>
      <x:c r="I29" s="1"/>
      <x:c r="J29" s="1"/>
      <x:c r="K29" s="1"/>
      <x:c r="L29" s="1"/>
      <x:c r="M29" s="1"/>
      <x:c r="N29" s="1"/>
      <x:c r="O29" s="1"/>
      <x:c r="P29" s="1"/>
    </x:row>
    <x:row r="30" ht="23" customHeight="1">
      <x:c r="A30" s="1"/>
      <x:c r="B30" s="1"/>
      <x:c r="C30" s="1"/>
      <x:c r="D30" s="1"/>
      <x:c r="E30" s="1"/>
      <x:c r="F30" s="1"/>
      <x:c r="G30" s="1"/>
      <x:c r="H30" s="1"/>
      <x:c r="I30" s="1"/>
      <x:c r="J30" s="1"/>
      <x:c r="K30" s="1"/>
      <x:c r="L30" s="1"/>
      <x:c r="M30" s="1"/>
      <x:c r="N30" s="1"/>
      <x:c r="O30" s="1"/>
      <x:c r="P30" s="1"/>
    </x:row>
    <x:row r="31" ht="23" customHeight="1">
      <x:c r="A31" s="1"/>
      <x:c r="B31" s="1"/>
      <x:c r="C31" s="1"/>
      <x:c r="D31" s="1"/>
      <x:c r="E31" s="1"/>
      <x:c r="F31" s="1"/>
      <x:c r="G31" s="1"/>
      <x:c r="H31" s="1"/>
      <x:c r="I31" s="1"/>
      <x:c r="J31" s="1"/>
      <x:c r="K31" s="1"/>
      <x:c r="L31" s="1"/>
      <x:c r="M31" s="1"/>
      <x:c r="N31" s="1"/>
      <x:c r="O31" s="1"/>
      <x:c r="P31" s="1"/>
    </x:row>
    <x:row r="32" ht="23" customHeight="1">
      <x:c r="A32" s="1"/>
      <x:c r="B32" s="1"/>
      <x:c r="C32" s="1"/>
      <x:c r="D32" s="1"/>
      <x:c r="E32" s="1"/>
      <x:c r="F32" s="1"/>
      <x:c r="G32" s="1"/>
      <x:c r="H32" s="1"/>
      <x:c r="I32" s="1"/>
      <x:c r="J32" s="1"/>
      <x:c r="K32" s="1"/>
      <x:c r="L32" s="1"/>
      <x:c r="M32" s="1"/>
      <x:c r="N32" s="1"/>
      <x:c r="O32" s="1"/>
      <x:c r="P32" s="1"/>
    </x:row>
    <x:row r="33" ht="23" customHeight="1">
      <x:c r="A33" s="1"/>
      <x:c r="B33" s="1"/>
      <x:c r="C33" s="1"/>
      <x:c r="D33" s="1"/>
      <x:c r="E33" s="1"/>
      <x:c r="F33" s="1"/>
      <x:c r="G33" s="1"/>
      <x:c r="H33" s="1"/>
      <x:c r="I33" s="1"/>
      <x:c r="J33" s="1"/>
      <x:c r="K33" s="1"/>
      <x:c r="L33" s="1"/>
      <x:c r="M33" s="1"/>
      <x:c r="N33" s="1"/>
      <x:c r="O33" s="1"/>
      <x:c r="P33" s="1"/>
    </x:row>
    <x:row r="34" ht="23" customHeight="1">
      <x:c r="A34" s="1"/>
      <x:c r="B34" s="1"/>
      <x:c r="C34" s="1"/>
      <x:c r="D34" s="1"/>
      <x:c r="E34" s="1"/>
      <x:c r="F34" s="1"/>
      <x:c r="G34" s="1"/>
      <x:c r="H34" s="1"/>
      <x:c r="I34" s="1"/>
      <x:c r="J34" s="1"/>
      <x:c r="K34" s="1"/>
      <x:c r="L34" s="1"/>
      <x:c r="M34" s="1"/>
      <x:c r="N34" s="1"/>
      <x:c r="O34" s="1"/>
      <x:c r="P34" s="1"/>
    </x:row>
    <x:row r="35" ht="23" customHeight="1">
      <x:c r="A35" s="1"/>
      <x:c r="B35" s="1"/>
      <x:c r="C35" s="1"/>
      <x:c r="D35" s="1"/>
      <x:c r="E35" s="1"/>
      <x:c r="F35" s="1"/>
      <x:c r="G35" s="1"/>
      <x:c r="H35" s="1"/>
      <x:c r="I35" s="1"/>
      <x:c r="J35" s="1"/>
      <x:c r="K35" s="1"/>
      <x:c r="L35" s="1"/>
      <x:c r="M35" s="1"/>
      <x:c r="N35" s="1"/>
      <x:c r="O35" s="1"/>
      <x:c r="P35" s="1"/>
    </x:row>
    <x:row r="36" ht="23" customHeight="1">
      <x:c r="A36" s="1"/>
      <x:c r="B36" s="1"/>
      <x:c r="C36" s="1"/>
      <x:c r="D36" s="1"/>
      <x:c r="E36" s="1"/>
      <x:c r="F36" s="1"/>
      <x:c r="G36" s="1"/>
      <x:c r="H36" s="1"/>
      <x:c r="I36" s="1"/>
      <x:c r="J36" s="1"/>
      <x:c r="K36" s="1"/>
      <x:c r="L36" s="1"/>
      <x:c r="M36" s="1"/>
      <x:c r="N36" s="1"/>
      <x:c r="O36" s="1"/>
      <x:c r="P36" s="1"/>
    </x:row>
    <x:row r="37" ht="23" customHeight="1">
      <x:c r="A37" s="1"/>
      <x:c r="B37" s="1"/>
      <x:c r="C37" s="1"/>
      <x:c r="D37" s="1"/>
      <x:c r="E37" s="1"/>
      <x:c r="F37" s="1"/>
      <x:c r="G37" s="1"/>
      <x:c r="H37" s="1"/>
      <x:c r="I37" s="1"/>
      <x:c r="J37" s="1"/>
      <x:c r="K37" s="1"/>
      <x:c r="L37" s="1"/>
      <x:c r="M37" s="1"/>
      <x:c r="N37" s="1"/>
      <x:c r="O37" s="1"/>
      <x:c r="P37" s="1"/>
    </x:row>
    <x:row r="38" ht="23" customHeight="1">
      <x:c r="A38" s="1"/>
      <x:c r="B38" s="1"/>
      <x:c r="C38" s="1"/>
      <x:c r="D38" s="1"/>
      <x:c r="E38" s="1"/>
      <x:c r="F38" s="1"/>
      <x:c r="G38" s="1"/>
      <x:c r="H38" s="1"/>
      <x:c r="I38" s="1"/>
      <x:c r="J38" s="1"/>
      <x:c r="K38" s="1"/>
      <x:c r="L38" s="1"/>
      <x:c r="M38" s="1"/>
      <x:c r="N38" s="1"/>
      <x:c r="O38" s="1"/>
      <x:c r="P38" s="1"/>
    </x:row>
    <x:row r="39" ht="23" customHeight="1">
      <x:c r="A39" s="1"/>
      <x:c r="B39" s="1"/>
      <x:c r="C39" s="1"/>
      <x:c r="D39" s="1"/>
      <x:c r="E39" s="1"/>
      <x:c r="F39" s="1"/>
      <x:c r="G39" s="1"/>
      <x:c r="H39" s="1"/>
      <x:c r="I39" s="1"/>
      <x:c r="J39" s="1"/>
      <x:c r="K39" s="1"/>
      <x:c r="L39" s="1"/>
      <x:c r="M39" s="1"/>
      <x:c r="N39" s="1"/>
      <x:c r="O39" s="1"/>
      <x:c r="P39" s="1"/>
    </x:row>
    <x:row r="40" ht="23" customHeight="1">
      <x:c r="A40" s="1"/>
      <x:c r="B40" s="1"/>
      <x:c r="C40" s="1"/>
      <x:c r="D40" s="1"/>
      <x:c r="E40" s="1"/>
      <x:c r="F40" s="1"/>
      <x:c r="G40" s="1"/>
      <x:c r="H40" s="1"/>
      <x:c r="I40" s="1"/>
      <x:c r="J40" s="1"/>
      <x:c r="K40" s="1"/>
      <x:c r="L40" s="1"/>
      <x:c r="M40" s="1"/>
      <x:c r="N40" s="1"/>
      <x:c r="O40" s="1"/>
      <x:c r="P40" s="1"/>
    </x:row>
    <x:row r="41" ht="23" customHeight="1">
      <x:c r="A41" s="1"/>
      <x:c r="B41" s="1"/>
      <x:c r="C41" s="1"/>
      <x:c r="D41" s="1"/>
      <x:c r="E41" s="1"/>
      <x:c r="F41" s="1"/>
      <x:c r="G41" s="1"/>
      <x:c r="H41" s="1"/>
      <x:c r="I41" s="1"/>
      <x:c r="J41" s="1"/>
      <x:c r="K41" s="1"/>
      <x:c r="L41" s="1"/>
      <x:c r="M41" s="1"/>
      <x:c r="N41" s="1"/>
      <x:c r="O41" s="1"/>
      <x:c r="P41" s="1"/>
    </x:row>
    <x:row r="42" ht="23" customHeight="1">
      <x:c r="A42" s="1"/>
      <x:c r="B42" s="1"/>
      <x:c r="C42" s="1"/>
      <x:c r="D42" s="1"/>
      <x:c r="E42" s="1"/>
      <x:c r="F42" s="1"/>
      <x:c r="G42" s="1"/>
      <x:c r="H42" s="1"/>
      <x:c r="I42" s="1"/>
      <x:c r="J42" s="1"/>
      <x:c r="K42" s="1"/>
      <x:c r="L42" s="1"/>
      <x:c r="M42" s="1"/>
      <x:c r="N42" s="1"/>
      <x:c r="O42" s="1"/>
      <x:c r="P42" s="1"/>
    </x:row>
    <x:row r="43" ht="23" customHeight="1">
      <x:c r="A43" s="1"/>
      <x:c r="B43" s="1"/>
      <x:c r="C43" s="1"/>
      <x:c r="D43" s="1"/>
      <x:c r="E43" s="1"/>
      <x:c r="F43" s="1"/>
      <x:c r="G43" s="1"/>
      <x:c r="H43" s="1"/>
      <x:c r="I43" s="1"/>
      <x:c r="J43" s="1"/>
      <x:c r="K43" s="1"/>
      <x:c r="L43" s="1"/>
      <x:c r="M43" s="1"/>
      <x:c r="N43" s="1"/>
      <x:c r="O43" s="1"/>
      <x:c r="P43" s="1"/>
    </x:row>
    <x:row r="44" ht="23" customHeight="1">
      <x:c r="A44" s="1"/>
      <x:c r="B44" s="1"/>
      <x:c r="C44" s="1"/>
      <x:c r="D44" s="1"/>
      <x:c r="E44" s="1"/>
      <x:c r="F44" s="1"/>
      <x:c r="G44" s="1"/>
      <x:c r="H44" s="1"/>
      <x:c r="I44" s="1"/>
      <x:c r="J44" s="1"/>
      <x:c r="K44" s="1"/>
      <x:c r="L44" s="1"/>
      <x:c r="M44" s="1"/>
      <x:c r="N44" s="1"/>
      <x:c r="O44" s="1"/>
      <x:c r="P44" s="1"/>
    </x:row>
    <x:row r="45" ht="23" customHeight="1">
      <x:c r="A45" s="1"/>
      <x:c r="B45" s="1"/>
      <x:c r="C45" s="1"/>
      <x:c r="D45" s="1"/>
      <x:c r="E45" s="1"/>
      <x:c r="F45" s="1"/>
      <x:c r="G45" s="1"/>
      <x:c r="H45" s="1"/>
      <x:c r="I45" s="1"/>
      <x:c r="J45" s="1"/>
      <x:c r="K45" s="1"/>
      <x:c r="L45" s="1"/>
      <x:c r="M45" s="1"/>
      <x:c r="N45" s="1"/>
      <x:c r="O45" s="1"/>
      <x:c r="P45" s="1"/>
    </x:row>
    <x:row r="46" ht="23" customHeight="1">
      <x:c r="A46" s="1"/>
      <x:c r="B46" s="1"/>
      <x:c r="C46" s="1"/>
      <x:c r="D46" s="1"/>
      <x:c r="E46" s="1"/>
      <x:c r="F46" s="1"/>
      <x:c r="G46" s="1"/>
      <x:c r="H46" s="1"/>
      <x:c r="I46" s="1"/>
      <x:c r="J46" s="1"/>
      <x:c r="K46" s="1"/>
      <x:c r="L46" s="1"/>
      <x:c r="M46" s="1"/>
      <x:c r="N46" s="1"/>
      <x:c r="O46" s="1"/>
      <x:c r="P46" s="1"/>
    </x:row>
    <x:row r="47" ht="23" customHeight="1">
      <x:c r="A47" s="1"/>
      <x:c r="B47" s="1"/>
      <x:c r="C47" s="1"/>
      <x:c r="D47" s="1"/>
      <x:c r="E47" s="1"/>
      <x:c r="F47" s="1"/>
      <x:c r="G47" s="1"/>
      <x:c r="H47" s="1"/>
      <x:c r="I47" s="1"/>
      <x:c r="J47" s="1"/>
      <x:c r="K47" s="1"/>
      <x:c r="L47" s="1"/>
      <x:c r="M47" s="1"/>
      <x:c r="N47" s="1"/>
      <x:c r="O47" s="1"/>
      <x:c r="P47" s="1"/>
    </x:row>
    <x:row r="48" ht="23" customHeight="1">
      <x:c r="A48" s="1"/>
      <x:c r="B48" s="1"/>
      <x:c r="C48" s="1"/>
      <x:c r="D48" s="1"/>
      <x:c r="E48" s="1"/>
      <x:c r="F48" s="1"/>
      <x:c r="G48" s="1"/>
      <x:c r="H48" s="1"/>
      <x:c r="I48" s="1"/>
      <x:c r="J48" s="1"/>
      <x:c r="K48" s="1"/>
      <x:c r="L48" s="1"/>
      <x:c r="M48" s="1"/>
      <x:c r="N48" s="1"/>
      <x:c r="O48" s="1"/>
      <x:c r="P48" s="1"/>
    </x:row>
    <x:row r="49" ht="23" customHeight="1">
      <x:c r="A49" s="1"/>
      <x:c r="B49" s="1"/>
      <x:c r="C49" s="1"/>
      <x:c r="D49" s="1"/>
      <x:c r="E49" s="1"/>
      <x:c r="F49" s="1"/>
      <x:c r="G49" s="1"/>
      <x:c r="H49" s="1"/>
      <x:c r="I49" s="1"/>
      <x:c r="J49" s="1"/>
      <x:c r="K49" s="1"/>
      <x:c r="L49" s="1"/>
      <x:c r="M49" s="1"/>
      <x:c r="N49" s="1"/>
      <x:c r="O49" s="1"/>
      <x:c r="P49" s="1"/>
    </x:row>
    <x:row r="50" ht="23" customHeight="1">
      <x:c r="A50" s="1"/>
      <x:c r="B50" s="1"/>
      <x:c r="C50" s="1"/>
      <x:c r="D50" s="1"/>
      <x:c r="E50" s="1"/>
      <x:c r="F50" s="1"/>
      <x:c r="G50" s="1"/>
      <x:c r="H50" s="1"/>
      <x:c r="I50" s="1"/>
      <x:c r="J50" s="1"/>
      <x:c r="K50" s="1"/>
      <x:c r="L50" s="1"/>
      <x:c r="M50" s="1"/>
      <x:c r="N50" s="1"/>
      <x:c r="O50" s="1"/>
      <x:c r="P50" s="1"/>
    </x:row>
    <x:row r="51" ht="23" customHeight="1">
      <x:c r="A51" s="1"/>
      <x:c r="B51" s="1"/>
      <x:c r="C51" s="1"/>
      <x:c r="D51" s="1"/>
      <x:c r="E51" s="1"/>
      <x:c r="F51" s="1"/>
      <x:c r="G51" s="1"/>
      <x:c r="H51" s="1"/>
      <x:c r="I51" s="1"/>
      <x:c r="J51" s="1"/>
      <x:c r="K51" s="1"/>
      <x:c r="L51" s="1"/>
      <x:c r="M51" s="1"/>
      <x:c r="N51" s="1"/>
      <x:c r="O51" s="1"/>
      <x:c r="P51" s="1"/>
    </x:row>
    <x:row r="52" ht="23" customHeight="1">
      <x:c r="A52" s="1"/>
      <x:c r="B52" s="1"/>
      <x:c r="C52" s="1"/>
      <x:c r="D52" s="1"/>
      <x:c r="E52" s="1"/>
      <x:c r="F52" s="1"/>
      <x:c r="G52" s="1"/>
      <x:c r="H52" s="1"/>
      <x:c r="I52" s="1"/>
      <x:c r="J52" s="1"/>
      <x:c r="K52" s="1"/>
      <x:c r="L52" s="1"/>
      <x:c r="M52" s="1"/>
      <x:c r="N52" s="1"/>
      <x:c r="O52" s="1"/>
      <x:c r="P52" s="1"/>
    </x:row>
    <x:row r="53" ht="23" customHeight="1">
      <x:c r="A53" s="1"/>
      <x:c r="B53" s="1"/>
      <x:c r="C53" s="1"/>
      <x:c r="D53" s="1"/>
      <x:c r="E53" s="1"/>
      <x:c r="F53" s="1"/>
      <x:c r="G53" s="1"/>
      <x:c r="H53" s="1"/>
      <x:c r="I53" s="1"/>
      <x:c r="J53" s="1"/>
      <x:c r="K53" s="1"/>
      <x:c r="L53" s="1"/>
      <x:c r="M53" s="1"/>
      <x:c r="N53" s="1"/>
      <x:c r="O53" s="1"/>
      <x:c r="P53" s="1"/>
    </x:row>
    <x:row r="54" ht="23" customHeight="1">
      <x:c r="A54" s="1"/>
      <x:c r="B54" s="1"/>
      <x:c r="C54" s="1"/>
      <x:c r="D54" s="1"/>
      <x:c r="E54" s="1"/>
      <x:c r="F54" s="1"/>
      <x:c r="G54" s="1"/>
      <x:c r="H54" s="1"/>
      <x:c r="I54" s="1"/>
      <x:c r="J54" s="1"/>
      <x:c r="K54" s="1"/>
      <x:c r="L54" s="1"/>
      <x:c r="M54" s="1"/>
      <x:c r="N54" s="1"/>
      <x:c r="O54" s="1"/>
      <x:c r="P54" s="1"/>
    </x:row>
    <x:row r="55" ht="23" customHeight="1">
      <x:c r="A55" s="1"/>
      <x:c r="B55" s="1"/>
      <x:c r="C55" s="1"/>
      <x:c r="D55" s="1"/>
      <x:c r="E55" s="1"/>
      <x:c r="F55" s="1"/>
      <x:c r="G55" s="1"/>
      <x:c r="H55" s="1"/>
      <x:c r="I55" s="1"/>
      <x:c r="J55" s="1"/>
      <x:c r="K55" s="1"/>
      <x:c r="L55" s="1"/>
      <x:c r="M55" s="1"/>
      <x:c r="N55" s="1"/>
      <x:c r="O55" s="1"/>
      <x:c r="P55" s="1"/>
    </x:row>
    <x:row r="56" ht="23" customHeight="1">
      <x:c r="A56" s="1"/>
      <x:c r="B56" s="1"/>
      <x:c r="C56" s="1"/>
      <x:c r="D56" s="1"/>
      <x:c r="E56" s="1"/>
      <x:c r="F56" s="1"/>
      <x:c r="G56" s="1"/>
      <x:c r="H56" s="1"/>
      <x:c r="I56" s="1"/>
      <x:c r="J56" s="1"/>
      <x:c r="K56" s="1"/>
      <x:c r="L56" s="1"/>
      <x:c r="M56" s="1"/>
      <x:c r="N56" s="1"/>
      <x:c r="O56" s="1"/>
      <x:c r="P56" s="1"/>
    </x:row>
    <x:row r="57" ht="23" customHeight="1">
      <x:c r="A57" s="1"/>
      <x:c r="B57" s="1"/>
      <x:c r="C57" s="1"/>
      <x:c r="D57" s="1"/>
      <x:c r="E57" s="1"/>
      <x:c r="F57" s="1"/>
      <x:c r="G57" s="1"/>
      <x:c r="H57" s="1"/>
      <x:c r="I57" s="1"/>
      <x:c r="J57" s="1"/>
      <x:c r="K57" s="1"/>
      <x:c r="L57" s="1"/>
      <x:c r="M57" s="1"/>
      <x:c r="N57" s="1"/>
      <x:c r="O57" s="1"/>
      <x:c r="P57" s="1"/>
    </x:row>
    <x:row r="58" ht="23" customHeight="1">
      <x:c r="A58" s="1"/>
      <x:c r="B58" s="1"/>
      <x:c r="C58" s="1"/>
      <x:c r="D58" s="1"/>
      <x:c r="E58" s="1"/>
      <x:c r="F58" s="1"/>
      <x:c r="G58" s="1"/>
      <x:c r="H58" s="1"/>
      <x:c r="I58" s="1"/>
      <x:c r="J58" s="1"/>
      <x:c r="K58" s="1"/>
      <x:c r="L58" s="1"/>
      <x:c r="M58" s="1"/>
      <x:c r="N58" s="1"/>
      <x:c r="O58" s="1"/>
      <x:c r="P58" s="1"/>
    </x:row>
    <x:row r="59" ht="23" customHeight="1">
      <x:c r="A59" s="1"/>
      <x:c r="B59" s="1"/>
      <x:c r="C59" s="1"/>
      <x:c r="D59" s="1"/>
      <x:c r="E59" s="1"/>
      <x:c r="F59" s="1"/>
      <x:c r="G59" s="1"/>
      <x:c r="H59" s="1"/>
      <x:c r="I59" s="1"/>
      <x:c r="J59" s="1"/>
      <x:c r="K59" s="1"/>
      <x:c r="L59" s="1"/>
      <x:c r="M59" s="1"/>
      <x:c r="N59" s="1"/>
      <x:c r="O59" s="1"/>
      <x:c r="P59" s="1"/>
    </x:row>
    <x:row r="60" ht="23" customHeight="1">
      <x:c r="A60" s="1"/>
      <x:c r="B60" s="1"/>
      <x:c r="C60" s="1"/>
      <x:c r="D60" s="1"/>
      <x:c r="E60" s="1"/>
      <x:c r="F60" s="1"/>
      <x:c r="G60" s="1"/>
      <x:c r="H60" s="1"/>
      <x:c r="I60" s="1"/>
      <x:c r="J60" s="1"/>
      <x:c r="K60" s="1"/>
      <x:c r="L60" s="1"/>
      <x:c r="M60" s="1"/>
      <x:c r="N60" s="1"/>
      <x:c r="O60" s="1"/>
      <x:c r="P60" s="1"/>
    </x:row>
  </x:sheetData>
  <x:mergeCells>
    <x:mergeCell ref="A1:J2"/>
    <x:mergeCell ref="A3:J4"/>
    <x:mergeCell ref="A13:J15"/>
    <x:mergeCell ref="A17:J19"/>
    <x:mergeCell ref="A21:J23"/>
  </x:mergeCells>
  <x:conditionalFormatting sqref="B7:B10">
    <x:cfRule type="containsText" dxfId="1" priority="1" operator="containsText" text="BLOCKED"/>
    <x:cfRule type="containsText" dxfId="2" priority="2" operator="containsText" text="LATE"/>
  </x:conditionalFormatting>
  <x:pageMargins left="0.7" right="0.7" top="0.75" bottom="0.75" header="0.3" footer="0.3"/>
</x:worksheet>
</file>